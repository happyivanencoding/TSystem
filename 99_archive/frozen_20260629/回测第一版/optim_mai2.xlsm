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groupe-ufg.com\commun\Prive\GestionAM\Ingenierie_Financiere\PROD\_EQUITY\3_Optimiseur_MAI\"/>
    </mc:Choice>
  </mc:AlternateContent>
  <xr:revisionPtr revIDLastSave="0" documentId="13_ncr:1_{821C1449-C89C-4F34-B758-1AD051E8F425}" xr6:coauthVersionLast="47" xr6:coauthVersionMax="47" xr10:uidLastSave="{00000000-0000-0000-0000-000000000000}"/>
  <bookViews>
    <workbookView xWindow="-120" yWindow="-120" windowWidth="29040" windowHeight="15720" tabRatio="759" xr2:uid="{E815AED8-6117-4A44-A64A-A081D62C703E}"/>
  </bookViews>
  <sheets>
    <sheet name="Menu" sheetId="1" r:id="rId1"/>
    <sheet name="Output" sheetId="3" r:id="rId2"/>
    <sheet name="Bench" sheetId="4" r:id="rId3"/>
    <sheet name="Stats" sheetId="5" r:id="rId4"/>
    <sheet name="Liste params" sheetId="2" r:id="rId5"/>
    <sheet name="Exclusion forcee" sheetId="7" r:id="rId6"/>
  </sheets>
  <definedNames>
    <definedName name="_xlnm._FilterDatabase" localSheetId="2" hidden="1">Bench!$A$1:$X$1562</definedName>
    <definedName name="_xlnm._FilterDatabase" localSheetId="1" hidden="1">Output!$A$1:$Y$113</definedName>
    <definedName name="CIQWBGuid" hidden="1">"optim_FIXED_INCOME_CREDIT_INDICES_CUSTOM.xlsm"</definedName>
    <definedName name="DateRun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43049.5475810185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NbStocksPTF">#REF!</definedName>
    <definedName name="PTF_to_Optimize">#REF!</definedName>
    <definedName name="TO_Limit">#REF!</definedName>
    <definedName name="Univ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1" l="1"/>
  <c r="L19" i="1"/>
  <c r="F38" i="1"/>
  <c r="F30" i="1"/>
  <c r="F29" i="1"/>
  <c r="F41" i="1"/>
  <c r="K18" i="1"/>
  <c r="G42" i="1"/>
  <c r="F42" i="1"/>
  <c r="F40" i="1"/>
  <c r="G33" i="1"/>
  <c r="F34" i="1"/>
  <c r="F37" i="1"/>
  <c r="L20" i="1"/>
  <c r="K19" i="1"/>
  <c r="F33" i="1"/>
  <c r="F35" i="1"/>
  <c r="F27" i="1"/>
  <c r="F31" i="1"/>
  <c r="G27" i="1"/>
  <c r="F28" i="1"/>
  <c r="G28" i="1"/>
  <c r="G29" i="1"/>
  <c r="G30" i="1"/>
  <c r="G31" i="1"/>
  <c r="F32" i="1"/>
  <c r="G32" i="1"/>
  <c r="G34" i="1"/>
  <c r="G35" i="1"/>
  <c r="F36" i="1"/>
  <c r="G36" i="1"/>
  <c r="G37" i="1"/>
  <c r="G38" i="1"/>
  <c r="F39" i="1"/>
  <c r="G39" i="1"/>
  <c r="G40" i="1"/>
  <c r="G41" i="1"/>
  <c r="F43" i="1"/>
  <c r="G43" i="1"/>
  <c r="F44" i="1"/>
  <c r="G44" i="1"/>
  <c r="G26" i="1"/>
  <c r="F26" i="1"/>
  <c r="P2" i="1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" i="5"/>
  <c r="L18" i="1" l="1"/>
  <c r="M20" i="1" l="1"/>
  <c r="P31" i="5" l="1"/>
  <c r="Q31" i="5" s="1"/>
  <c r="R31" i="5" s="1"/>
  <c r="P30" i="5"/>
  <c r="P26" i="5"/>
  <c r="P25" i="5"/>
  <c r="Q25" i="5" s="1"/>
  <c r="P21" i="5"/>
  <c r="P20" i="5"/>
  <c r="P16" i="5"/>
  <c r="P15" i="5"/>
  <c r="P11" i="5"/>
  <c r="P10" i="5"/>
  <c r="P29" i="5" l="1"/>
  <c r="S31" i="5"/>
  <c r="P19" i="5"/>
  <c r="P9" i="5"/>
  <c r="P14" i="5"/>
  <c r="Q16" i="5"/>
  <c r="R16" i="5" s="1"/>
  <c r="P24" i="5"/>
  <c r="Q15" i="5"/>
  <c r="R15" i="5" s="1"/>
  <c r="Q20" i="5"/>
  <c r="Q30" i="5"/>
  <c r="R30" i="5" s="1"/>
  <c r="R29" i="5" s="1"/>
  <c r="R25" i="5"/>
  <c r="Q26" i="5"/>
  <c r="Q24" i="5" s="1"/>
  <c r="Q21" i="5"/>
  <c r="R21" i="5" s="1"/>
  <c r="Q10" i="5"/>
  <c r="Q11" i="5"/>
  <c r="R26" i="5" l="1"/>
  <c r="S26" i="5" s="1"/>
  <c r="Q9" i="5"/>
  <c r="R14" i="5"/>
  <c r="S16" i="5"/>
  <c r="T16" i="5" s="1"/>
  <c r="S25" i="5"/>
  <c r="S30" i="5"/>
  <c r="S29" i="5" s="1"/>
  <c r="Q29" i="5"/>
  <c r="S15" i="5"/>
  <c r="Q14" i="5"/>
  <c r="R20" i="5"/>
  <c r="Q19" i="5"/>
  <c r="S21" i="5"/>
  <c r="T21" i="5" s="1"/>
  <c r="T31" i="5"/>
  <c r="R11" i="5"/>
  <c r="S11" i="5" s="1"/>
  <c r="T11" i="5" s="1"/>
  <c r="R10" i="5"/>
  <c r="S14" i="5" l="1"/>
  <c r="R24" i="5"/>
  <c r="T26" i="5"/>
  <c r="R9" i="5"/>
  <c r="R19" i="5"/>
  <c r="S20" i="5"/>
  <c r="S19" i="5" s="1"/>
  <c r="T30" i="5"/>
  <c r="T29" i="5" s="1"/>
  <c r="T25" i="5"/>
  <c r="S24" i="5"/>
  <c r="T15" i="5"/>
  <c r="T14" i="5" s="1"/>
  <c r="S10" i="5"/>
  <c r="S9" i="5" s="1"/>
  <c r="T24" i="5" l="1"/>
  <c r="T20" i="5"/>
  <c r="T19" i="5" s="1"/>
  <c r="T10" i="5"/>
  <c r="T9" i="5" s="1"/>
  <c r="D28" i="5" l="1"/>
  <c r="C28" i="5"/>
  <c r="B28" i="5"/>
  <c r="D27" i="5"/>
  <c r="C27" i="5"/>
  <c r="B27" i="5"/>
  <c r="D26" i="5"/>
  <c r="C26" i="5"/>
  <c r="B26" i="5"/>
  <c r="D25" i="5"/>
  <c r="C25" i="5"/>
  <c r="B25" i="5"/>
  <c r="L24" i="5"/>
  <c r="K24" i="5"/>
  <c r="J24" i="5"/>
  <c r="D24" i="5"/>
  <c r="C24" i="5"/>
  <c r="B24" i="5"/>
  <c r="L23" i="5"/>
  <c r="K23" i="5"/>
  <c r="J23" i="5"/>
  <c r="D23" i="5"/>
  <c r="C23" i="5"/>
  <c r="B23" i="5"/>
  <c r="L22" i="5"/>
  <c r="K22" i="5"/>
  <c r="J22" i="5"/>
  <c r="L21" i="5"/>
  <c r="K21" i="5"/>
  <c r="J21" i="5"/>
  <c r="L20" i="5"/>
  <c r="K20" i="5"/>
  <c r="J20" i="5"/>
  <c r="D20" i="5"/>
  <c r="C20" i="5"/>
  <c r="B20" i="5"/>
  <c r="L19" i="5"/>
  <c r="K19" i="5"/>
  <c r="J19" i="5"/>
  <c r="D19" i="5"/>
  <c r="C19" i="5"/>
  <c r="B19" i="5"/>
  <c r="Q40" i="5"/>
  <c r="P40" i="5"/>
  <c r="L18" i="5"/>
  <c r="K18" i="5"/>
  <c r="J18" i="5"/>
  <c r="D18" i="5"/>
  <c r="C18" i="5"/>
  <c r="B18" i="5"/>
  <c r="Q39" i="5" a="1"/>
  <c r="Q39" i="5" s="1"/>
  <c r="P39" i="5" a="1"/>
  <c r="P39" i="5" s="1"/>
  <c r="L17" i="5"/>
  <c r="K17" i="5"/>
  <c r="J17" i="5"/>
  <c r="D17" i="5"/>
  <c r="C17" i="5"/>
  <c r="B17" i="5"/>
  <c r="Q38" i="5" a="1"/>
  <c r="Q38" i="5" s="1"/>
  <c r="P38" i="5" a="1"/>
  <c r="P38" i="5" s="1"/>
  <c r="L16" i="5"/>
  <c r="K16" i="5"/>
  <c r="J16" i="5"/>
  <c r="D16" i="5"/>
  <c r="C16" i="5"/>
  <c r="B16" i="5"/>
  <c r="Q37" i="5" a="1"/>
  <c r="Q37" i="5" s="1"/>
  <c r="P37" i="5" a="1"/>
  <c r="P37" i="5" s="1"/>
  <c r="L15" i="5"/>
  <c r="K15" i="5"/>
  <c r="J15" i="5"/>
  <c r="D15" i="5"/>
  <c r="C15" i="5"/>
  <c r="B15" i="5"/>
  <c r="Q36" i="5" a="1"/>
  <c r="Q36" i="5" s="1"/>
  <c r="P36" i="5" a="1"/>
  <c r="P36" i="5" s="1"/>
  <c r="L14" i="5"/>
  <c r="K14" i="5"/>
  <c r="J14" i="5"/>
  <c r="D14" i="5"/>
  <c r="C14" i="5"/>
  <c r="B14" i="5"/>
  <c r="L13" i="5"/>
  <c r="K13" i="5"/>
  <c r="J13" i="5"/>
  <c r="D13" i="5"/>
  <c r="C13" i="5"/>
  <c r="B13" i="5"/>
  <c r="L12" i="5"/>
  <c r="K12" i="5"/>
  <c r="J12" i="5"/>
  <c r="D12" i="5"/>
  <c r="C12" i="5"/>
  <c r="B12" i="5"/>
  <c r="L11" i="5"/>
  <c r="K11" i="5"/>
  <c r="J11" i="5"/>
  <c r="D11" i="5"/>
  <c r="C11" i="5"/>
  <c r="B11" i="5"/>
  <c r="P35" i="5"/>
  <c r="T35" i="5" s="1"/>
  <c r="L10" i="5"/>
  <c r="K10" i="5"/>
  <c r="J10" i="5"/>
  <c r="D10" i="5"/>
  <c r="C10" i="5"/>
  <c r="B10" i="5"/>
  <c r="L9" i="5"/>
  <c r="K9" i="5"/>
  <c r="J9" i="5"/>
  <c r="D9" i="5"/>
  <c r="C9" i="5"/>
  <c r="B9" i="5"/>
  <c r="V33" i="5"/>
  <c r="L8" i="5"/>
  <c r="K8" i="5"/>
  <c r="J8" i="5"/>
  <c r="D8" i="5"/>
  <c r="C8" i="5"/>
  <c r="B8" i="5"/>
  <c r="L7" i="5"/>
  <c r="K7" i="5"/>
  <c r="J7" i="5"/>
  <c r="D7" i="5"/>
  <c r="C7" i="5"/>
  <c r="B7" i="5"/>
  <c r="Q6" i="5" a="1"/>
  <c r="Q6" i="5" s="1"/>
  <c r="P6" i="5" a="1"/>
  <c r="P6" i="5" s="1"/>
  <c r="L6" i="5"/>
  <c r="K6" i="5"/>
  <c r="J6" i="5"/>
  <c r="D6" i="5"/>
  <c r="C6" i="5"/>
  <c r="B6" i="5"/>
  <c r="Q5" i="5" a="1"/>
  <c r="Q5" i="5" s="1"/>
  <c r="P5" i="5" a="1"/>
  <c r="P5" i="5" s="1"/>
  <c r="L5" i="5"/>
  <c r="K5" i="5"/>
  <c r="J5" i="5"/>
  <c r="D5" i="5"/>
  <c r="C5" i="5"/>
  <c r="B5" i="5"/>
  <c r="Q4" i="5" a="1"/>
  <c r="Q4" i="5" s="1"/>
  <c r="P4" i="5" a="1"/>
  <c r="P4" i="5" s="1"/>
  <c r="L4" i="5"/>
  <c r="K4" i="5"/>
  <c r="J4" i="5"/>
  <c r="D4" i="5"/>
  <c r="C4" i="5"/>
  <c r="B4" i="5"/>
  <c r="Q3" i="5" a="1"/>
  <c r="Q3" i="5" s="1"/>
  <c r="P3" i="5" a="1"/>
  <c r="P3" i="5" s="1"/>
  <c r="L3" i="5"/>
  <c r="K3" i="5"/>
  <c r="J3" i="5"/>
  <c r="D3" i="5"/>
  <c r="C3" i="5"/>
  <c r="B3" i="5"/>
  <c r="Q2" i="5" a="1"/>
  <c r="Q2" i="5" s="1"/>
  <c r="P2" i="5" a="1"/>
  <c r="P2" i="5" s="1"/>
  <c r="L2" i="5"/>
  <c r="K2" i="5"/>
  <c r="J2" i="5"/>
  <c r="D2" i="5"/>
  <c r="C2" i="5"/>
  <c r="B2" i="5"/>
  <c r="X1562" i="4"/>
  <c r="X1561" i="4"/>
  <c r="X1560" i="4"/>
  <c r="X1559" i="4"/>
  <c r="X1558" i="4"/>
  <c r="X1557" i="4"/>
  <c r="X1556" i="4"/>
  <c r="X1555" i="4"/>
  <c r="X1554" i="4"/>
  <c r="X1553" i="4"/>
  <c r="X1552" i="4"/>
  <c r="X1551" i="4"/>
  <c r="X1550" i="4"/>
  <c r="X1549" i="4"/>
  <c r="X1548" i="4"/>
  <c r="X1547" i="4"/>
  <c r="X1546" i="4"/>
  <c r="X1545" i="4"/>
  <c r="X1544" i="4"/>
  <c r="X1543" i="4"/>
  <c r="X1542" i="4"/>
  <c r="X1541" i="4"/>
  <c r="X1540" i="4"/>
  <c r="X1539" i="4"/>
  <c r="X1538" i="4"/>
  <c r="X1537" i="4"/>
  <c r="X1536" i="4"/>
  <c r="X1535" i="4"/>
  <c r="X1534" i="4"/>
  <c r="X1533" i="4"/>
  <c r="X1532" i="4"/>
  <c r="X1531" i="4"/>
  <c r="X1530" i="4"/>
  <c r="X1529" i="4"/>
  <c r="X1528" i="4"/>
  <c r="X1527" i="4"/>
  <c r="X1526" i="4"/>
  <c r="X1525" i="4"/>
  <c r="X1524" i="4"/>
  <c r="X1523" i="4"/>
  <c r="X1522" i="4"/>
  <c r="X1521" i="4"/>
  <c r="X1520" i="4"/>
  <c r="X1519" i="4"/>
  <c r="X1518" i="4"/>
  <c r="X1517" i="4"/>
  <c r="X1516" i="4"/>
  <c r="X1515" i="4"/>
  <c r="X1514" i="4"/>
  <c r="X1513" i="4"/>
  <c r="X1512" i="4"/>
  <c r="X1511" i="4"/>
  <c r="X1510" i="4"/>
  <c r="X1509" i="4"/>
  <c r="X1508" i="4"/>
  <c r="X1507" i="4"/>
  <c r="X1506" i="4"/>
  <c r="X1505" i="4"/>
  <c r="X1504" i="4"/>
  <c r="X1503" i="4"/>
  <c r="X1502" i="4"/>
  <c r="X1501" i="4"/>
  <c r="X1500" i="4"/>
  <c r="X1499" i="4"/>
  <c r="X1498" i="4"/>
  <c r="X1497" i="4"/>
  <c r="X1496" i="4"/>
  <c r="X1495" i="4"/>
  <c r="X1494" i="4"/>
  <c r="X1493" i="4"/>
  <c r="X1492" i="4"/>
  <c r="X1491" i="4"/>
  <c r="X1490" i="4"/>
  <c r="X1489" i="4"/>
  <c r="X1488" i="4"/>
  <c r="X1487" i="4"/>
  <c r="X1486" i="4"/>
  <c r="X1485" i="4"/>
  <c r="X1484" i="4"/>
  <c r="X1483" i="4"/>
  <c r="X1482" i="4"/>
  <c r="X1481" i="4"/>
  <c r="X1480" i="4"/>
  <c r="X1479" i="4"/>
  <c r="X1478" i="4"/>
  <c r="X1477" i="4"/>
  <c r="X1476" i="4"/>
  <c r="X1475" i="4"/>
  <c r="X1474" i="4"/>
  <c r="X1473" i="4"/>
  <c r="X1472" i="4"/>
  <c r="X1471" i="4"/>
  <c r="X1470" i="4"/>
  <c r="X1469" i="4"/>
  <c r="X1468" i="4"/>
  <c r="X1467" i="4"/>
  <c r="X1466" i="4"/>
  <c r="X1465" i="4"/>
  <c r="X1464" i="4"/>
  <c r="X1463" i="4"/>
  <c r="X1462" i="4"/>
  <c r="X1461" i="4"/>
  <c r="X1460" i="4"/>
  <c r="X1459" i="4"/>
  <c r="X1458" i="4"/>
  <c r="X1457" i="4"/>
  <c r="X1456" i="4"/>
  <c r="X1455" i="4"/>
  <c r="X1454" i="4"/>
  <c r="X1453" i="4"/>
  <c r="X1452" i="4"/>
  <c r="X1451" i="4"/>
  <c r="X1450" i="4"/>
  <c r="X1449" i="4"/>
  <c r="X1448" i="4"/>
  <c r="X1447" i="4"/>
  <c r="X1446" i="4"/>
  <c r="X1445" i="4"/>
  <c r="X1444" i="4"/>
  <c r="X1443" i="4"/>
  <c r="X1442" i="4"/>
  <c r="X1441" i="4"/>
  <c r="X1440" i="4"/>
  <c r="X1439" i="4"/>
  <c r="X1438" i="4"/>
  <c r="X1437" i="4"/>
  <c r="X1436" i="4"/>
  <c r="X1435" i="4"/>
  <c r="X1434" i="4"/>
  <c r="X1433" i="4"/>
  <c r="X1432" i="4"/>
  <c r="X1431" i="4"/>
  <c r="X1430" i="4"/>
  <c r="X1429" i="4"/>
  <c r="X1428" i="4"/>
  <c r="X1427" i="4"/>
  <c r="X1426" i="4"/>
  <c r="X1425" i="4"/>
  <c r="X1424" i="4"/>
  <c r="X1423" i="4"/>
  <c r="X1422" i="4"/>
  <c r="X1421" i="4"/>
  <c r="X1420" i="4"/>
  <c r="X1419" i="4"/>
  <c r="X1418" i="4"/>
  <c r="X1417" i="4"/>
  <c r="X1416" i="4"/>
  <c r="X1415" i="4"/>
  <c r="X1414" i="4"/>
  <c r="X1413" i="4"/>
  <c r="X1412" i="4"/>
  <c r="X1411" i="4"/>
  <c r="X1410" i="4"/>
  <c r="X1409" i="4"/>
  <c r="X1408" i="4"/>
  <c r="X1407" i="4"/>
  <c r="X1406" i="4"/>
  <c r="X1405" i="4"/>
  <c r="X1404" i="4"/>
  <c r="X1403" i="4"/>
  <c r="X1402" i="4"/>
  <c r="X1401" i="4"/>
  <c r="X1400" i="4"/>
  <c r="X1399" i="4"/>
  <c r="X1398" i="4"/>
  <c r="X1397" i="4"/>
  <c r="X1396" i="4"/>
  <c r="X1395" i="4"/>
  <c r="X1394" i="4"/>
  <c r="X1393" i="4"/>
  <c r="X1392" i="4"/>
  <c r="X1391" i="4"/>
  <c r="X1390" i="4"/>
  <c r="X1389" i="4"/>
  <c r="X1388" i="4"/>
  <c r="X1387" i="4"/>
  <c r="X1386" i="4"/>
  <c r="X1385" i="4"/>
  <c r="X1384" i="4"/>
  <c r="X1383" i="4"/>
  <c r="X1382" i="4"/>
  <c r="X1381" i="4"/>
  <c r="X1380" i="4"/>
  <c r="X1379" i="4"/>
  <c r="X1378" i="4"/>
  <c r="X1377" i="4"/>
  <c r="X1376" i="4"/>
  <c r="X1375" i="4"/>
  <c r="X1374" i="4"/>
  <c r="X1373" i="4"/>
  <c r="X1372" i="4"/>
  <c r="X1371" i="4"/>
  <c r="X1370" i="4"/>
  <c r="X1369" i="4"/>
  <c r="X1368" i="4"/>
  <c r="X1367" i="4"/>
  <c r="X1366" i="4"/>
  <c r="X1365" i="4"/>
  <c r="X1364" i="4"/>
  <c r="X1363" i="4"/>
  <c r="X1362" i="4"/>
  <c r="X1361" i="4"/>
  <c r="X1360" i="4"/>
  <c r="X1359" i="4"/>
  <c r="X1358" i="4"/>
  <c r="X1357" i="4"/>
  <c r="X1356" i="4"/>
  <c r="X1355" i="4"/>
  <c r="X1354" i="4"/>
  <c r="X1353" i="4"/>
  <c r="X1352" i="4"/>
  <c r="X1351" i="4"/>
  <c r="X1350" i="4"/>
  <c r="X1349" i="4"/>
  <c r="X1348" i="4"/>
  <c r="X1347" i="4"/>
  <c r="X1346" i="4"/>
  <c r="X1345" i="4"/>
  <c r="X1344" i="4"/>
  <c r="X1343" i="4"/>
  <c r="X1342" i="4"/>
  <c r="X1341" i="4"/>
  <c r="X1340" i="4"/>
  <c r="X1339" i="4"/>
  <c r="X1338" i="4"/>
  <c r="X1337" i="4"/>
  <c r="X1336" i="4"/>
  <c r="X1335" i="4"/>
  <c r="X1334" i="4"/>
  <c r="X1333" i="4"/>
  <c r="X1332" i="4"/>
  <c r="X1331" i="4"/>
  <c r="X1330" i="4"/>
  <c r="X1329" i="4"/>
  <c r="X1328" i="4"/>
  <c r="X1327" i="4"/>
  <c r="X1326" i="4"/>
  <c r="X1325" i="4"/>
  <c r="X1324" i="4"/>
  <c r="X1323" i="4"/>
  <c r="X1322" i="4"/>
  <c r="X1321" i="4"/>
  <c r="X1320" i="4"/>
  <c r="X1319" i="4"/>
  <c r="X1318" i="4"/>
  <c r="X1317" i="4"/>
  <c r="X1316" i="4"/>
  <c r="X1315" i="4"/>
  <c r="X1314" i="4"/>
  <c r="X1313" i="4"/>
  <c r="X1312" i="4"/>
  <c r="X1311" i="4"/>
  <c r="X1310" i="4"/>
  <c r="X1309" i="4"/>
  <c r="X1308" i="4"/>
  <c r="X1307" i="4"/>
  <c r="X1306" i="4"/>
  <c r="X1305" i="4"/>
  <c r="X1304" i="4"/>
  <c r="X1303" i="4"/>
  <c r="X1302" i="4"/>
  <c r="X1301" i="4"/>
  <c r="X1300" i="4"/>
  <c r="X1299" i="4"/>
  <c r="X1298" i="4"/>
  <c r="X1297" i="4"/>
  <c r="X1296" i="4"/>
  <c r="X1295" i="4"/>
  <c r="X1294" i="4"/>
  <c r="X1293" i="4"/>
  <c r="X1292" i="4"/>
  <c r="X1291" i="4"/>
  <c r="X1290" i="4"/>
  <c r="X1289" i="4"/>
  <c r="X1288" i="4"/>
  <c r="X1287" i="4"/>
  <c r="X1286" i="4"/>
  <c r="X1285" i="4"/>
  <c r="X1284" i="4"/>
  <c r="X1283" i="4"/>
  <c r="X1282" i="4"/>
  <c r="X1281" i="4"/>
  <c r="X1280" i="4"/>
  <c r="X1279" i="4"/>
  <c r="X1278" i="4"/>
  <c r="X1277" i="4"/>
  <c r="X1276" i="4"/>
  <c r="X1275" i="4"/>
  <c r="X1274" i="4"/>
  <c r="X1273" i="4"/>
  <c r="X1272" i="4"/>
  <c r="X1271" i="4"/>
  <c r="X1270" i="4"/>
  <c r="X1269" i="4"/>
  <c r="X1268" i="4"/>
  <c r="X1267" i="4"/>
  <c r="X1266" i="4"/>
  <c r="X1265" i="4"/>
  <c r="X1264" i="4"/>
  <c r="X1263" i="4"/>
  <c r="X1262" i="4"/>
  <c r="X1261" i="4"/>
  <c r="X1260" i="4"/>
  <c r="X1259" i="4"/>
  <c r="X1258" i="4"/>
  <c r="X1257" i="4"/>
  <c r="X1256" i="4"/>
  <c r="X1255" i="4"/>
  <c r="X1254" i="4"/>
  <c r="X1253" i="4"/>
  <c r="X1252" i="4"/>
  <c r="X1251" i="4"/>
  <c r="X1250" i="4"/>
  <c r="X1249" i="4"/>
  <c r="X1248" i="4"/>
  <c r="X1247" i="4"/>
  <c r="X1246" i="4"/>
  <c r="X1245" i="4"/>
  <c r="X1244" i="4"/>
  <c r="X1243" i="4"/>
  <c r="X1242" i="4"/>
  <c r="X1241" i="4"/>
  <c r="X1240" i="4"/>
  <c r="X1239" i="4"/>
  <c r="X1238" i="4"/>
  <c r="X1237" i="4"/>
  <c r="X1236" i="4"/>
  <c r="X1235" i="4"/>
  <c r="X1234" i="4"/>
  <c r="X1233" i="4"/>
  <c r="X1232" i="4"/>
  <c r="X1231" i="4"/>
  <c r="X1230" i="4"/>
  <c r="X1229" i="4"/>
  <c r="X1228" i="4"/>
  <c r="X1227" i="4"/>
  <c r="X1226" i="4"/>
  <c r="X1225" i="4"/>
  <c r="X1224" i="4"/>
  <c r="X1223" i="4"/>
  <c r="X1222" i="4"/>
  <c r="X1221" i="4"/>
  <c r="X1220" i="4"/>
  <c r="X1219" i="4"/>
  <c r="X1218" i="4"/>
  <c r="X1217" i="4"/>
  <c r="X1216" i="4"/>
  <c r="X1215" i="4"/>
  <c r="X1214" i="4"/>
  <c r="X1213" i="4"/>
  <c r="X1212" i="4"/>
  <c r="X1211" i="4"/>
  <c r="X1210" i="4"/>
  <c r="X1209" i="4"/>
  <c r="X1208" i="4"/>
  <c r="X1207" i="4"/>
  <c r="X1206" i="4"/>
  <c r="X1205" i="4"/>
  <c r="X1204" i="4"/>
  <c r="X1203" i="4"/>
  <c r="X1202" i="4"/>
  <c r="X1201" i="4"/>
  <c r="X1200" i="4"/>
  <c r="X1199" i="4"/>
  <c r="X1198" i="4"/>
  <c r="X1197" i="4"/>
  <c r="X1196" i="4"/>
  <c r="X1195" i="4"/>
  <c r="X1194" i="4"/>
  <c r="X1193" i="4"/>
  <c r="X1192" i="4"/>
  <c r="X1191" i="4"/>
  <c r="X1190" i="4"/>
  <c r="X1189" i="4"/>
  <c r="X1188" i="4"/>
  <c r="X1187" i="4"/>
  <c r="X1186" i="4"/>
  <c r="X1185" i="4"/>
  <c r="X1184" i="4"/>
  <c r="X1183" i="4"/>
  <c r="X1182" i="4"/>
  <c r="X1181" i="4"/>
  <c r="X1180" i="4"/>
  <c r="X1179" i="4"/>
  <c r="X1178" i="4"/>
  <c r="X1177" i="4"/>
  <c r="X1176" i="4"/>
  <c r="X1175" i="4"/>
  <c r="X1174" i="4"/>
  <c r="X1173" i="4"/>
  <c r="X1172" i="4"/>
  <c r="X1171" i="4"/>
  <c r="X1170" i="4"/>
  <c r="X1169" i="4"/>
  <c r="X1168" i="4"/>
  <c r="X1167" i="4"/>
  <c r="X1166" i="4"/>
  <c r="X1165" i="4"/>
  <c r="X1164" i="4"/>
  <c r="X1163" i="4"/>
  <c r="X1162" i="4"/>
  <c r="X1161" i="4"/>
  <c r="X1160" i="4"/>
  <c r="X1159" i="4"/>
  <c r="X1158" i="4"/>
  <c r="X1157" i="4"/>
  <c r="X1156" i="4"/>
  <c r="X1155" i="4"/>
  <c r="X1154" i="4"/>
  <c r="X1153" i="4"/>
  <c r="X1152" i="4"/>
  <c r="X1151" i="4"/>
  <c r="X1150" i="4"/>
  <c r="X1149" i="4"/>
  <c r="X1148" i="4"/>
  <c r="X1147" i="4"/>
  <c r="X1146" i="4"/>
  <c r="X1145" i="4"/>
  <c r="X1144" i="4"/>
  <c r="X1143" i="4"/>
  <c r="X1142" i="4"/>
  <c r="X1141" i="4"/>
  <c r="X1140" i="4"/>
  <c r="X1139" i="4"/>
  <c r="X1138" i="4"/>
  <c r="X1137" i="4"/>
  <c r="X1136" i="4"/>
  <c r="X1135" i="4"/>
  <c r="X1134" i="4"/>
  <c r="X1133" i="4"/>
  <c r="X1132" i="4"/>
  <c r="X1131" i="4"/>
  <c r="X1130" i="4"/>
  <c r="X1129" i="4"/>
  <c r="X1128" i="4"/>
  <c r="X1127" i="4"/>
  <c r="X1126" i="4"/>
  <c r="X1125" i="4"/>
  <c r="X1124" i="4"/>
  <c r="X1123" i="4"/>
  <c r="X1122" i="4"/>
  <c r="X1121" i="4"/>
  <c r="X1120" i="4"/>
  <c r="X1119" i="4"/>
  <c r="X1118" i="4"/>
  <c r="X1117" i="4"/>
  <c r="X1116" i="4"/>
  <c r="X1115" i="4"/>
  <c r="X1114" i="4"/>
  <c r="X1113" i="4"/>
  <c r="X1112" i="4"/>
  <c r="X1111" i="4"/>
  <c r="X1110" i="4"/>
  <c r="X1109" i="4"/>
  <c r="X1108" i="4"/>
  <c r="X1107" i="4"/>
  <c r="X1106" i="4"/>
  <c r="X1105" i="4"/>
  <c r="X1104" i="4"/>
  <c r="X1103" i="4"/>
  <c r="X1102" i="4"/>
  <c r="X1101" i="4"/>
  <c r="X1100" i="4"/>
  <c r="X1099" i="4"/>
  <c r="X1098" i="4"/>
  <c r="X1097" i="4"/>
  <c r="X1096" i="4"/>
  <c r="X1095" i="4"/>
  <c r="X1094" i="4"/>
  <c r="X1093" i="4"/>
  <c r="X1092" i="4"/>
  <c r="X1091" i="4"/>
  <c r="X1090" i="4"/>
  <c r="X1089" i="4"/>
  <c r="X1088" i="4"/>
  <c r="X1087" i="4"/>
  <c r="X1086" i="4"/>
  <c r="X1085" i="4"/>
  <c r="X1084" i="4"/>
  <c r="X1083" i="4"/>
  <c r="X1082" i="4"/>
  <c r="X1081" i="4"/>
  <c r="X1080" i="4"/>
  <c r="X1079" i="4"/>
  <c r="X1078" i="4"/>
  <c r="X1077" i="4"/>
  <c r="X1076" i="4"/>
  <c r="X1075" i="4"/>
  <c r="X1074" i="4"/>
  <c r="X1073" i="4"/>
  <c r="X1072" i="4"/>
  <c r="X1071" i="4"/>
  <c r="X1070" i="4"/>
  <c r="X1069" i="4"/>
  <c r="X1068" i="4"/>
  <c r="X1067" i="4"/>
  <c r="X1066" i="4"/>
  <c r="X1065" i="4"/>
  <c r="X1064" i="4"/>
  <c r="X1063" i="4"/>
  <c r="X1062" i="4"/>
  <c r="X1061" i="4"/>
  <c r="X1060" i="4"/>
  <c r="X1059" i="4"/>
  <c r="X1058" i="4"/>
  <c r="X1057" i="4"/>
  <c r="X1056" i="4"/>
  <c r="X1055" i="4"/>
  <c r="X1054" i="4"/>
  <c r="X1053" i="4"/>
  <c r="X1052" i="4"/>
  <c r="X1051" i="4"/>
  <c r="X1050" i="4"/>
  <c r="X1049" i="4"/>
  <c r="X1048" i="4"/>
  <c r="X1047" i="4"/>
  <c r="X1046" i="4"/>
  <c r="X1045" i="4"/>
  <c r="X1044" i="4"/>
  <c r="X1043" i="4"/>
  <c r="X1042" i="4"/>
  <c r="X1041" i="4"/>
  <c r="X1040" i="4"/>
  <c r="X1039" i="4"/>
  <c r="X1038" i="4"/>
  <c r="X1037" i="4"/>
  <c r="X1036" i="4"/>
  <c r="X1035" i="4"/>
  <c r="X1034" i="4"/>
  <c r="X1033" i="4"/>
  <c r="X1032" i="4"/>
  <c r="X1031" i="4"/>
  <c r="X1030" i="4"/>
  <c r="X1029" i="4"/>
  <c r="X1028" i="4"/>
  <c r="X1027" i="4"/>
  <c r="X1026" i="4"/>
  <c r="X1025" i="4"/>
  <c r="X1024" i="4"/>
  <c r="X1023" i="4"/>
  <c r="X1022" i="4"/>
  <c r="X1021" i="4"/>
  <c r="X1020" i="4"/>
  <c r="X1019" i="4"/>
  <c r="X1018" i="4"/>
  <c r="X1017" i="4"/>
  <c r="X1016" i="4"/>
  <c r="X1015" i="4"/>
  <c r="X1014" i="4"/>
  <c r="X1013" i="4"/>
  <c r="X1012" i="4"/>
  <c r="X1011" i="4"/>
  <c r="X1010" i="4"/>
  <c r="X1009" i="4"/>
  <c r="X1008" i="4"/>
  <c r="X1007" i="4"/>
  <c r="X1006" i="4"/>
  <c r="X1005" i="4"/>
  <c r="X1004" i="4"/>
  <c r="X1003" i="4"/>
  <c r="X1002" i="4"/>
  <c r="X1001" i="4"/>
  <c r="X1000" i="4"/>
  <c r="X999" i="4"/>
  <c r="X998" i="4"/>
  <c r="X997" i="4"/>
  <c r="X996" i="4"/>
  <c r="X995" i="4"/>
  <c r="X994" i="4"/>
  <c r="X993" i="4"/>
  <c r="X992" i="4"/>
  <c r="X991" i="4"/>
  <c r="X990" i="4"/>
  <c r="X989" i="4"/>
  <c r="X988" i="4"/>
  <c r="X987" i="4"/>
  <c r="X986" i="4"/>
  <c r="X985" i="4"/>
  <c r="X984" i="4"/>
  <c r="X983" i="4"/>
  <c r="X982" i="4"/>
  <c r="X981" i="4"/>
  <c r="X980" i="4"/>
  <c r="X979" i="4"/>
  <c r="X978" i="4"/>
  <c r="X977" i="4"/>
  <c r="X976" i="4"/>
  <c r="X975" i="4"/>
  <c r="X974" i="4"/>
  <c r="X973" i="4"/>
  <c r="X972" i="4"/>
  <c r="X971" i="4"/>
  <c r="X970" i="4"/>
  <c r="X969" i="4"/>
  <c r="X968" i="4"/>
  <c r="X967" i="4"/>
  <c r="X966" i="4"/>
  <c r="X965" i="4"/>
  <c r="X964" i="4"/>
  <c r="X963" i="4"/>
  <c r="X962" i="4"/>
  <c r="X961" i="4"/>
  <c r="X960" i="4"/>
  <c r="X959" i="4"/>
  <c r="X958" i="4"/>
  <c r="X957" i="4"/>
  <c r="X956" i="4"/>
  <c r="X955" i="4"/>
  <c r="X954" i="4"/>
  <c r="X953" i="4"/>
  <c r="X952" i="4"/>
  <c r="X951" i="4"/>
  <c r="X950" i="4"/>
  <c r="X949" i="4"/>
  <c r="X948" i="4"/>
  <c r="X947" i="4"/>
  <c r="X946" i="4"/>
  <c r="X945" i="4"/>
  <c r="X944" i="4"/>
  <c r="X943" i="4"/>
  <c r="X942" i="4"/>
  <c r="X941" i="4"/>
  <c r="X940" i="4"/>
  <c r="X939" i="4"/>
  <c r="X938" i="4"/>
  <c r="X937" i="4"/>
  <c r="X936" i="4"/>
  <c r="X935" i="4"/>
  <c r="X934" i="4"/>
  <c r="X933" i="4"/>
  <c r="X932" i="4"/>
  <c r="X931" i="4"/>
  <c r="X930" i="4"/>
  <c r="X929" i="4"/>
  <c r="X928" i="4"/>
  <c r="X927" i="4"/>
  <c r="X926" i="4"/>
  <c r="X925" i="4"/>
  <c r="X924" i="4"/>
  <c r="X923" i="4"/>
  <c r="X922" i="4"/>
  <c r="X921" i="4"/>
  <c r="X920" i="4"/>
  <c r="X919" i="4"/>
  <c r="X918" i="4"/>
  <c r="X917" i="4"/>
  <c r="X916" i="4"/>
  <c r="X915" i="4"/>
  <c r="X914" i="4"/>
  <c r="X913" i="4"/>
  <c r="X912" i="4"/>
  <c r="X911" i="4"/>
  <c r="X910" i="4"/>
  <c r="X909" i="4"/>
  <c r="X908" i="4"/>
  <c r="X907" i="4"/>
  <c r="X906" i="4"/>
  <c r="X905" i="4"/>
  <c r="X904" i="4"/>
  <c r="X903" i="4"/>
  <c r="X902" i="4"/>
  <c r="X901" i="4"/>
  <c r="X900" i="4"/>
  <c r="X899" i="4"/>
  <c r="X898" i="4"/>
  <c r="X897" i="4"/>
  <c r="X896" i="4"/>
  <c r="X895" i="4"/>
  <c r="X894" i="4"/>
  <c r="X893" i="4"/>
  <c r="X892" i="4"/>
  <c r="X891" i="4"/>
  <c r="X890" i="4"/>
  <c r="X889" i="4"/>
  <c r="X888" i="4"/>
  <c r="X887" i="4"/>
  <c r="X886" i="4"/>
  <c r="X885" i="4"/>
  <c r="X884" i="4"/>
  <c r="X883" i="4"/>
  <c r="X882" i="4"/>
  <c r="X881" i="4"/>
  <c r="X880" i="4"/>
  <c r="X879" i="4"/>
  <c r="X878" i="4"/>
  <c r="X877" i="4"/>
  <c r="X876" i="4"/>
  <c r="X875" i="4"/>
  <c r="X874" i="4"/>
  <c r="X873" i="4"/>
  <c r="X872" i="4"/>
  <c r="X871" i="4"/>
  <c r="X870" i="4"/>
  <c r="X869" i="4"/>
  <c r="X868" i="4"/>
  <c r="X867" i="4"/>
  <c r="X866" i="4"/>
  <c r="X865" i="4"/>
  <c r="X864" i="4"/>
  <c r="X863" i="4"/>
  <c r="X862" i="4"/>
  <c r="X861" i="4"/>
  <c r="X860" i="4"/>
  <c r="X859" i="4"/>
  <c r="X858" i="4"/>
  <c r="X857" i="4"/>
  <c r="X856" i="4"/>
  <c r="X855" i="4"/>
  <c r="X854" i="4"/>
  <c r="X853" i="4"/>
  <c r="X852" i="4"/>
  <c r="X851" i="4"/>
  <c r="X850" i="4"/>
  <c r="X849" i="4"/>
  <c r="X848" i="4"/>
  <c r="X847" i="4"/>
  <c r="X846" i="4"/>
  <c r="X845" i="4"/>
  <c r="X844" i="4"/>
  <c r="X843" i="4"/>
  <c r="X842" i="4"/>
  <c r="X841" i="4"/>
  <c r="X840" i="4"/>
  <c r="X839" i="4"/>
  <c r="X838" i="4"/>
  <c r="X837" i="4"/>
  <c r="X836" i="4"/>
  <c r="X835" i="4"/>
  <c r="X834" i="4"/>
  <c r="X833" i="4"/>
  <c r="X832" i="4"/>
  <c r="X831" i="4"/>
  <c r="X830" i="4"/>
  <c r="X829" i="4"/>
  <c r="X828" i="4"/>
  <c r="X827" i="4"/>
  <c r="X826" i="4"/>
  <c r="X825" i="4"/>
  <c r="X824" i="4"/>
  <c r="X823" i="4"/>
  <c r="X822" i="4"/>
  <c r="X821" i="4"/>
  <c r="X820" i="4"/>
  <c r="X819" i="4"/>
  <c r="X818" i="4"/>
  <c r="X817" i="4"/>
  <c r="X816" i="4"/>
  <c r="X815" i="4"/>
  <c r="X814" i="4"/>
  <c r="X813" i="4"/>
  <c r="X812" i="4"/>
  <c r="X811" i="4"/>
  <c r="X810" i="4"/>
  <c r="X809" i="4"/>
  <c r="X808" i="4"/>
  <c r="X807" i="4"/>
  <c r="X806" i="4"/>
  <c r="X805" i="4"/>
  <c r="X804" i="4"/>
  <c r="X803" i="4"/>
  <c r="X802" i="4"/>
  <c r="X801" i="4"/>
  <c r="X800" i="4"/>
  <c r="X799" i="4"/>
  <c r="X798" i="4"/>
  <c r="X797" i="4"/>
  <c r="X796" i="4"/>
  <c r="X795" i="4"/>
  <c r="X794" i="4"/>
  <c r="X793" i="4"/>
  <c r="X792" i="4"/>
  <c r="X791" i="4"/>
  <c r="X790" i="4"/>
  <c r="X789" i="4"/>
  <c r="X788" i="4"/>
  <c r="X787" i="4"/>
  <c r="X786" i="4"/>
  <c r="X785" i="4"/>
  <c r="X784" i="4"/>
  <c r="X783" i="4"/>
  <c r="X782" i="4"/>
  <c r="X781" i="4"/>
  <c r="X780" i="4"/>
  <c r="X779" i="4"/>
  <c r="X778" i="4"/>
  <c r="X777" i="4"/>
  <c r="X776" i="4"/>
  <c r="X775" i="4"/>
  <c r="X774" i="4"/>
  <c r="X773" i="4"/>
  <c r="X772" i="4"/>
  <c r="X771" i="4"/>
  <c r="X770" i="4"/>
  <c r="X769" i="4"/>
  <c r="X768" i="4"/>
  <c r="X767" i="4"/>
  <c r="X766" i="4"/>
  <c r="X765" i="4"/>
  <c r="X764" i="4"/>
  <c r="X763" i="4"/>
  <c r="X762" i="4"/>
  <c r="X761" i="4"/>
  <c r="X760" i="4"/>
  <c r="X759" i="4"/>
  <c r="X758" i="4"/>
  <c r="X757" i="4"/>
  <c r="X756" i="4"/>
  <c r="X755" i="4"/>
  <c r="X754" i="4"/>
  <c r="X753" i="4"/>
  <c r="X752" i="4"/>
  <c r="X751" i="4"/>
  <c r="X750" i="4"/>
  <c r="X749" i="4"/>
  <c r="X748" i="4"/>
  <c r="X747" i="4"/>
  <c r="X746" i="4"/>
  <c r="X745" i="4"/>
  <c r="X744" i="4"/>
  <c r="X743" i="4"/>
  <c r="X742" i="4"/>
  <c r="X741" i="4"/>
  <c r="X740" i="4"/>
  <c r="X739" i="4"/>
  <c r="X738" i="4"/>
  <c r="X737" i="4"/>
  <c r="X736" i="4"/>
  <c r="X735" i="4"/>
  <c r="X734" i="4"/>
  <c r="X733" i="4"/>
  <c r="X732" i="4"/>
  <c r="X731" i="4"/>
  <c r="X730" i="4"/>
  <c r="X729" i="4"/>
  <c r="X728" i="4"/>
  <c r="X727" i="4"/>
  <c r="X726" i="4"/>
  <c r="X725" i="4"/>
  <c r="X724" i="4"/>
  <c r="X723" i="4"/>
  <c r="X722" i="4"/>
  <c r="X721" i="4"/>
  <c r="X720" i="4"/>
  <c r="X719" i="4"/>
  <c r="X718" i="4"/>
  <c r="X717" i="4"/>
  <c r="X716" i="4"/>
  <c r="X715" i="4"/>
  <c r="X714" i="4"/>
  <c r="X713" i="4"/>
  <c r="X712" i="4"/>
  <c r="X711" i="4"/>
  <c r="X710" i="4"/>
  <c r="X709" i="4"/>
  <c r="X708" i="4"/>
  <c r="X707" i="4"/>
  <c r="X706" i="4"/>
  <c r="X705" i="4"/>
  <c r="X704" i="4"/>
  <c r="X703" i="4"/>
  <c r="X702" i="4"/>
  <c r="X701" i="4"/>
  <c r="X700" i="4"/>
  <c r="X699" i="4"/>
  <c r="X698" i="4"/>
  <c r="X697" i="4"/>
  <c r="X696" i="4"/>
  <c r="X695" i="4"/>
  <c r="X694" i="4"/>
  <c r="X693" i="4"/>
  <c r="X692" i="4"/>
  <c r="X691" i="4"/>
  <c r="X690" i="4"/>
  <c r="X689" i="4"/>
  <c r="X688" i="4"/>
  <c r="X687" i="4"/>
  <c r="X686" i="4"/>
  <c r="X685" i="4"/>
  <c r="X684" i="4"/>
  <c r="X683" i="4"/>
  <c r="X682" i="4"/>
  <c r="X681" i="4"/>
  <c r="X680" i="4"/>
  <c r="X679" i="4"/>
  <c r="X678" i="4"/>
  <c r="X677" i="4"/>
  <c r="X676" i="4"/>
  <c r="X675" i="4"/>
  <c r="X674" i="4"/>
  <c r="X673" i="4"/>
  <c r="X672" i="4"/>
  <c r="X671" i="4"/>
  <c r="X670" i="4"/>
  <c r="X669" i="4"/>
  <c r="X668" i="4"/>
  <c r="X667" i="4"/>
  <c r="X666" i="4"/>
  <c r="X665" i="4"/>
  <c r="X664" i="4"/>
  <c r="X663" i="4"/>
  <c r="X662" i="4"/>
  <c r="X661" i="4"/>
  <c r="X660" i="4"/>
  <c r="X659" i="4"/>
  <c r="X658" i="4"/>
  <c r="X657" i="4"/>
  <c r="X656" i="4"/>
  <c r="X655" i="4"/>
  <c r="X654" i="4"/>
  <c r="X653" i="4"/>
  <c r="X652" i="4"/>
  <c r="X651" i="4"/>
  <c r="X650" i="4"/>
  <c r="X649" i="4"/>
  <c r="X648" i="4"/>
  <c r="X647" i="4"/>
  <c r="X646" i="4"/>
  <c r="X645" i="4"/>
  <c r="X644" i="4"/>
  <c r="X643" i="4"/>
  <c r="X642" i="4"/>
  <c r="X641" i="4"/>
  <c r="X640" i="4"/>
  <c r="X639" i="4"/>
  <c r="X638" i="4"/>
  <c r="X637" i="4"/>
  <c r="X636" i="4"/>
  <c r="X635" i="4"/>
  <c r="X634" i="4"/>
  <c r="X633" i="4"/>
  <c r="X632" i="4"/>
  <c r="X631" i="4"/>
  <c r="X630" i="4"/>
  <c r="X629" i="4"/>
  <c r="X628" i="4"/>
  <c r="X627" i="4"/>
  <c r="X626" i="4"/>
  <c r="X625" i="4"/>
  <c r="X624" i="4"/>
  <c r="X623" i="4"/>
  <c r="X622" i="4"/>
  <c r="X621" i="4"/>
  <c r="X620" i="4"/>
  <c r="X619" i="4"/>
  <c r="X618" i="4"/>
  <c r="X617" i="4"/>
  <c r="X616" i="4"/>
  <c r="X615" i="4"/>
  <c r="X614" i="4"/>
  <c r="X613" i="4"/>
  <c r="X612" i="4"/>
  <c r="X611" i="4"/>
  <c r="X610" i="4"/>
  <c r="X609" i="4"/>
  <c r="X608" i="4"/>
  <c r="X607" i="4"/>
  <c r="X606" i="4"/>
  <c r="X605" i="4"/>
  <c r="X604" i="4"/>
  <c r="X603" i="4"/>
  <c r="X602" i="4"/>
  <c r="X601" i="4"/>
  <c r="X600" i="4"/>
  <c r="X599" i="4"/>
  <c r="X598" i="4"/>
  <c r="X597" i="4"/>
  <c r="X596" i="4"/>
  <c r="X595" i="4"/>
  <c r="X594" i="4"/>
  <c r="X593" i="4"/>
  <c r="X592" i="4"/>
  <c r="X591" i="4"/>
  <c r="X590" i="4"/>
  <c r="X589" i="4"/>
  <c r="X588" i="4"/>
  <c r="X587" i="4"/>
  <c r="X586" i="4"/>
  <c r="X585" i="4"/>
  <c r="X584" i="4"/>
  <c r="X583" i="4"/>
  <c r="X582" i="4"/>
  <c r="X581" i="4"/>
  <c r="X580" i="4"/>
  <c r="X579" i="4"/>
  <c r="X578" i="4"/>
  <c r="X577" i="4"/>
  <c r="X576" i="4"/>
  <c r="X575" i="4"/>
  <c r="X574" i="4"/>
  <c r="X573" i="4"/>
  <c r="X572" i="4"/>
  <c r="X571" i="4"/>
  <c r="X570" i="4"/>
  <c r="X569" i="4"/>
  <c r="X568" i="4"/>
  <c r="X567" i="4"/>
  <c r="X566" i="4"/>
  <c r="X565" i="4"/>
  <c r="X564" i="4"/>
  <c r="X563" i="4"/>
  <c r="X562" i="4"/>
  <c r="X561" i="4"/>
  <c r="X560" i="4"/>
  <c r="X559" i="4"/>
  <c r="X558" i="4"/>
  <c r="X557" i="4"/>
  <c r="X556" i="4"/>
  <c r="X555" i="4"/>
  <c r="X554" i="4"/>
  <c r="X553" i="4"/>
  <c r="X552" i="4"/>
  <c r="X551" i="4"/>
  <c r="X550" i="4"/>
  <c r="X549" i="4"/>
  <c r="X548" i="4"/>
  <c r="X547" i="4"/>
  <c r="X546" i="4"/>
  <c r="X545" i="4"/>
  <c r="X544" i="4"/>
  <c r="X543" i="4"/>
  <c r="X542" i="4"/>
  <c r="X541" i="4"/>
  <c r="X540" i="4"/>
  <c r="X539" i="4"/>
  <c r="X538" i="4"/>
  <c r="X537" i="4"/>
  <c r="X536" i="4"/>
  <c r="X535" i="4"/>
  <c r="X534" i="4"/>
  <c r="X533" i="4"/>
  <c r="X532" i="4"/>
  <c r="X531" i="4"/>
  <c r="X530" i="4"/>
  <c r="X529" i="4"/>
  <c r="X528" i="4"/>
  <c r="X527" i="4"/>
  <c r="X526" i="4"/>
  <c r="X525" i="4"/>
  <c r="X524" i="4"/>
  <c r="X523" i="4"/>
  <c r="X522" i="4"/>
  <c r="X521" i="4"/>
  <c r="X520" i="4"/>
  <c r="X519" i="4"/>
  <c r="X518" i="4"/>
  <c r="X517" i="4"/>
  <c r="X516" i="4"/>
  <c r="X515" i="4"/>
  <c r="X514" i="4"/>
  <c r="X513" i="4"/>
  <c r="X512" i="4"/>
  <c r="X511" i="4"/>
  <c r="X510" i="4"/>
  <c r="X509" i="4"/>
  <c r="X508" i="4"/>
  <c r="X507" i="4"/>
  <c r="X506" i="4"/>
  <c r="X505" i="4"/>
  <c r="X504" i="4"/>
  <c r="X503" i="4"/>
  <c r="X502" i="4"/>
  <c r="X501" i="4"/>
  <c r="X500" i="4"/>
  <c r="X499" i="4"/>
  <c r="X498" i="4"/>
  <c r="X497" i="4"/>
  <c r="X496" i="4"/>
  <c r="X495" i="4"/>
  <c r="X494" i="4"/>
  <c r="X493" i="4"/>
  <c r="X492" i="4"/>
  <c r="X491" i="4"/>
  <c r="X490" i="4"/>
  <c r="X489" i="4"/>
  <c r="X488" i="4"/>
  <c r="X487" i="4"/>
  <c r="X486" i="4"/>
  <c r="X485" i="4"/>
  <c r="X484" i="4"/>
  <c r="X483" i="4"/>
  <c r="X482" i="4"/>
  <c r="X481" i="4"/>
  <c r="X480" i="4"/>
  <c r="X479" i="4"/>
  <c r="X478" i="4"/>
  <c r="X477" i="4"/>
  <c r="X476" i="4"/>
  <c r="X475" i="4"/>
  <c r="X474" i="4"/>
  <c r="X473" i="4"/>
  <c r="X472" i="4"/>
  <c r="X471" i="4"/>
  <c r="X470" i="4"/>
  <c r="X469" i="4"/>
  <c r="X468" i="4"/>
  <c r="X467" i="4"/>
  <c r="X466" i="4"/>
  <c r="X465" i="4"/>
  <c r="X464" i="4"/>
  <c r="X463" i="4"/>
  <c r="X462" i="4"/>
  <c r="X461" i="4"/>
  <c r="X460" i="4"/>
  <c r="X459" i="4"/>
  <c r="X458" i="4"/>
  <c r="X457" i="4"/>
  <c r="X456" i="4"/>
  <c r="X455" i="4"/>
  <c r="X454" i="4"/>
  <c r="X453" i="4"/>
  <c r="X452" i="4"/>
  <c r="X451" i="4"/>
  <c r="X450" i="4"/>
  <c r="X449" i="4"/>
  <c r="X448" i="4"/>
  <c r="X447" i="4"/>
  <c r="X446" i="4"/>
  <c r="X445" i="4"/>
  <c r="X444" i="4"/>
  <c r="X443" i="4"/>
  <c r="X442" i="4"/>
  <c r="X441" i="4"/>
  <c r="X440" i="4"/>
  <c r="X439" i="4"/>
  <c r="X438" i="4"/>
  <c r="X437" i="4"/>
  <c r="X436" i="4"/>
  <c r="X435" i="4"/>
  <c r="X434" i="4"/>
  <c r="X433" i="4"/>
  <c r="X432" i="4"/>
  <c r="X431" i="4"/>
  <c r="X430" i="4"/>
  <c r="X429" i="4"/>
  <c r="X428" i="4"/>
  <c r="X427" i="4"/>
  <c r="X426" i="4"/>
  <c r="X425" i="4"/>
  <c r="X424" i="4"/>
  <c r="X423" i="4"/>
  <c r="X422" i="4"/>
  <c r="X421" i="4"/>
  <c r="X420" i="4"/>
  <c r="X419" i="4"/>
  <c r="X418" i="4"/>
  <c r="X417" i="4"/>
  <c r="X416" i="4"/>
  <c r="X415" i="4"/>
  <c r="X414" i="4"/>
  <c r="X413" i="4"/>
  <c r="X412" i="4"/>
  <c r="X411" i="4"/>
  <c r="X410" i="4"/>
  <c r="X409" i="4"/>
  <c r="X408" i="4"/>
  <c r="X407" i="4"/>
  <c r="X406" i="4"/>
  <c r="X405" i="4"/>
  <c r="X404" i="4"/>
  <c r="X403" i="4"/>
  <c r="X402" i="4"/>
  <c r="X401" i="4"/>
  <c r="X400" i="4"/>
  <c r="X399" i="4"/>
  <c r="X398" i="4"/>
  <c r="X397" i="4"/>
  <c r="X396" i="4"/>
  <c r="X395" i="4"/>
  <c r="X394" i="4"/>
  <c r="X393" i="4"/>
  <c r="X392" i="4"/>
  <c r="X391" i="4"/>
  <c r="X390" i="4"/>
  <c r="X389" i="4"/>
  <c r="X388" i="4"/>
  <c r="X387" i="4"/>
  <c r="X386" i="4"/>
  <c r="X385" i="4"/>
  <c r="X384" i="4"/>
  <c r="X383" i="4"/>
  <c r="X382" i="4"/>
  <c r="X381" i="4"/>
  <c r="X380" i="4"/>
  <c r="X379" i="4"/>
  <c r="X378" i="4"/>
  <c r="X377" i="4"/>
  <c r="X376" i="4"/>
  <c r="X375" i="4"/>
  <c r="X374" i="4"/>
  <c r="X373" i="4"/>
  <c r="X372" i="4"/>
  <c r="X371" i="4"/>
  <c r="X370" i="4"/>
  <c r="X369" i="4"/>
  <c r="X368" i="4"/>
  <c r="X367" i="4"/>
  <c r="X366" i="4"/>
  <c r="X365" i="4"/>
  <c r="X364" i="4"/>
  <c r="X363" i="4"/>
  <c r="X362" i="4"/>
  <c r="X361" i="4"/>
  <c r="X360" i="4"/>
  <c r="X359" i="4"/>
  <c r="X358" i="4"/>
  <c r="X357" i="4"/>
  <c r="X356" i="4"/>
  <c r="X355" i="4"/>
  <c r="X354" i="4"/>
  <c r="X353" i="4"/>
  <c r="X352" i="4"/>
  <c r="X351" i="4"/>
  <c r="X350" i="4"/>
  <c r="X349" i="4"/>
  <c r="X348" i="4"/>
  <c r="X347" i="4"/>
  <c r="X346" i="4"/>
  <c r="X345" i="4"/>
  <c r="X344" i="4"/>
  <c r="X343" i="4"/>
  <c r="X342" i="4"/>
  <c r="X341" i="4"/>
  <c r="X340" i="4"/>
  <c r="X339" i="4"/>
  <c r="X338" i="4"/>
  <c r="X337" i="4"/>
  <c r="X336" i="4"/>
  <c r="X335" i="4"/>
  <c r="X334" i="4"/>
  <c r="X333" i="4"/>
  <c r="X332" i="4"/>
  <c r="X331" i="4"/>
  <c r="X330" i="4"/>
  <c r="X329" i="4"/>
  <c r="X328" i="4"/>
  <c r="X327" i="4"/>
  <c r="X326" i="4"/>
  <c r="X325" i="4"/>
  <c r="X324" i="4"/>
  <c r="X323" i="4"/>
  <c r="X322" i="4"/>
  <c r="X321" i="4"/>
  <c r="X320" i="4"/>
  <c r="X319" i="4"/>
  <c r="X318" i="4"/>
  <c r="X317" i="4"/>
  <c r="X316" i="4"/>
  <c r="X315" i="4"/>
  <c r="X314" i="4"/>
  <c r="X313" i="4"/>
  <c r="X312" i="4"/>
  <c r="X311" i="4"/>
  <c r="X310" i="4"/>
  <c r="X309" i="4"/>
  <c r="X308" i="4"/>
  <c r="X307" i="4"/>
  <c r="X306" i="4"/>
  <c r="X305" i="4"/>
  <c r="X304" i="4"/>
  <c r="X303" i="4"/>
  <c r="X302" i="4"/>
  <c r="X301" i="4"/>
  <c r="X300" i="4"/>
  <c r="X299" i="4"/>
  <c r="X298" i="4"/>
  <c r="X297" i="4"/>
  <c r="X296" i="4"/>
  <c r="X295" i="4"/>
  <c r="X294" i="4"/>
  <c r="X293" i="4"/>
  <c r="X292" i="4"/>
  <c r="X291" i="4"/>
  <c r="X290" i="4"/>
  <c r="X289" i="4"/>
  <c r="X288" i="4"/>
  <c r="X287" i="4"/>
  <c r="X286" i="4"/>
  <c r="X285" i="4"/>
  <c r="X284" i="4"/>
  <c r="X283" i="4"/>
  <c r="X282" i="4"/>
  <c r="X281" i="4"/>
  <c r="X280" i="4"/>
  <c r="X279" i="4"/>
  <c r="X278" i="4"/>
  <c r="X277" i="4"/>
  <c r="X276" i="4"/>
  <c r="X275" i="4"/>
  <c r="X274" i="4"/>
  <c r="X273" i="4"/>
  <c r="X272" i="4"/>
  <c r="X271" i="4"/>
  <c r="X270" i="4"/>
  <c r="X269" i="4"/>
  <c r="X268" i="4"/>
  <c r="X267" i="4"/>
  <c r="X266" i="4"/>
  <c r="X265" i="4"/>
  <c r="X264" i="4"/>
  <c r="X263" i="4"/>
  <c r="X262" i="4"/>
  <c r="X261" i="4"/>
  <c r="X260" i="4"/>
  <c r="X259" i="4"/>
  <c r="X258" i="4"/>
  <c r="X257" i="4"/>
  <c r="X256" i="4"/>
  <c r="X255" i="4"/>
  <c r="X254" i="4"/>
  <c r="X253" i="4"/>
  <c r="X252" i="4"/>
  <c r="X251" i="4"/>
  <c r="X250" i="4"/>
  <c r="X249" i="4"/>
  <c r="X248" i="4"/>
  <c r="X247" i="4"/>
  <c r="X246" i="4"/>
  <c r="X245" i="4"/>
  <c r="X244" i="4"/>
  <c r="X243" i="4"/>
  <c r="X242" i="4"/>
  <c r="X241" i="4"/>
  <c r="X240" i="4"/>
  <c r="X239" i="4"/>
  <c r="X238" i="4"/>
  <c r="X237" i="4"/>
  <c r="X236" i="4"/>
  <c r="X235" i="4"/>
  <c r="X234" i="4"/>
  <c r="X233" i="4"/>
  <c r="X232" i="4"/>
  <c r="X231" i="4"/>
  <c r="X230" i="4"/>
  <c r="X229" i="4"/>
  <c r="X228" i="4"/>
  <c r="X227" i="4"/>
  <c r="X226" i="4"/>
  <c r="X225" i="4"/>
  <c r="X224" i="4"/>
  <c r="X223" i="4"/>
  <c r="X222" i="4"/>
  <c r="X221" i="4"/>
  <c r="X220" i="4"/>
  <c r="X219" i="4"/>
  <c r="X218" i="4"/>
  <c r="X217" i="4"/>
  <c r="X216" i="4"/>
  <c r="X215" i="4"/>
  <c r="X214" i="4"/>
  <c r="X213" i="4"/>
  <c r="X212" i="4"/>
  <c r="X211" i="4"/>
  <c r="X210" i="4"/>
  <c r="X209" i="4"/>
  <c r="X208" i="4"/>
  <c r="X207" i="4"/>
  <c r="X206" i="4"/>
  <c r="X205" i="4"/>
  <c r="X204" i="4"/>
  <c r="X203" i="4"/>
  <c r="X202" i="4"/>
  <c r="X201" i="4"/>
  <c r="X200" i="4"/>
  <c r="X199" i="4"/>
  <c r="X198" i="4"/>
  <c r="X197" i="4"/>
  <c r="X196" i="4"/>
  <c r="X195" i="4"/>
  <c r="X194" i="4"/>
  <c r="X193" i="4"/>
  <c r="X192" i="4"/>
  <c r="X191" i="4"/>
  <c r="X190" i="4"/>
  <c r="X189" i="4"/>
  <c r="X188" i="4"/>
  <c r="X187" i="4"/>
  <c r="X186" i="4"/>
  <c r="X185" i="4"/>
  <c r="X184" i="4"/>
  <c r="X183" i="4"/>
  <c r="X182" i="4"/>
  <c r="X181" i="4"/>
  <c r="X180" i="4"/>
  <c r="X179" i="4"/>
  <c r="X178" i="4"/>
  <c r="X177" i="4"/>
  <c r="X176" i="4"/>
  <c r="X175" i="4"/>
  <c r="X174" i="4"/>
  <c r="X173" i="4"/>
  <c r="X172" i="4"/>
  <c r="X171" i="4"/>
  <c r="X170" i="4"/>
  <c r="X169" i="4"/>
  <c r="X168" i="4"/>
  <c r="X167" i="4"/>
  <c r="X166" i="4"/>
  <c r="X165" i="4"/>
  <c r="X164" i="4"/>
  <c r="X163" i="4"/>
  <c r="X162" i="4"/>
  <c r="X161" i="4"/>
  <c r="X160" i="4"/>
  <c r="X159" i="4"/>
  <c r="X158" i="4"/>
  <c r="X157" i="4"/>
  <c r="X156" i="4"/>
  <c r="X155" i="4"/>
  <c r="X154" i="4"/>
  <c r="X153" i="4"/>
  <c r="X152" i="4"/>
  <c r="X151" i="4"/>
  <c r="X150" i="4"/>
  <c r="X149" i="4"/>
  <c r="X148" i="4"/>
  <c r="X147" i="4"/>
  <c r="X146" i="4"/>
  <c r="X145" i="4"/>
  <c r="X144" i="4"/>
  <c r="X143" i="4"/>
  <c r="X142" i="4"/>
  <c r="X141" i="4"/>
  <c r="X140" i="4"/>
  <c r="X139" i="4"/>
  <c r="X138" i="4"/>
  <c r="X137" i="4"/>
  <c r="X136" i="4"/>
  <c r="X135" i="4"/>
  <c r="X134" i="4"/>
  <c r="X133" i="4"/>
  <c r="X132" i="4"/>
  <c r="X131" i="4"/>
  <c r="X130" i="4"/>
  <c r="X129" i="4"/>
  <c r="X128" i="4"/>
  <c r="X127" i="4"/>
  <c r="X126" i="4"/>
  <c r="X125" i="4"/>
  <c r="X124" i="4"/>
  <c r="X123" i="4"/>
  <c r="X122" i="4"/>
  <c r="X121" i="4"/>
  <c r="X120" i="4"/>
  <c r="X119" i="4"/>
  <c r="X118" i="4"/>
  <c r="X117" i="4"/>
  <c r="X116" i="4"/>
  <c r="X115" i="4"/>
  <c r="X114" i="4"/>
  <c r="X113" i="4"/>
  <c r="X112" i="4"/>
  <c r="X111" i="4"/>
  <c r="X110" i="4"/>
  <c r="X109" i="4"/>
  <c r="X108" i="4"/>
  <c r="X107" i="4"/>
  <c r="X106" i="4"/>
  <c r="X105" i="4"/>
  <c r="X104" i="4"/>
  <c r="X103" i="4"/>
  <c r="X102" i="4"/>
  <c r="X101" i="4"/>
  <c r="X100" i="4"/>
  <c r="X99" i="4"/>
  <c r="X98" i="4"/>
  <c r="X97" i="4"/>
  <c r="X96" i="4"/>
  <c r="X95" i="4"/>
  <c r="X94" i="4"/>
  <c r="X93" i="4"/>
  <c r="X92" i="4"/>
  <c r="X91" i="4"/>
  <c r="X90" i="4"/>
  <c r="X89" i="4"/>
  <c r="X88" i="4"/>
  <c r="X87" i="4"/>
  <c r="X86" i="4"/>
  <c r="X85" i="4"/>
  <c r="X84" i="4"/>
  <c r="X83" i="4"/>
  <c r="X82" i="4"/>
  <c r="X81" i="4"/>
  <c r="X80" i="4"/>
  <c r="X79" i="4"/>
  <c r="X78" i="4"/>
  <c r="X77" i="4"/>
  <c r="X76" i="4"/>
  <c r="X75" i="4"/>
  <c r="X74" i="4"/>
  <c r="X73" i="4"/>
  <c r="X72" i="4"/>
  <c r="X71" i="4"/>
  <c r="X70" i="4"/>
  <c r="X69" i="4"/>
  <c r="X68" i="4"/>
  <c r="X67" i="4"/>
  <c r="X66" i="4"/>
  <c r="X65" i="4"/>
  <c r="X64" i="4"/>
  <c r="X63" i="4"/>
  <c r="X62" i="4"/>
  <c r="X61" i="4"/>
  <c r="X60" i="4"/>
  <c r="X59" i="4"/>
  <c r="X58" i="4"/>
  <c r="X57" i="4"/>
  <c r="X56" i="4"/>
  <c r="X55" i="4"/>
  <c r="X54" i="4"/>
  <c r="X53" i="4"/>
  <c r="X52" i="4"/>
  <c r="X51" i="4"/>
  <c r="X50" i="4"/>
  <c r="X49" i="4"/>
  <c r="X48" i="4"/>
  <c r="X47" i="4"/>
  <c r="X46" i="4"/>
  <c r="X45" i="4"/>
  <c r="X44" i="4"/>
  <c r="X43" i="4"/>
  <c r="X42" i="4"/>
  <c r="X41" i="4"/>
  <c r="X40" i="4"/>
  <c r="X39" i="4"/>
  <c r="X38" i="4"/>
  <c r="X37" i="4"/>
  <c r="X36" i="4"/>
  <c r="X35" i="4"/>
  <c r="X34" i="4"/>
  <c r="X33" i="4"/>
  <c r="X32" i="4"/>
  <c r="X31" i="4"/>
  <c r="X30" i="4"/>
  <c r="X29" i="4"/>
  <c r="X28" i="4"/>
  <c r="X27" i="4"/>
  <c r="X26" i="4"/>
  <c r="X25" i="4"/>
  <c r="X24" i="4"/>
  <c r="X23" i="4"/>
  <c r="X22" i="4"/>
  <c r="X21" i="4"/>
  <c r="X20" i="4"/>
  <c r="X19" i="4"/>
  <c r="X18" i="4"/>
  <c r="X17" i="4"/>
  <c r="X16" i="4"/>
  <c r="X15" i="4"/>
  <c r="X14" i="4"/>
  <c r="X13" i="4"/>
  <c r="X12" i="4"/>
  <c r="X11" i="4"/>
  <c r="X10" i="4"/>
  <c r="X9" i="4"/>
  <c r="X8" i="4"/>
  <c r="X7" i="4"/>
  <c r="X6" i="4"/>
  <c r="X5" i="4"/>
  <c r="X4" i="4"/>
  <c r="X3" i="4"/>
  <c r="X2" i="4"/>
  <c r="J44" i="1"/>
  <c r="I44" i="1"/>
  <c r="H44" i="1"/>
  <c r="J43" i="1"/>
  <c r="I43" i="1"/>
  <c r="H43" i="1"/>
  <c r="J42" i="1"/>
  <c r="I42" i="1"/>
  <c r="H42" i="1"/>
  <c r="J41" i="1"/>
  <c r="I41" i="1"/>
  <c r="H41" i="1"/>
  <c r="J40" i="1"/>
  <c r="I40" i="1"/>
  <c r="H40" i="1"/>
  <c r="J39" i="1"/>
  <c r="I39" i="1"/>
  <c r="H39" i="1"/>
  <c r="J38" i="1"/>
  <c r="I38" i="1"/>
  <c r="H38" i="1"/>
  <c r="J37" i="1"/>
  <c r="I37" i="1"/>
  <c r="H37" i="1"/>
  <c r="J36" i="1"/>
  <c r="I36" i="1"/>
  <c r="H36" i="1"/>
  <c r="J35" i="1"/>
  <c r="I35" i="1"/>
  <c r="H35" i="1"/>
  <c r="J34" i="1"/>
  <c r="I34" i="1"/>
  <c r="H34" i="1"/>
  <c r="J33" i="1"/>
  <c r="I33" i="1"/>
  <c r="H33" i="1"/>
  <c r="J32" i="1"/>
  <c r="I32" i="1"/>
  <c r="H32" i="1"/>
  <c r="J31" i="1"/>
  <c r="I31" i="1"/>
  <c r="H31" i="1"/>
  <c r="J30" i="1"/>
  <c r="I30" i="1"/>
  <c r="H30" i="1"/>
  <c r="J29" i="1"/>
  <c r="I29" i="1"/>
  <c r="H29" i="1"/>
  <c r="J28" i="1"/>
  <c r="I28" i="1"/>
  <c r="H28" i="1"/>
  <c r="J27" i="1"/>
  <c r="I27" i="1"/>
  <c r="H27" i="1"/>
  <c r="J26" i="1"/>
  <c r="I26" i="1"/>
  <c r="H26" i="1"/>
  <c r="O23" i="1"/>
  <c r="N23" i="1"/>
  <c r="M23" i="1"/>
  <c r="L23" i="1"/>
  <c r="K23" i="1"/>
  <c r="O22" i="1"/>
  <c r="N22" i="1"/>
  <c r="M22" i="1"/>
  <c r="L22" i="1"/>
  <c r="K22" i="1"/>
  <c r="O21" i="1"/>
  <c r="N21" i="1"/>
  <c r="M21" i="1"/>
  <c r="L21" i="1"/>
  <c r="K21" i="1"/>
  <c r="O20" i="1"/>
  <c r="N20" i="1"/>
  <c r="O19" i="1"/>
  <c r="N19" i="1"/>
  <c r="M19" i="1"/>
  <c r="O18" i="1"/>
  <c r="N18" i="1"/>
  <c r="M18" i="1"/>
  <c r="K41" i="1" l="1"/>
  <c r="P19" i="1"/>
  <c r="P20" i="1"/>
  <c r="K31" i="1"/>
  <c r="K32" i="1"/>
  <c r="K42" i="1"/>
  <c r="P23" i="1"/>
  <c r="K37" i="1"/>
  <c r="K33" i="1"/>
  <c r="K38" i="1"/>
  <c r="K29" i="1"/>
  <c r="K36" i="1"/>
  <c r="K40" i="1"/>
  <c r="K26" i="1"/>
  <c r="K30" i="1"/>
  <c r="K27" i="1"/>
  <c r="K35" i="1"/>
  <c r="K39" i="1"/>
  <c r="K43" i="1"/>
  <c r="K34" i="1"/>
  <c r="K28" i="1"/>
  <c r="K44" i="1"/>
  <c r="P21" i="1"/>
  <c r="P18" i="1"/>
  <c r="P22" i="1"/>
  <c r="E10" i="5"/>
  <c r="G13" i="5"/>
  <c r="E25" i="5"/>
  <c r="E8" i="5"/>
  <c r="M23" i="5"/>
  <c r="G5" i="5"/>
  <c r="E20" i="5"/>
  <c r="E18" i="5"/>
  <c r="E26" i="5"/>
  <c r="M14" i="5"/>
  <c r="M5" i="5"/>
  <c r="M9" i="5"/>
  <c r="M21" i="5"/>
  <c r="G4" i="5"/>
  <c r="S36" i="5"/>
  <c r="T36" i="5" s="1"/>
  <c r="M15" i="5"/>
  <c r="E5" i="5"/>
  <c r="M3" i="5"/>
  <c r="M7" i="5"/>
  <c r="M10" i="5"/>
  <c r="G23" i="5"/>
  <c r="M11" i="5"/>
  <c r="E4" i="5"/>
  <c r="E9" i="5"/>
  <c r="M20" i="5"/>
  <c r="E11" i="5"/>
  <c r="E28" i="5"/>
  <c r="G26" i="5"/>
  <c r="G7" i="5"/>
  <c r="M8" i="5"/>
  <c r="M16" i="5"/>
  <c r="G11" i="5"/>
  <c r="T37" i="5"/>
  <c r="G3" i="5"/>
  <c r="E7" i="5"/>
  <c r="M18" i="5"/>
  <c r="M22" i="5"/>
  <c r="G16" i="5"/>
  <c r="S38" i="5"/>
  <c r="G19" i="5"/>
  <c r="G12" i="5"/>
  <c r="G20" i="5"/>
  <c r="E3" i="5"/>
  <c r="G24" i="5"/>
  <c r="E12" i="5"/>
  <c r="E17" i="5"/>
  <c r="M19" i="5"/>
  <c r="E24" i="5"/>
  <c r="G9" i="5"/>
  <c r="G17" i="5"/>
  <c r="M12" i="5"/>
  <c r="G15" i="5"/>
  <c r="M17" i="5"/>
  <c r="M24" i="5"/>
  <c r="E2" i="5"/>
  <c r="S39" i="5"/>
  <c r="T39" i="5" s="1"/>
  <c r="M4" i="5"/>
  <c r="G6" i="5"/>
  <c r="G10" i="5"/>
  <c r="E13" i="5"/>
  <c r="M2" i="5"/>
  <c r="S37" i="5"/>
  <c r="E6" i="5"/>
  <c r="G14" i="5"/>
  <c r="G27" i="5"/>
  <c r="M13" i="5"/>
  <c r="M6" i="5"/>
  <c r="G2" i="5"/>
  <c r="E16" i="5"/>
  <c r="E19" i="5"/>
  <c r="G28" i="5"/>
  <c r="G8" i="5"/>
  <c r="E15" i="5"/>
  <c r="G25" i="5"/>
  <c r="E23" i="5"/>
  <c r="E14" i="5"/>
  <c r="G18" i="5"/>
  <c r="E2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<sst xmlns="http://schemas.openxmlformats.org/spreadsheetml/2006/main" count="9951" uniqueCount="4621">
  <si>
    <t>screen path</t>
  </si>
  <si>
    <t>critère repêchage</t>
  </si>
  <si>
    <t>min poids bench</t>
  </si>
  <si>
    <t>top n of bench</t>
  </si>
  <si>
    <t>min dvd yield</t>
  </si>
  <si>
    <t>min carbon intensity</t>
  </si>
  <si>
    <t>nb top n in sec list</t>
  </si>
  <si>
    <t>Parameters</t>
  </si>
  <si>
    <t>Ponderation multifacteurs</t>
  </si>
  <si>
    <t>Metrics</t>
  </si>
  <si>
    <t>ESG_E</t>
  </si>
  <si>
    <t>ESG_S</t>
  </si>
  <si>
    <t>ESG_G</t>
  </si>
  <si>
    <t>ESG_ANALYST_SCORE</t>
  </si>
  <si>
    <t>CARBON_IMPACT_SCORE</t>
  </si>
  <si>
    <t>CarbonIntensity_Sales</t>
  </si>
  <si>
    <t>CarbonIntensity_EV</t>
  </si>
  <si>
    <t>Dividend Avg Percentile</t>
  </si>
  <si>
    <t>Value Avg Percentile</t>
  </si>
  <si>
    <t>Quality Avg Percentile</t>
  </si>
  <si>
    <t>Mom Avg Percentile</t>
  </si>
  <si>
    <t>Size Avg Percentile</t>
  </si>
  <si>
    <t>LowVol Avg Percentile</t>
  </si>
  <si>
    <t>Growth Avg Percentile</t>
  </si>
  <si>
    <t>PMOM 12M1M</t>
  </si>
  <si>
    <t>EPS Med NTM -3M</t>
  </si>
  <si>
    <t>EPS Med NTM 0</t>
  </si>
  <si>
    <t>EPS NTM 3M Growth</t>
  </si>
  <si>
    <t>EPS Revision Ratio</t>
  </si>
  <si>
    <t>PE LTM</t>
  </si>
  <si>
    <t>PE FY1</t>
  </si>
  <si>
    <t>PB LTM</t>
  </si>
  <si>
    <t>Price to Book FY1</t>
  </si>
  <si>
    <t>PTangibleBook LTM</t>
  </si>
  <si>
    <t>PB / PTangibleBook LTM</t>
  </si>
  <si>
    <t>PB / PTangibleBook NTM</t>
  </si>
  <si>
    <t>PFCF LTM</t>
  </si>
  <si>
    <t>Price to FreeCF FY1</t>
  </si>
  <si>
    <t>EV To EBITDA LTM</t>
  </si>
  <si>
    <t>EV To EBITDA FY1</t>
  </si>
  <si>
    <t>EV to Ebit FY1</t>
  </si>
  <si>
    <t>EV to Sales FY1</t>
  </si>
  <si>
    <t>EV to Sales LTM</t>
  </si>
  <si>
    <t>ROE avg FY0</t>
  </si>
  <si>
    <t>NetDebt to EBITDA exFIN</t>
  </si>
  <si>
    <t>Oper Margin</t>
  </si>
  <si>
    <t>Asset TO exFIN</t>
  </si>
  <si>
    <t>TIER1 Ratio FY0</t>
  </si>
  <si>
    <t>ROTE avg FY1</t>
  </si>
  <si>
    <t>DVD Yield FY0</t>
  </si>
  <si>
    <t>DVD Payout FY0</t>
  </si>
  <si>
    <t>DVD Yield FY1</t>
  </si>
  <si>
    <t>DPS 1Y Growth Forecast</t>
  </si>
  <si>
    <t>DPS FY1</t>
  </si>
  <si>
    <t>Earns Yield FY0</t>
  </si>
  <si>
    <t>Earns Yield FY1</t>
  </si>
  <si>
    <t>Sales Growth FY1</t>
  </si>
  <si>
    <t>Gross Income Growth FY1</t>
  </si>
  <si>
    <t>EPS Growth FY1</t>
  </si>
  <si>
    <t>Daily Vol 60J</t>
  </si>
  <si>
    <t>Daily Vol 90J</t>
  </si>
  <si>
    <t>Daily Vol 260J</t>
  </si>
  <si>
    <t>Net_margin_FY1</t>
  </si>
  <si>
    <t>Net_margin_FY1_chg_3M</t>
  </si>
  <si>
    <t>Net_margin_FY1_chg_6M</t>
  </si>
  <si>
    <t>Net_margin_FY1_chg_12M</t>
  </si>
  <si>
    <t>Ebitda_margin_FY1</t>
  </si>
  <si>
    <t>Ebitda_margin_FY1_chg_3M</t>
  </si>
  <si>
    <t>Ebitda_margin_FY1_chg_6M</t>
  </si>
  <si>
    <t>Ebitda_margin_FY1_chg_12M</t>
  </si>
  <si>
    <t>Multi Avg Percentile</t>
  </si>
  <si>
    <t>returns matrix</t>
  </si>
  <si>
    <t>Region</t>
  </si>
  <si>
    <t>North America</t>
  </si>
  <si>
    <t>West Europe</t>
  </si>
  <si>
    <t>Asia</t>
  </si>
  <si>
    <t>Pacific</t>
  </si>
  <si>
    <t>Mid East</t>
  </si>
  <si>
    <t>East Europe</t>
  </si>
  <si>
    <t>Poids moyen par titre</t>
  </si>
  <si>
    <t>Secteur</t>
  </si>
  <si>
    <t>Inclusion (top)</t>
  </si>
  <si>
    <t>Exclusion (worst)</t>
  </si>
  <si>
    <t>Nom</t>
  </si>
  <si>
    <t>Déviation</t>
  </si>
  <si>
    <t>Banks</t>
  </si>
  <si>
    <t>Basic Resources</t>
  </si>
  <si>
    <t>Chemicals</t>
  </si>
  <si>
    <t>Construction &amp; Materials</t>
  </si>
  <si>
    <t>Financial Services</t>
  </si>
  <si>
    <t>Food, Beverage &amp; Tobacco</t>
  </si>
  <si>
    <t>Health Care</t>
  </si>
  <si>
    <t>Industrial Goods &amp; Services</t>
  </si>
  <si>
    <t>Insurance</t>
  </si>
  <si>
    <t>Media</t>
  </si>
  <si>
    <t>Energy</t>
  </si>
  <si>
    <t>Personal &amp; Household Goods</t>
  </si>
  <si>
    <t>Real Estate</t>
  </si>
  <si>
    <t>Retail</t>
  </si>
  <si>
    <t>Technology</t>
  </si>
  <si>
    <t>Telecommunications</t>
  </si>
  <si>
    <t>Travel &amp; Leisure</t>
  </si>
  <si>
    <t>Utilities</t>
  </si>
  <si>
    <t>Auto &amp; Parts</t>
  </si>
  <si>
    <t>lb : divide bench weight by</t>
  </si>
  <si>
    <t>ub : multiply bench weight by</t>
  </si>
  <si>
    <t>min poids ptf</t>
  </si>
  <si>
    <t>max poids ptf</t>
  </si>
  <si>
    <t>US12541W2098</t>
  </si>
  <si>
    <t>US64110D1046</t>
  </si>
  <si>
    <t>US0865161014</t>
  </si>
  <si>
    <t>US7591EP1005</t>
  </si>
  <si>
    <t>US83088M1027</t>
  </si>
  <si>
    <t>US55261F1049</t>
  </si>
  <si>
    <t>US6819191064</t>
  </si>
  <si>
    <t>US3724601055</t>
  </si>
  <si>
    <t>US12514G1085</t>
  </si>
  <si>
    <t>CA56501R1064</t>
  </si>
  <si>
    <t>US14448C1045</t>
  </si>
  <si>
    <t>US6937181088</t>
  </si>
  <si>
    <t>US5950171042</t>
  </si>
  <si>
    <t>US0320951017</t>
  </si>
  <si>
    <t>NL0009538784</t>
  </si>
  <si>
    <t>US4824801009</t>
  </si>
  <si>
    <t>CA0636711016</t>
  </si>
  <si>
    <t>SE0000242455</t>
  </si>
  <si>
    <t>GB0005603997</t>
  </si>
  <si>
    <t>FR0000124141</t>
  </si>
  <si>
    <t>US5128071082</t>
  </si>
  <si>
    <t>SE0000148884</t>
  </si>
  <si>
    <t>NO0010161896</t>
  </si>
  <si>
    <t>BE0003565737</t>
  </si>
  <si>
    <t>CA8911605092</t>
  </si>
  <si>
    <t>JP3830800003</t>
  </si>
  <si>
    <t>US0382221051</t>
  </si>
  <si>
    <t>US3755581036</t>
  </si>
  <si>
    <t>FI4000297767</t>
  </si>
  <si>
    <t>US1491231015</t>
  </si>
  <si>
    <t>US0367521038</t>
  </si>
  <si>
    <t>US5398301094</t>
  </si>
  <si>
    <t>US5486611073</t>
  </si>
  <si>
    <t>CH0025238863</t>
  </si>
  <si>
    <t>JP3519400000</t>
  </si>
  <si>
    <t>US0311621009</t>
  </si>
  <si>
    <t>SG1M31001969</t>
  </si>
  <si>
    <t>SE0000115446</t>
  </si>
  <si>
    <t>ES0113211835</t>
  </si>
  <si>
    <t>AU000000ANZ3</t>
  </si>
  <si>
    <t>AU000000FMG4</t>
  </si>
  <si>
    <t>DE0005552004</t>
  </si>
  <si>
    <t>NL00150001Q9</t>
  </si>
  <si>
    <t>JP3732000009</t>
  </si>
  <si>
    <t>IE00B4BNMY34</t>
  </si>
  <si>
    <t>US11135F1012</t>
  </si>
  <si>
    <t>US17275R1023</t>
  </si>
  <si>
    <t>US7170811035</t>
  </si>
  <si>
    <t>US4370761029</t>
  </si>
  <si>
    <t>GB0005405286</t>
  </si>
  <si>
    <t>US58933Y1055</t>
  </si>
  <si>
    <t>GB0007188757</t>
  </si>
  <si>
    <t>CH0012032048</t>
  </si>
  <si>
    <t>US91324P1021</t>
  </si>
  <si>
    <t>JP3571400005</t>
  </si>
  <si>
    <t>IT0000072618</t>
  </si>
  <si>
    <t>US0126531013</t>
  </si>
  <si>
    <t>IE00BK9ZQ967</t>
  </si>
  <si>
    <t>US55354G1004</t>
  </si>
  <si>
    <t>US0995021062</t>
  </si>
  <si>
    <t>US7458671010</t>
  </si>
  <si>
    <t>US23331A1097</t>
  </si>
  <si>
    <t>US6541061031</t>
  </si>
  <si>
    <t>US8725401090</t>
  </si>
  <si>
    <t>US7475251036</t>
  </si>
  <si>
    <t>US2810201077</t>
  </si>
  <si>
    <t>US46625H1005</t>
  </si>
  <si>
    <t>US5949181045</t>
  </si>
  <si>
    <t>US0378331005</t>
  </si>
  <si>
    <t>C.H. Robinson Worldwide, Inc.</t>
  </si>
  <si>
    <t>NetApp, Inc.</t>
  </si>
  <si>
    <t>Best Buy Co., Inc.</t>
  </si>
  <si>
    <t>Regions Financial Corporation</t>
  </si>
  <si>
    <t>Skyworks Solutions, Inc.</t>
  </si>
  <si>
    <t>M&amp;T Bank Corporation</t>
  </si>
  <si>
    <t>Omnicom Group Inc</t>
  </si>
  <si>
    <t>Genuine Parts Company</t>
  </si>
  <si>
    <t>Manulife Financial Corporation</t>
  </si>
  <si>
    <t>Carrier Global Corp.</t>
  </si>
  <si>
    <t>PACCAR Inc</t>
  </si>
  <si>
    <t>Microchip Technology Incorporated</t>
  </si>
  <si>
    <t>Amphenol Corporation Class A</t>
  </si>
  <si>
    <t>NXP Semiconductors NV</t>
  </si>
  <si>
    <t>KLA Corporation</t>
  </si>
  <si>
    <t>Bank of Montreal</t>
  </si>
  <si>
    <t>Swedbank AB Class A</t>
  </si>
  <si>
    <t>Legal &amp; General Group Plc</t>
  </si>
  <si>
    <t>Veolia Environnement SA</t>
  </si>
  <si>
    <t>Lam Research Corporation</t>
  </si>
  <si>
    <t>Skandinaviska Enskilda Banken AB Class A</t>
  </si>
  <si>
    <t>DNB Bank ASA</t>
  </si>
  <si>
    <t>KBC Group N.V.</t>
  </si>
  <si>
    <t>Toronto-Dominion Bank</t>
  </si>
  <si>
    <t>Bridgestone Corporation</t>
  </si>
  <si>
    <t>Applied Materials, Inc.</t>
  </si>
  <si>
    <t>Wesfarmers Limited</t>
  </si>
  <si>
    <t>Gilead Sciences, Inc.</t>
  </si>
  <si>
    <t>Nordea Bank Abp</t>
  </si>
  <si>
    <t>Caterpillar Inc.</t>
  </si>
  <si>
    <t>Elevance Health, Inc.</t>
  </si>
  <si>
    <t>Lockheed Martin Corporation</t>
  </si>
  <si>
    <t>Lowe's Companies, Inc.</t>
  </si>
  <si>
    <t>Kuehne &amp; Nagel International AG</t>
  </si>
  <si>
    <t>Chugai Pharmaceutical Co., Ltd.</t>
  </si>
  <si>
    <t>Amgen Inc.</t>
  </si>
  <si>
    <t>Volvo AB Class B</t>
  </si>
  <si>
    <t>Banco Bilbao Vizcaya Argentaria, S.A.</t>
  </si>
  <si>
    <t>ANZ Group Holdings Limited</t>
  </si>
  <si>
    <t>Deutsche Post AG</t>
  </si>
  <si>
    <t>Stellantis N.V.</t>
  </si>
  <si>
    <t>SoftBank Corp.</t>
  </si>
  <si>
    <t>Accenture Plc Class A</t>
  </si>
  <si>
    <t>Broadcom Inc.</t>
  </si>
  <si>
    <t>Cisco Systems, Inc.</t>
  </si>
  <si>
    <t>Pfizer Inc.</t>
  </si>
  <si>
    <t>Home Depot, Inc.</t>
  </si>
  <si>
    <t>HSBC Holdings Plc</t>
  </si>
  <si>
    <t>Merck &amp; Co., Inc.</t>
  </si>
  <si>
    <t>Rio Tinto plc</t>
  </si>
  <si>
    <t>Roche Holding Ltd Dividend Right Cert.</t>
  </si>
  <si>
    <t>UnitedHealth Group Incorporated</t>
  </si>
  <si>
    <t>Tokyo Electron Ltd.</t>
  </si>
  <si>
    <t>Intesa Sanpaolo S.p.A.</t>
  </si>
  <si>
    <t>Albemarle Corporation</t>
  </si>
  <si>
    <t>Trane Technologies plc</t>
  </si>
  <si>
    <t>MSCI Inc. Class A</t>
  </si>
  <si>
    <t>Booz Allen Hamilton Holding Corporation Class A</t>
  </si>
  <si>
    <t>PulteGroup, Inc.</t>
  </si>
  <si>
    <t>D.R. Horton, Inc.</t>
  </si>
  <si>
    <t>NIKE, Inc. Class B</t>
  </si>
  <si>
    <t>TJX Companies Inc</t>
  </si>
  <si>
    <t>QUALCOMM Incorporated</t>
  </si>
  <si>
    <t>Edison International</t>
  </si>
  <si>
    <t>JPMorgan Chase &amp; Co.</t>
  </si>
  <si>
    <t>Microsoft Corporation</t>
  </si>
  <si>
    <t>Apple Inc.</t>
  </si>
  <si>
    <t>UNITED STATES</t>
  </si>
  <si>
    <t>CANADA</t>
  </si>
  <si>
    <t>SWEDEN</t>
  </si>
  <si>
    <t>UNITED KINGDOM</t>
  </si>
  <si>
    <t>JAPAN</t>
  </si>
  <si>
    <t>FRANCE</t>
  </si>
  <si>
    <t>AUSTRALIA</t>
  </si>
  <si>
    <t>NORWAY</t>
  </si>
  <si>
    <t>BELGIUM</t>
  </si>
  <si>
    <t>HONG KONG</t>
  </si>
  <si>
    <t>SWITZERLAND</t>
  </si>
  <si>
    <t>SINGAPORE</t>
  </si>
  <si>
    <t>SPAIN</t>
  </si>
  <si>
    <t>GERMANY</t>
  </si>
  <si>
    <t>ITALY</t>
  </si>
  <si>
    <t>ISIN</t>
  </si>
  <si>
    <t>Name</t>
  </si>
  <si>
    <t>Country</t>
  </si>
  <si>
    <t>Sector</t>
  </si>
  <si>
    <t>Weight</t>
  </si>
  <si>
    <t>Score E</t>
  </si>
  <si>
    <t>Score S</t>
  </si>
  <si>
    <t>Score G</t>
  </si>
  <si>
    <t>Score ESG</t>
  </si>
  <si>
    <t>Dvd yield</t>
  </si>
  <si>
    <t>Carbon Intensity</t>
  </si>
  <si>
    <t>CA6837151068</t>
  </si>
  <si>
    <t>US5253271028</t>
  </si>
  <si>
    <t>CA89156V1067</t>
  </si>
  <si>
    <t>CA5592224011</t>
  </si>
  <si>
    <t>CA3359341052</t>
  </si>
  <si>
    <t>CA92938W2022</t>
  </si>
  <si>
    <t>US4461501045</t>
  </si>
  <si>
    <t>Huntington Bancshares Incorporated</t>
  </si>
  <si>
    <t>CA3039011026</t>
  </si>
  <si>
    <t>CA7392391016</t>
  </si>
  <si>
    <t>JE00BJ1F3079</t>
  </si>
  <si>
    <t>US2058871029</t>
  </si>
  <si>
    <t>Conagra Brands, Inc.</t>
  </si>
  <si>
    <t>CA6330671034</t>
  </si>
  <si>
    <t>National Bank of Canada</t>
  </si>
  <si>
    <t>US8923561067</t>
  </si>
  <si>
    <t>Tractor Supply Company</t>
  </si>
  <si>
    <t>US1924461023</t>
  </si>
  <si>
    <t>Cognizant Technology Solutions Corporation Class A</t>
  </si>
  <si>
    <t>US68902V1070</t>
  </si>
  <si>
    <t>Otis Worldwide Corporation</t>
  </si>
  <si>
    <t>CA1360691010</t>
  </si>
  <si>
    <t>Canadian Imperial Bank of Commerce</t>
  </si>
  <si>
    <t>IL0002730112</t>
  </si>
  <si>
    <t>ISRAEL</t>
  </si>
  <si>
    <t>AU000000BXB1</t>
  </si>
  <si>
    <t>Brambles Limited</t>
  </si>
  <si>
    <t>FR0000051807</t>
  </si>
  <si>
    <t>NETHERLANDS</t>
  </si>
  <si>
    <t>FR0010908533</t>
  </si>
  <si>
    <t>CA0641491075</t>
  </si>
  <si>
    <t>Bank of Nova Scotia</t>
  </si>
  <si>
    <t>IRELAND</t>
  </si>
  <si>
    <t>DK0010274414</t>
  </si>
  <si>
    <t>Danske Bank A/S</t>
  </si>
  <si>
    <t>DENMARK</t>
  </si>
  <si>
    <t>FR0000130809</t>
  </si>
  <si>
    <t>Societe Generale S.A. Class A</t>
  </si>
  <si>
    <t>CH0030170408</t>
  </si>
  <si>
    <t>JP3304200003</t>
  </si>
  <si>
    <t>KYG2177B1014</t>
  </si>
  <si>
    <t>CK Asset Holdings Limited</t>
  </si>
  <si>
    <t>GB0004082847</t>
  </si>
  <si>
    <t>Standard Chartered PLC</t>
  </si>
  <si>
    <t>DE0005140008</t>
  </si>
  <si>
    <t>Deutsche Bank Aktiengesellschaft</t>
  </si>
  <si>
    <t>FR0010307819</t>
  </si>
  <si>
    <t>Legrand SA</t>
  </si>
  <si>
    <t>ES0140609019</t>
  </si>
  <si>
    <t>CaixaBank SA</t>
  </si>
  <si>
    <t>GB0031348658</t>
  </si>
  <si>
    <t>Barclays PLC</t>
  </si>
  <si>
    <t>JP3946750001</t>
  </si>
  <si>
    <t>Japan Post Bank Co., Ltd.</t>
  </si>
  <si>
    <t>GB00BM8PJY71</t>
  </si>
  <si>
    <t>NatWest Group Plc</t>
  </si>
  <si>
    <t>IT0000062072</t>
  </si>
  <si>
    <t>Assicurazioni Generali S.p.A.</t>
  </si>
  <si>
    <t>JP3885780001</t>
  </si>
  <si>
    <t>Mizuho Financial Group, Inc.</t>
  </si>
  <si>
    <t>FR0000045072</t>
  </si>
  <si>
    <t>Credit Agricole SA</t>
  </si>
  <si>
    <t>IT0005239360</t>
  </si>
  <si>
    <t>UniCredit S.p.A.</t>
  </si>
  <si>
    <t>GB0008706128</t>
  </si>
  <si>
    <t>Lloyds Banking Group plc</t>
  </si>
  <si>
    <t>AU0000224040</t>
  </si>
  <si>
    <t>Woodside Energy Group Ltd</t>
  </si>
  <si>
    <t>CA7800871021</t>
  </si>
  <si>
    <t>Royal Bank of Canada</t>
  </si>
  <si>
    <t>GB00B1XZS820</t>
  </si>
  <si>
    <t>Anglo American plc</t>
  </si>
  <si>
    <t>NL0011821202</t>
  </si>
  <si>
    <t>ING Groep NV</t>
  </si>
  <si>
    <t>SG1S04926220</t>
  </si>
  <si>
    <t>Oversea-Chinese Banking Corporation Limited</t>
  </si>
  <si>
    <t>DE000BASF111</t>
  </si>
  <si>
    <t>JP3463000004</t>
  </si>
  <si>
    <t>Takeda Pharmaceutical Co. Ltd.</t>
  </si>
  <si>
    <t>JP3551500006</t>
  </si>
  <si>
    <t>DENSO CORPORATION</t>
  </si>
  <si>
    <t>US0028241000</t>
  </si>
  <si>
    <t>Abbott Laboratories</t>
  </si>
  <si>
    <t>ES0113900J37</t>
  </si>
  <si>
    <t>Banco Santander, S.A.</t>
  </si>
  <si>
    <t>JP3890350006</t>
  </si>
  <si>
    <t>Sumitomo Mitsui Financial Group, Inc.</t>
  </si>
  <si>
    <t>SG1L01001701</t>
  </si>
  <si>
    <t>DBS Group Holdings Ltd</t>
  </si>
  <si>
    <t>FR0000120628</t>
  </si>
  <si>
    <t>AXA SA</t>
  </si>
  <si>
    <t>FR0000131104</t>
  </si>
  <si>
    <t>BNP Paribas S.A. Class A</t>
  </si>
  <si>
    <t>AU000000WBC1</t>
  </si>
  <si>
    <t>Westpac Banking Corporation</t>
  </si>
  <si>
    <t>HK0388045442</t>
  </si>
  <si>
    <t>Hong Kong Exchanges &amp; Clearing Ltd.</t>
  </si>
  <si>
    <t>AU000000NAB4</t>
  </si>
  <si>
    <t>National Australia Bank Limited</t>
  </si>
  <si>
    <t>JP3902900004</t>
  </si>
  <si>
    <t>Mitsubishi UFJ Financial Group, Inc.</t>
  </si>
  <si>
    <t>US5324571083</t>
  </si>
  <si>
    <t>Eli Lilly and Company</t>
  </si>
  <si>
    <t>FR0000121485</t>
  </si>
  <si>
    <t>Novo Nordisk A/S Class B</t>
  </si>
  <si>
    <t>TotalEnergies SE</t>
  </si>
  <si>
    <t>AU000000CBA7</t>
  </si>
  <si>
    <t>Commonwealth Bank of Australia</t>
  </si>
  <si>
    <t>Nb titres</t>
  </si>
  <si>
    <t>Ptf</t>
  </si>
  <si>
    <t>Bench</t>
  </si>
  <si>
    <t>+/-</t>
  </si>
  <si>
    <t>Métriques</t>
  </si>
  <si>
    <t>TE</t>
  </si>
  <si>
    <t>Nb titres ptf</t>
  </si>
  <si>
    <t>top</t>
  </si>
  <si>
    <t>liste noire</t>
  </si>
  <si>
    <t>ordre repêchage</t>
  </si>
  <si>
    <t>optim</t>
  </si>
  <si>
    <t>Exchange Country Region</t>
  </si>
  <si>
    <t>Repêchage</t>
  </si>
  <si>
    <t>Top weights</t>
  </si>
  <si>
    <t>Liste optim</t>
  </si>
  <si>
    <t>Min TE</t>
  </si>
  <si>
    <t>Max Div</t>
  </si>
  <si>
    <t>Min var</t>
  </si>
  <si>
    <t xml:space="preserve">Benchmark ICB Supersector </t>
  </si>
  <si>
    <t>min ub</t>
  </si>
  <si>
    <t>&lt; 0.20%</t>
  </si>
  <si>
    <t>&gt; 0.20%</t>
  </si>
  <si>
    <t>CA70137W1086</t>
  </si>
  <si>
    <t>Parkland Corporation</t>
  </si>
  <si>
    <t>CA0089118776</t>
  </si>
  <si>
    <t>Air Canada</t>
  </si>
  <si>
    <t>IL0011574030</t>
  </si>
  <si>
    <t>Isracard Ltd.</t>
  </si>
  <si>
    <t>CA68272K1030</t>
  </si>
  <si>
    <t>Onex Corporation</t>
  </si>
  <si>
    <t>CA6979001089</t>
  </si>
  <si>
    <t>Pan American Silver Corp.</t>
  </si>
  <si>
    <t>CA2918434077</t>
  </si>
  <si>
    <t>Empire Co. Ltd. Class A</t>
  </si>
  <si>
    <t>CA7669101031</t>
  </si>
  <si>
    <t>CA45075E1043</t>
  </si>
  <si>
    <t>CA1247651088</t>
  </si>
  <si>
    <t>US7703231032</t>
  </si>
  <si>
    <t>JP3830000000</t>
  </si>
  <si>
    <t>CA87241L1094</t>
  </si>
  <si>
    <t>CA7481932084</t>
  </si>
  <si>
    <t>US04621X1081</t>
  </si>
  <si>
    <t>CA4495861060</t>
  </si>
  <si>
    <t>CA1366812024</t>
  </si>
  <si>
    <t>US0708301041</t>
  </si>
  <si>
    <t>US8926721064</t>
  </si>
  <si>
    <t>US92840M1027</t>
  </si>
  <si>
    <t>US2283681060</t>
  </si>
  <si>
    <t>JP3937200008</t>
  </si>
  <si>
    <t>US12769G1004</t>
  </si>
  <si>
    <t>CA9528451052</t>
  </si>
  <si>
    <t>US4464131063</t>
  </si>
  <si>
    <t>IE00BFRT3W74</t>
  </si>
  <si>
    <t>US2774321002</t>
  </si>
  <si>
    <t>US0259321042</t>
  </si>
  <si>
    <t>US29530P1021</t>
  </si>
  <si>
    <t>US02005N1000</t>
  </si>
  <si>
    <t>US5218652049</t>
  </si>
  <si>
    <t>CA1249003098</t>
  </si>
  <si>
    <t>US37959E1029</t>
  </si>
  <si>
    <t>CA4932711001</t>
  </si>
  <si>
    <t>CA3759161035</t>
  </si>
  <si>
    <t>US34964C1062</t>
  </si>
  <si>
    <t>US31620R3030</t>
  </si>
  <si>
    <t>US1598641074</t>
  </si>
  <si>
    <t>US8064071025</t>
  </si>
  <si>
    <t>US36118L1061</t>
  </si>
  <si>
    <t>CA4969024047</t>
  </si>
  <si>
    <t>CA1367178326</t>
  </si>
  <si>
    <t>US7841171033</t>
  </si>
  <si>
    <t>US4990491049</t>
  </si>
  <si>
    <t>US24703L2025</t>
  </si>
  <si>
    <t>CA11284V1058</t>
  </si>
  <si>
    <t>US8318652091</t>
  </si>
  <si>
    <t>US64125C1099</t>
  </si>
  <si>
    <t>US7588491032</t>
  </si>
  <si>
    <t>CA5503721063</t>
  </si>
  <si>
    <t>IL0011334468</t>
  </si>
  <si>
    <t>US96145D1054</t>
  </si>
  <si>
    <t>US0900431000</t>
  </si>
  <si>
    <t>US29452E1010</t>
  </si>
  <si>
    <t>US65249B1098</t>
  </si>
  <si>
    <t>US1431301027</t>
  </si>
  <si>
    <t>US60871R2094</t>
  </si>
  <si>
    <t>US26210C1045</t>
  </si>
  <si>
    <t>CA8911021050</t>
  </si>
  <si>
    <t>US23918K1088</t>
  </si>
  <si>
    <t>US1011211018</t>
  </si>
  <si>
    <t>US5261071071</t>
  </si>
  <si>
    <t>IE00B4Q5ZN47</t>
  </si>
  <si>
    <t>US8816242098</t>
  </si>
  <si>
    <t>US74736K1016</t>
  </si>
  <si>
    <t>CA87262K1057</t>
  </si>
  <si>
    <t>CA1349211054</t>
  </si>
  <si>
    <t>US4180561072</t>
  </si>
  <si>
    <t>US6293775085</t>
  </si>
  <si>
    <t>US91879Q1094</t>
  </si>
  <si>
    <t>US98954M2008</t>
  </si>
  <si>
    <t>CA2908761018</t>
  </si>
  <si>
    <t>CA33767E2024</t>
  </si>
  <si>
    <t>US77543R1023</t>
  </si>
  <si>
    <t>US3156161024</t>
  </si>
  <si>
    <t>IE00BLS09M33</t>
  </si>
  <si>
    <t>US0357108390</t>
  </si>
  <si>
    <t>CA46579R1047</t>
  </si>
  <si>
    <t>CA0213611001</t>
  </si>
  <si>
    <t>IL0011301780</t>
  </si>
  <si>
    <t>CA6665111002</t>
  </si>
  <si>
    <t>US9139031002</t>
  </si>
  <si>
    <t>US6907421019</t>
  </si>
  <si>
    <t>JP3762900003</t>
  </si>
  <si>
    <t>CA8029121057</t>
  </si>
  <si>
    <t>Poids bench</t>
  </si>
  <si>
    <t>lb secteur</t>
  </si>
  <si>
    <t>ub secteur</t>
  </si>
  <si>
    <t>nb titres min</t>
  </si>
  <si>
    <t>lb region</t>
  </si>
  <si>
    <t>ub region</t>
  </si>
  <si>
    <t>=</t>
  </si>
  <si>
    <t>Target Beta</t>
  </si>
  <si>
    <t>Min</t>
  </si>
  <si>
    <t>Max</t>
  </si>
  <si>
    <t>CA13321L1085</t>
  </si>
  <si>
    <t>JP3944130008</t>
  </si>
  <si>
    <t>US30063P1057</t>
  </si>
  <si>
    <t>US8330341012</t>
  </si>
  <si>
    <t>US9026531049</t>
  </si>
  <si>
    <t>JP3888300005</t>
  </si>
  <si>
    <t>JP3688370000</t>
  </si>
  <si>
    <t>CA4488112083</t>
  </si>
  <si>
    <t>US3802371076</t>
  </si>
  <si>
    <t>AU0000088338</t>
  </si>
  <si>
    <t>JP3039710003</t>
  </si>
  <si>
    <t>JP3845770001</t>
  </si>
  <si>
    <t>US74834L1008</t>
  </si>
  <si>
    <t>US5380341090</t>
  </si>
  <si>
    <t>US1508701034</t>
  </si>
  <si>
    <t>US6951561090</t>
  </si>
  <si>
    <t>US8962391004</t>
  </si>
  <si>
    <t>JP3787000003</t>
  </si>
  <si>
    <t>JP3511800009</t>
  </si>
  <si>
    <t>IL0006912120</t>
  </si>
  <si>
    <t>US72352L1061</t>
  </si>
  <si>
    <t>JP3443600006</t>
  </si>
  <si>
    <t>JP3955000009</t>
  </si>
  <si>
    <t>US5303073051</t>
  </si>
  <si>
    <t>US8545021011</t>
  </si>
  <si>
    <t>US9831341071</t>
  </si>
  <si>
    <t>JP3597800006</t>
  </si>
  <si>
    <t>US0536111091</t>
  </si>
  <si>
    <t>JP3278600006</t>
  </si>
  <si>
    <t>GB00BMVP7Y09</t>
  </si>
  <si>
    <t>JP3047550003</t>
  </si>
  <si>
    <t>US42250P1030</t>
  </si>
  <si>
    <t>US87165B1035</t>
  </si>
  <si>
    <t>US3024913036</t>
  </si>
  <si>
    <t>US46284V1017</t>
  </si>
  <si>
    <t>US2561631068</t>
  </si>
  <si>
    <t>AU000000ORI1</t>
  </si>
  <si>
    <t>US91332U1016</t>
  </si>
  <si>
    <t>JP3385980002</t>
  </si>
  <si>
    <t>US05352A1007</t>
  </si>
  <si>
    <t>US1746101054</t>
  </si>
  <si>
    <t>US60855R1005</t>
  </si>
  <si>
    <t>JP3585800000</t>
  </si>
  <si>
    <t>JP3596200000</t>
  </si>
  <si>
    <t>US0997241064</t>
  </si>
  <si>
    <t>US25754A2015</t>
  </si>
  <si>
    <t>US8793691069</t>
  </si>
  <si>
    <t>CA59162N1096</t>
  </si>
  <si>
    <t>JP3799000009</t>
  </si>
  <si>
    <t>US30212P3038</t>
  </si>
  <si>
    <t>US5018892084</t>
  </si>
  <si>
    <t>US61945C1036</t>
  </si>
  <si>
    <t>JP3820000002</t>
  </si>
  <si>
    <t>PA1436583006</t>
  </si>
  <si>
    <t>US44107P1049</t>
  </si>
  <si>
    <t>US89400J1079</t>
  </si>
  <si>
    <t>JP3196000008</t>
  </si>
  <si>
    <t>US0905722072</t>
  </si>
  <si>
    <t>US4606901001</t>
  </si>
  <si>
    <t>US82968B1035</t>
  </si>
  <si>
    <t>US1152361010</t>
  </si>
  <si>
    <t>JP3868400007</t>
  </si>
  <si>
    <t>US15677J1088</t>
  </si>
  <si>
    <t>US4932671088</t>
  </si>
  <si>
    <t>US90138F1021</t>
  </si>
  <si>
    <t>JP3131090007</t>
  </si>
  <si>
    <t>US3546131018</t>
  </si>
  <si>
    <t>US12503M1080</t>
  </si>
  <si>
    <t>IL0010824113</t>
  </si>
  <si>
    <t>JP3164630000</t>
  </si>
  <si>
    <t>US14316J1088</t>
  </si>
  <si>
    <t>US9581021055</t>
  </si>
  <si>
    <t>US2971781057</t>
  </si>
  <si>
    <t>US1252691001</t>
  </si>
  <si>
    <t>AU000000GPT8</t>
  </si>
  <si>
    <t>US69370C1009</t>
  </si>
  <si>
    <t>US1344291091</t>
  </si>
  <si>
    <t>US09073M1045</t>
  </si>
  <si>
    <t>CA36168Q1046</t>
  </si>
  <si>
    <t>US29786A1060</t>
  </si>
  <si>
    <t>US57060D1081</t>
  </si>
  <si>
    <t>KYG8187G1055</t>
  </si>
  <si>
    <t>JP3359600008</t>
  </si>
  <si>
    <t>JP3110650003</t>
  </si>
  <si>
    <t>US5404241086</t>
  </si>
  <si>
    <t>US30034W1062</t>
  </si>
  <si>
    <t>US92556H2067</t>
  </si>
  <si>
    <t>US83304A1060</t>
  </si>
  <si>
    <t>AU000000SEK6</t>
  </si>
  <si>
    <t>US3021301094</t>
  </si>
  <si>
    <t>US1331311027</t>
  </si>
  <si>
    <t>US65473P1057</t>
  </si>
  <si>
    <t>JP3358800005</t>
  </si>
  <si>
    <t>JP3973400009</t>
  </si>
  <si>
    <t>US0188021085</t>
  </si>
  <si>
    <t>SG1R89002252</t>
  </si>
  <si>
    <t>AU000000MGR9</t>
  </si>
  <si>
    <t>AU000000VCX7</t>
  </si>
  <si>
    <t>NZTELE0001S4</t>
  </si>
  <si>
    <t>US6687711084</t>
  </si>
  <si>
    <t>AU000000AZJ1</t>
  </si>
  <si>
    <t>JP3400400002</t>
  </si>
  <si>
    <t>US1220171060</t>
  </si>
  <si>
    <t>AU000000DXS1</t>
  </si>
  <si>
    <t>NZMRPE0001S2</t>
  </si>
  <si>
    <t>JP3148800000</t>
  </si>
  <si>
    <t>US60937P1066</t>
  </si>
  <si>
    <t>US7140461093</t>
  </si>
  <si>
    <t>US4262811015</t>
  </si>
  <si>
    <t>US7496851038</t>
  </si>
  <si>
    <t>US00971T1016</t>
  </si>
  <si>
    <t>US19260Q1076</t>
  </si>
  <si>
    <t>AU000000IEL5</t>
  </si>
  <si>
    <t>US8832031012</t>
  </si>
  <si>
    <t>JP3190000004</t>
  </si>
  <si>
    <t>US00130H1059</t>
  </si>
  <si>
    <t>US5529531015</t>
  </si>
  <si>
    <t>US69608A1088</t>
  </si>
  <si>
    <t>US48203R1041</t>
  </si>
  <si>
    <t>US92556V1061</t>
  </si>
  <si>
    <t>JP3305990008</t>
  </si>
  <si>
    <t>US6792951054</t>
  </si>
  <si>
    <t>BMG3223R1088</t>
  </si>
  <si>
    <t>US9022521051</t>
  </si>
  <si>
    <t>JP3750500005</t>
  </si>
  <si>
    <t>US0495601058</t>
  </si>
  <si>
    <t>LR0008862868</t>
  </si>
  <si>
    <t>US5745991068</t>
  </si>
  <si>
    <t>US29670G1022</t>
  </si>
  <si>
    <t>US2681501092</t>
  </si>
  <si>
    <t>US4601461035</t>
  </si>
  <si>
    <t>US76954A1034</t>
  </si>
  <si>
    <t>JP3414750004</t>
  </si>
  <si>
    <t>US3030751057</t>
  </si>
  <si>
    <t>US92936U1097</t>
  </si>
  <si>
    <t>US57667L1070</t>
  </si>
  <si>
    <t>US08265T2087</t>
  </si>
  <si>
    <t>US29472R1086</t>
  </si>
  <si>
    <t>US73278L1052</t>
  </si>
  <si>
    <t>US78467J1007</t>
  </si>
  <si>
    <t>JP3322930003</t>
  </si>
  <si>
    <t>JP3436120004</t>
  </si>
  <si>
    <t>US0844231029</t>
  </si>
  <si>
    <t>US8326964058</t>
  </si>
  <si>
    <t>US1488061029</t>
  </si>
  <si>
    <t>US29362U1043</t>
  </si>
  <si>
    <t>US6556631025</t>
  </si>
  <si>
    <t>IE00BKVD2N49</t>
  </si>
  <si>
    <t>JP3047510007</t>
  </si>
  <si>
    <t>JP3048110005</t>
  </si>
  <si>
    <t>JP3027680002</t>
  </si>
  <si>
    <t>US45337C1027</t>
  </si>
  <si>
    <t>US9892071054</t>
  </si>
  <si>
    <t>US8807701029</t>
  </si>
  <si>
    <t>Snap-on Incorporated</t>
  </si>
  <si>
    <t>US6826801036</t>
  </si>
  <si>
    <t>ONEOK, Inc.</t>
  </si>
  <si>
    <t>IL0006046119</t>
  </si>
  <si>
    <t>JP3347200002</t>
  </si>
  <si>
    <t>Shionogi &amp; Co., Ltd.</t>
  </si>
  <si>
    <t>US7607591002</t>
  </si>
  <si>
    <t>Republic Services, Inc.</t>
  </si>
  <si>
    <t>JP3420600003</t>
  </si>
  <si>
    <t>Sekisui House, Ltd.</t>
  </si>
  <si>
    <t>IT0003796171</t>
  </si>
  <si>
    <t>US5719032022</t>
  </si>
  <si>
    <t>Marriott International, Inc. Class A</t>
  </si>
  <si>
    <t>US91913Y1001</t>
  </si>
  <si>
    <t>Valero Energy Corporation</t>
  </si>
  <si>
    <t>AUSTRIA</t>
  </si>
  <si>
    <t>SE0007100599</t>
  </si>
  <si>
    <t>Svenska Handelsbanken AB Class A</t>
  </si>
  <si>
    <t>US8552441094</t>
  </si>
  <si>
    <t>Starbucks Corporation</t>
  </si>
  <si>
    <t>US5801351017</t>
  </si>
  <si>
    <t>McDonald's Corporation</t>
  </si>
  <si>
    <t>AltaGas Ltd.</t>
  </si>
  <si>
    <t>RioCan Real Estate Investment Trust</t>
  </si>
  <si>
    <t>Keyera Corp.</t>
  </si>
  <si>
    <t>Futu Holdings Ltd. Sponsored ADR Class A</t>
  </si>
  <si>
    <t>Lundin Mining Corporation</t>
  </si>
  <si>
    <t>TMX Group Ltd.</t>
  </si>
  <si>
    <t>Wix.com Ltd.</t>
  </si>
  <si>
    <t>Quebecor Inc. Class B</t>
  </si>
  <si>
    <t>West Fraser Timber Co. Ltd.</t>
  </si>
  <si>
    <t>Gildan Activewear Inc.</t>
  </si>
  <si>
    <t>Kinross Gold Corporation</t>
  </si>
  <si>
    <t>Brookfield Renewable Corp. Class A</t>
  </si>
  <si>
    <t>CyberArk Software Ltd.</t>
  </si>
  <si>
    <t>Dropbox, Inc. Class A</t>
  </si>
  <si>
    <t>Canadian Apartment Properties Real Estate Investment Trust</t>
  </si>
  <si>
    <t>FirstService Corp</t>
  </si>
  <si>
    <t>Northland Power Inc.</t>
  </si>
  <si>
    <t>iA Financial Corporation Inc.</t>
  </si>
  <si>
    <t>Assurant, Inc.</t>
  </si>
  <si>
    <t>Toromont Industries Ltd.</t>
  </si>
  <si>
    <t>CAE Inc.</t>
  </si>
  <si>
    <t>IGM Financial Inc.</t>
  </si>
  <si>
    <t>Canadian Utilities Limited Class A</t>
  </si>
  <si>
    <t>DaVita Inc.</t>
  </si>
  <si>
    <t>Hasbro, Inc.</t>
  </si>
  <si>
    <t>Canadian Tire Corporation, Limited Class A</t>
  </si>
  <si>
    <t>Ally Financial Inc</t>
  </si>
  <si>
    <t>Fortune Brands Innovations, Inc.</t>
  </si>
  <si>
    <t>SEI Investments Company</t>
  </si>
  <si>
    <t>WestRock Company</t>
  </si>
  <si>
    <t>NRG Energy, Inc.</t>
  </si>
  <si>
    <t>Roku, Inc. Class A</t>
  </si>
  <si>
    <t>Universal Health Services, Inc. Class B</t>
  </si>
  <si>
    <t>Bath &amp; Body Works, Inc.</t>
  </si>
  <si>
    <t>Huntington Ingalls Industries, Inc.</t>
  </si>
  <si>
    <t>Lear Corporation</t>
  </si>
  <si>
    <t>A. O. Smith Corporation</t>
  </si>
  <si>
    <t>Boston Properties, Inc.</t>
  </si>
  <si>
    <t>F5, Inc.</t>
  </si>
  <si>
    <t>Owens Corning</t>
  </si>
  <si>
    <t>Tradeweb Markets, Inc. Class A</t>
  </si>
  <si>
    <t>CCL Industries Inc. Class B</t>
  </si>
  <si>
    <t>Knight-Swift Transportation Holdings Inc. Class A</t>
  </si>
  <si>
    <t>Lennox International Inc.</t>
  </si>
  <si>
    <t>Pentair plc</t>
  </si>
  <si>
    <t>KeyCorp</t>
  </si>
  <si>
    <t>Concordia Financial Group, Ltd.</t>
  </si>
  <si>
    <t>Seagate Technology Holdings PLC</t>
  </si>
  <si>
    <t>Citizens Financial Group, Inc.</t>
  </si>
  <si>
    <t>MarketAxess Holdings Inc.</t>
  </si>
  <si>
    <t>Chiba Bank, Ltd.</t>
  </si>
  <si>
    <t>Israel Discount Bank Limited Class A</t>
  </si>
  <si>
    <t>FactSet Research Systems Inc.</t>
  </si>
  <si>
    <t>Broadridge Financial Solutions, Inc.</t>
  </si>
  <si>
    <t>US3167731005</t>
  </si>
  <si>
    <t>Fifth Third Bancorp</t>
  </si>
  <si>
    <t>US1890541097</t>
  </si>
  <si>
    <t>Clorox Company</t>
  </si>
  <si>
    <t>IL0006954379</t>
  </si>
  <si>
    <t>Mizrahi Tefahot Bank Ltd</t>
  </si>
  <si>
    <t>US2547091080</t>
  </si>
  <si>
    <t>Discover Financial Services</t>
  </si>
  <si>
    <t>US29355A1079</t>
  </si>
  <si>
    <t>Enphase Energy, Inc.</t>
  </si>
  <si>
    <t>US4062161017</t>
  </si>
  <si>
    <t>Halliburton Company</t>
  </si>
  <si>
    <t>US7445731067</t>
  </si>
  <si>
    <t>JP3500610005</t>
  </si>
  <si>
    <t>Resona Holdings, Inc.</t>
  </si>
  <si>
    <t>IL0006625771</t>
  </si>
  <si>
    <t>Bank Hapoalim BM</t>
  </si>
  <si>
    <t>US8288061091</t>
  </si>
  <si>
    <t>Simon Property Group, Inc.</t>
  </si>
  <si>
    <t>US4278661081</t>
  </si>
  <si>
    <t>Hershey Company</t>
  </si>
  <si>
    <t>IT0000062957</t>
  </si>
  <si>
    <t>JP3892100003</t>
  </si>
  <si>
    <t>Sumitomo Mitsui Trust Holdings, Inc.</t>
  </si>
  <si>
    <t>IT0000072170</t>
  </si>
  <si>
    <t>FinecoBank SpA</t>
  </si>
  <si>
    <t>CH0025751329</t>
  </si>
  <si>
    <t>Logitech International S.A.</t>
  </si>
  <si>
    <t>US89832Q1094</t>
  </si>
  <si>
    <t>Truist Financial Corporation</t>
  </si>
  <si>
    <t>JP3173400007</t>
  </si>
  <si>
    <t>OBIC Co., Ltd.</t>
  </si>
  <si>
    <t>FR0011981968</t>
  </si>
  <si>
    <t>DE000CBK1001</t>
  </si>
  <si>
    <t>Commerzbank AG</t>
  </si>
  <si>
    <t>US3703341046</t>
  </si>
  <si>
    <t>General Mills, Inc.</t>
  </si>
  <si>
    <t>US6934751057</t>
  </si>
  <si>
    <t>PNC Financial Services Group, Inc.</t>
  </si>
  <si>
    <t>AT0000652011</t>
  </si>
  <si>
    <t>Erste Group Bank AG</t>
  </si>
  <si>
    <t>NL0011540547</t>
  </si>
  <si>
    <t>ABN AMRO Bank N.V. Depositary receipts</t>
  </si>
  <si>
    <t>US9029733048</t>
  </si>
  <si>
    <t>U.S. Bancorp</t>
  </si>
  <si>
    <t>US22822V1017</t>
  </si>
  <si>
    <t>Crown Castle Inc.</t>
  </si>
  <si>
    <t>US0091581068</t>
  </si>
  <si>
    <t>Air Products and Chemicals, Inc.</t>
  </si>
  <si>
    <t>US58733R1023</t>
  </si>
  <si>
    <t>MercadoLibre, Inc.</t>
  </si>
  <si>
    <t>US94106L1098</t>
  </si>
  <si>
    <t>Waste Management, Inc.</t>
  </si>
  <si>
    <t>US3377381088</t>
  </si>
  <si>
    <t>US1729674242</t>
  </si>
  <si>
    <t>Citigroup Inc.</t>
  </si>
  <si>
    <t>HK0011000095</t>
  </si>
  <si>
    <t>Hang Seng Bank, Limited</t>
  </si>
  <si>
    <t>US09247X1019</t>
  </si>
  <si>
    <t>BlackRock, Inc.</t>
  </si>
  <si>
    <t>HK2388011192</t>
  </si>
  <si>
    <t>BOC Hong Kong (Holdings) Limited</t>
  </si>
  <si>
    <t>US9497461015</t>
  </si>
  <si>
    <t>Wells Fargo &amp; Company</t>
  </si>
  <si>
    <t>US0605051046</t>
  </si>
  <si>
    <t>Bank of America Corp</t>
  </si>
  <si>
    <t>US1912161007</t>
  </si>
  <si>
    <t>Coca-Cola Company</t>
  </si>
  <si>
    <t>US02079K3059</t>
  </si>
  <si>
    <t>Alphabet Inc. Class A</t>
  </si>
  <si>
    <t>Growth Score</t>
  </si>
  <si>
    <t>Momentum score</t>
  </si>
  <si>
    <t>Quality Score</t>
  </si>
  <si>
    <t>Value Score</t>
  </si>
  <si>
    <t>Dividend score</t>
  </si>
  <si>
    <t>Multi score</t>
  </si>
  <si>
    <t>Repechage</t>
  </si>
  <si>
    <t>Raison repechage</t>
  </si>
  <si>
    <t>lb</t>
  </si>
  <si>
    <t>ub</t>
  </si>
  <si>
    <t>Beta</t>
  </si>
  <si>
    <t>Poids ptf</t>
  </si>
  <si>
    <t>&lt; 0.10%</t>
  </si>
  <si>
    <t>Exclusion</t>
  </si>
  <si>
    <t>Inclusion</t>
  </si>
  <si>
    <t>min_lb</t>
  </si>
  <si>
    <t>Essex Property Trust, Inc.</t>
  </si>
  <si>
    <t>Iron Mountain, Inc.</t>
  </si>
  <si>
    <t>Campbell Soup Company</t>
  </si>
  <si>
    <t>US11133T1034</t>
  </si>
  <si>
    <t>NL0009434992</t>
  </si>
  <si>
    <t>LyondellBasell Industries NV</t>
  </si>
  <si>
    <t>Public Service Enterprise Group Inc</t>
  </si>
  <si>
    <t>GB0031743007</t>
  </si>
  <si>
    <t>Burberry Group plc</t>
  </si>
  <si>
    <t>JP3119600009</t>
  </si>
  <si>
    <t>Ajinomoto Co., Inc.</t>
  </si>
  <si>
    <t>Geberit AG</t>
  </si>
  <si>
    <t>Komatsu Ltd.</t>
  </si>
  <si>
    <t>SE0007100581</t>
  </si>
  <si>
    <t>ASSA ABLOY AB Class B</t>
  </si>
  <si>
    <t>GB0007908733</t>
  </si>
  <si>
    <t>SSE plc</t>
  </si>
  <si>
    <t>US5717481023</t>
  </si>
  <si>
    <t>Marsh &amp; McLennan Companies, Inc.</t>
  </si>
  <si>
    <t>AU000000WES1</t>
  </si>
  <si>
    <t>BASF SE</t>
  </si>
  <si>
    <t>JP3756600007</t>
  </si>
  <si>
    <t>Nintendo Co., Ltd.</t>
  </si>
  <si>
    <t>US8825081040</t>
  </si>
  <si>
    <t>Texas Instruments Incorporated</t>
  </si>
  <si>
    <t>DE000BAY0017</t>
  </si>
  <si>
    <t>Bayer AG</t>
  </si>
  <si>
    <t>Kering SA</t>
  </si>
  <si>
    <t>FR0000120578</t>
  </si>
  <si>
    <t>Sanofi</t>
  </si>
  <si>
    <t>FR0000120271</t>
  </si>
  <si>
    <t>Vistra Corp.</t>
  </si>
  <si>
    <t>Allegion Public Limited Company</t>
  </si>
  <si>
    <t>Equitable Holdings, Inc.</t>
  </si>
  <si>
    <t>Jazz Pharmaceuticals Public Limited Company</t>
  </si>
  <si>
    <t>Vail Resorts, Inc.</t>
  </si>
  <si>
    <t>Annaly Capital Management, Inc.</t>
  </si>
  <si>
    <t>Brother Industries, Ltd.</t>
  </si>
  <si>
    <t>Crown Holdings, Inc.</t>
  </si>
  <si>
    <t>Eastman Chemical Company</t>
  </si>
  <si>
    <t>Fidelity National Financial, Inc. - FNF Group</t>
  </si>
  <si>
    <t>Neurocrine Biosciences, Inc.</t>
  </si>
  <si>
    <t>News Corporation Class A</t>
  </si>
  <si>
    <t>Teva Pharmaceutical Industries Limited Sponsored ADR</t>
  </si>
  <si>
    <t>Zillow Group, Inc. Class C</t>
  </si>
  <si>
    <t>TFI International Inc.</t>
  </si>
  <si>
    <t>Azbil Corporation</t>
  </si>
  <si>
    <t>American Financial Group, Inc.</t>
  </si>
  <si>
    <t>Charles River Laboratories International, Inc.</t>
  </si>
  <si>
    <t>Dell Technologies, Inc. Class C</t>
  </si>
  <si>
    <t>CarMax, Inc.</t>
  </si>
  <si>
    <t>Qorvo, Inc.</t>
  </si>
  <si>
    <t>Open Text Corporation</t>
  </si>
  <si>
    <t>Nomura Real Estate Holdings, Inc.</t>
  </si>
  <si>
    <t>Caesars Entertainment Inc</t>
  </si>
  <si>
    <t>Erie Indemnity Company Class A</t>
  </si>
  <si>
    <t>Globe Life Inc.</t>
  </si>
  <si>
    <t>Henry Schein, Inc.</t>
  </si>
  <si>
    <t>Regency Centers Corporation</t>
  </si>
  <si>
    <t>Molson Coors Beverage Company Class B</t>
  </si>
  <si>
    <t>Emera Incorporated</t>
  </si>
  <si>
    <t>Ivanhoe Mines Ltd. Class A</t>
  </si>
  <si>
    <t>Saputo Inc.</t>
  </si>
  <si>
    <t>Camden Property Trust</t>
  </si>
  <si>
    <t>Gen Digital Inc.</t>
  </si>
  <si>
    <t>Jack Henry &amp; Associates, Inc.</t>
  </si>
  <si>
    <t>Juniper Networks, Inc.</t>
  </si>
  <si>
    <t>Masco Corporation</t>
  </si>
  <si>
    <t>Match Group, Inc.</t>
  </si>
  <si>
    <t>Cameco Corporation</t>
  </si>
  <si>
    <t>Yokogawa Electric Corp.</t>
  </si>
  <si>
    <t>BorgWarner Inc.</t>
  </si>
  <si>
    <t>Carnival Corporation</t>
  </si>
  <si>
    <t>Carlyle Group Inc</t>
  </si>
  <si>
    <t>NiSource Inc</t>
  </si>
  <si>
    <t>Aurizon Holdings Ltd.</t>
  </si>
  <si>
    <t>RPM International Inc.</t>
  </si>
  <si>
    <t>Viatris, Inc.</t>
  </si>
  <si>
    <t>Essential Utilities, Inc.</t>
  </si>
  <si>
    <t>USS Co., Ltd.</t>
  </si>
  <si>
    <t>Celanese Corporation</t>
  </si>
  <si>
    <t>DocuSign, Inc.</t>
  </si>
  <si>
    <t>Domino's Pizza, Inc.</t>
  </si>
  <si>
    <t>Host Hotels &amp; Resorts, Inc.</t>
  </si>
  <si>
    <t>Bio-Techne Corporation</t>
  </si>
  <si>
    <t>Shimizu Corporation</t>
  </si>
  <si>
    <t>Bentley Systems, Incorporated Class B</t>
  </si>
  <si>
    <t>Catalent Inc</t>
  </si>
  <si>
    <t>Exact Sciences Corporation</t>
  </si>
  <si>
    <t>GoDaddy, Inc. Class A</t>
  </si>
  <si>
    <t>Liberty Broadband Corp. Class C</t>
  </si>
  <si>
    <t>Healthpeak Properties, Inc.</t>
  </si>
  <si>
    <t>Orica Limited</t>
  </si>
  <si>
    <t>Teleflex Incorporated</t>
  </si>
  <si>
    <t>TransUnion</t>
  </si>
  <si>
    <t>Twilio, Inc. Class A</t>
  </si>
  <si>
    <t>Western Digital Corporation</t>
  </si>
  <si>
    <t>GFL Environmental Inc</t>
  </si>
  <si>
    <t>Sharp Corporation</t>
  </si>
  <si>
    <t>Ricoh Company, Ltd.</t>
  </si>
  <si>
    <t>SCSK Corporation</t>
  </si>
  <si>
    <t>Akamai Technologies, Inc.</t>
  </si>
  <si>
    <t>Dynatrace, Inc.</t>
  </si>
  <si>
    <t>Equity LifeStyle Properties, Inc.</t>
  </si>
  <si>
    <t>Entegris, Inc.</t>
  </si>
  <si>
    <t>Ampol Limited</t>
  </si>
  <si>
    <t>Packaging Corporation of America</t>
  </si>
  <si>
    <t>Stanley Black &amp; Decker, Inc.</t>
  </si>
  <si>
    <t>Synchrony Financial</t>
  </si>
  <si>
    <t>Unity Software, Inc.</t>
  </si>
  <si>
    <t>Metro Inc.</t>
  </si>
  <si>
    <t>Iida Group Holdings Co., Ltd.</t>
  </si>
  <si>
    <t>Asahi Intecc Co., Ltd.</t>
  </si>
  <si>
    <t>Burlington Stores, Inc.</t>
  </si>
  <si>
    <t>Coinbase Global, Inc. Class A</t>
  </si>
  <si>
    <t>International Paper Company</t>
  </si>
  <si>
    <t>Leidos Holdings, Inc.</t>
  </si>
  <si>
    <t>Nordson Corporation</t>
  </si>
  <si>
    <t>Trimble Inc.</t>
  </si>
  <si>
    <t>Wynn Resorts, Limited</t>
  </si>
  <si>
    <t>JSR Corp.</t>
  </si>
  <si>
    <t>HIROSE ELECTRIC CO., LTD.</t>
  </si>
  <si>
    <t>Odakyu Electric Railway Co., Ltd.</t>
  </si>
  <si>
    <t>Franklin Resources, Inc.</t>
  </si>
  <si>
    <t>Loews Corporation</t>
  </si>
  <si>
    <t>Alliant Energy Corp</t>
  </si>
  <si>
    <t>IDP Education Ltd.</t>
  </si>
  <si>
    <t>Okta, Inc. Class A</t>
  </si>
  <si>
    <t>Pool Corporation</t>
  </si>
  <si>
    <t>UDR, Inc.</t>
  </si>
  <si>
    <t>Tourmaline Oil Corp.</t>
  </si>
  <si>
    <t>Hitachi Construction Machinery Co., Ltd.</t>
  </si>
  <si>
    <t>Tobu Railway Co., Ltd.</t>
  </si>
  <si>
    <t>Avantor, Inc.</t>
  </si>
  <si>
    <t>Bio-Rad Laboratories, Inc. Class A</t>
  </si>
  <si>
    <t>Cboe Global Markets Inc</t>
  </si>
  <si>
    <t>CF Industries Holdings, Inc.</t>
  </si>
  <si>
    <t>Etsy, Inc.</t>
  </si>
  <si>
    <t>Evergy, Inc.</t>
  </si>
  <si>
    <t>Dexus</t>
  </si>
  <si>
    <t>Rivian Automotive, Inc. Class A</t>
  </si>
  <si>
    <t>SS&amp;C Technologies Holdings, Inc.</t>
  </si>
  <si>
    <t>GLP J-REIT</t>
  </si>
  <si>
    <t>Mitsui Chemicals, Inc.</t>
  </si>
  <si>
    <t>Japan Metropolitan Fund Investment Corporation</t>
  </si>
  <si>
    <t>Avery Dennison Corporation</t>
  </si>
  <si>
    <t>Expedia Group, Inc.</t>
  </si>
  <si>
    <t>Interpublic Group of Companies, Inc.</t>
  </si>
  <si>
    <t>GPT Group</t>
  </si>
  <si>
    <t>Paramount Global Class B</t>
  </si>
  <si>
    <t>City Developments Limited</t>
  </si>
  <si>
    <t>Mercury NZ Ltd.</t>
  </si>
  <si>
    <t>NEW ZEALAND</t>
  </si>
  <si>
    <t>Textron Inc.</t>
  </si>
  <si>
    <t>Tyler Technologies, Inc.</t>
  </si>
  <si>
    <t>SUMCO Corporation</t>
  </si>
  <si>
    <t>Nomura Real Estate Master Fund, Inc.</t>
  </si>
  <si>
    <t>HOSHIZAKI Corp.</t>
  </si>
  <si>
    <t>Keisei Electric Railway Co., Ltd.</t>
  </si>
  <si>
    <t>FMC Corporation</t>
  </si>
  <si>
    <t>LKQ Corporation</t>
  </si>
  <si>
    <t>PTC Inc.</t>
  </si>
  <si>
    <t>Snap, Inc. Class A</t>
  </si>
  <si>
    <t>Mirvac Group</t>
  </si>
  <si>
    <t>Magna International Inc.</t>
  </si>
  <si>
    <t>Obayashi Corporation</t>
  </si>
  <si>
    <t>Mcdonalds Holdings Company Japan, Ltd.</t>
  </si>
  <si>
    <t>Seiko Epson Corp.</t>
  </si>
  <si>
    <t>SBI Holdings, Inc.</t>
  </si>
  <si>
    <t>Japan Real Estate Investment Corp.</t>
  </si>
  <si>
    <t>NIPPON EXPRESS HOLDINGS,INC.</t>
  </si>
  <si>
    <t>Quest Diagnostics Incorporated</t>
  </si>
  <si>
    <t>Molina Healthcare, Inc.</t>
  </si>
  <si>
    <t>Mosaic Company</t>
  </si>
  <si>
    <t>Sirius XM Holdings, Inc.</t>
  </si>
  <si>
    <t>First Quantum Minerals Ltd.</t>
  </si>
  <si>
    <t>WSP Global Inc.</t>
  </si>
  <si>
    <t>IBIDEN CO., LTD.</t>
  </si>
  <si>
    <t>AES Corporation</t>
  </si>
  <si>
    <t>Atmos Energy Corporation</t>
  </si>
  <si>
    <t>Incyte Corporation</t>
  </si>
  <si>
    <t>Live Nation Entertainment, Inc.</t>
  </si>
  <si>
    <t>Pinterest, Inc. Class A</t>
  </si>
  <si>
    <t>Royalty Pharma Plc Class A</t>
  </si>
  <si>
    <t>Fairfax Financial Holdings Limited</t>
  </si>
  <si>
    <t>Tokyo Electric Power Company Holdings, Incorporated</t>
  </si>
  <si>
    <t>Brown &amp; Brown, Inc.</t>
  </si>
  <si>
    <t>Check Point Software Technologies Ltd.</t>
  </si>
  <si>
    <t>SITC International Holdings Co., Ltd.</t>
  </si>
  <si>
    <t>Seek Limited</t>
  </si>
  <si>
    <t>Vicinity Centres</t>
  </si>
  <si>
    <t>MongoDB, Inc. Class A</t>
  </si>
  <si>
    <t>MGM Resorts International</t>
  </si>
  <si>
    <t>W. P. Carey Inc.</t>
  </si>
  <si>
    <t>W. R. Berkley Corporation</t>
  </si>
  <si>
    <t>Zebra Technologies Corporation Class A</t>
  </si>
  <si>
    <t>Hydro One Limited</t>
  </si>
  <si>
    <t>Power Corporation of Canada</t>
  </si>
  <si>
    <t>Nippon Prologis REIT, Inc.</t>
  </si>
  <si>
    <t>TOTO Ltd</t>
  </si>
  <si>
    <t>Fuji Electric Co., Ltd.</t>
  </si>
  <si>
    <t>Mazda Motor Corp.</t>
  </si>
  <si>
    <t>Square Enix Holdings Co., Ltd.</t>
  </si>
  <si>
    <t>Amcor PLC</t>
  </si>
  <si>
    <t>Expeditors International of Washington, Inc.</t>
  </si>
  <si>
    <t>Spark New Zealand Limited</t>
  </si>
  <si>
    <t>Palantir Technologies Inc. Class A</t>
  </si>
  <si>
    <t>Royal Caribbean Group</t>
  </si>
  <si>
    <t>J.M. Smucker Company</t>
  </si>
  <si>
    <t>Teradyne, Inc.</t>
  </si>
  <si>
    <t>US9024941034</t>
  </si>
  <si>
    <t>Tyson Foods, Inc. Class A</t>
  </si>
  <si>
    <t>US98980G1022</t>
  </si>
  <si>
    <t>Zscaler, Inc.</t>
  </si>
  <si>
    <t>CA25675T1075</t>
  </si>
  <si>
    <t>Dollarama Inc.</t>
  </si>
  <si>
    <t>JP3284600008</t>
  </si>
  <si>
    <t>Koito Manufacturing Co., Ltd.</t>
  </si>
  <si>
    <t>JP3260800002</t>
  </si>
  <si>
    <t>Kintetsu Group Holdings Co., Ltd.</t>
  </si>
  <si>
    <t>US0584981064</t>
  </si>
  <si>
    <t>Ball Corporation</t>
  </si>
  <si>
    <t>US29414B1044</t>
  </si>
  <si>
    <t>EPAM Systems, Inc.</t>
  </si>
  <si>
    <t>US35137L2043</t>
  </si>
  <si>
    <t>Fox Corporation Class B</t>
  </si>
  <si>
    <t>US35137L1052</t>
  </si>
  <si>
    <t>Fox Corporation Class A</t>
  </si>
  <si>
    <t>US4432011082</t>
  </si>
  <si>
    <t>Howmet Aerospace Inc.</t>
  </si>
  <si>
    <t>US45167R1041</t>
  </si>
  <si>
    <t>IDEX Corporation</t>
  </si>
  <si>
    <t>US5705351048</t>
  </si>
  <si>
    <t>US8666741041</t>
  </si>
  <si>
    <t>Sun Communities, Inc.</t>
  </si>
  <si>
    <t>US92276F1003</t>
  </si>
  <si>
    <t>Ventas, Inc.</t>
  </si>
  <si>
    <t>CA7063271034</t>
  </si>
  <si>
    <t>Pembina Pipeline Corporation</t>
  </si>
  <si>
    <t>JP3360800001</t>
  </si>
  <si>
    <t>Hulic Co., Ltd.</t>
  </si>
  <si>
    <t>JP3922950005</t>
  </si>
  <si>
    <t>MonotaRO Co., Ltd.</t>
  </si>
  <si>
    <t>JP3233250004</t>
  </si>
  <si>
    <t>JAPAN POST INSURANCE Co., Ltd.</t>
  </si>
  <si>
    <t>JP3783420007</t>
  </si>
  <si>
    <t>Hikari Tsushin, Inc.</t>
  </si>
  <si>
    <t>US09061G1013</t>
  </si>
  <si>
    <t>BioMarin Pharmaceutical Inc.</t>
  </si>
  <si>
    <t>IL0011194789</t>
  </si>
  <si>
    <t>Azrieli Group Ltd.</t>
  </si>
  <si>
    <t>US1720621010</t>
  </si>
  <si>
    <t>Cincinnati Financial Corporation</t>
  </si>
  <si>
    <t>US1258961002</t>
  </si>
  <si>
    <t>CMS Energy Corporation</t>
  </si>
  <si>
    <t>US3032501047</t>
  </si>
  <si>
    <t>Fair Isaac Corporation</t>
  </si>
  <si>
    <t>SG1S03926213</t>
  </si>
  <si>
    <t>Mapletree Logistics Trust</t>
  </si>
  <si>
    <t>US59522J1034</t>
  </si>
  <si>
    <t>Mid-America Apartment Communities, Inc.</t>
  </si>
  <si>
    <t>US18915M1071</t>
  </si>
  <si>
    <t>Cloudflare Inc Class A</t>
  </si>
  <si>
    <t>US62944T1051</t>
  </si>
  <si>
    <t>NVR, Inc.</t>
  </si>
  <si>
    <t>US74251V1026</t>
  </si>
  <si>
    <t>Principal Financial Group, Inc.</t>
  </si>
  <si>
    <t>AU000000MPL3</t>
  </si>
  <si>
    <t>Medibank Private Ltd.</t>
  </si>
  <si>
    <t>US98980L1017</t>
  </si>
  <si>
    <t>Zoom Video Communications, Inc. Class A</t>
  </si>
  <si>
    <t>CA9611485090</t>
  </si>
  <si>
    <t>George Weston Limited</t>
  </si>
  <si>
    <t>JP3210200006</t>
  </si>
  <si>
    <t>Kajima Corporation</t>
  </si>
  <si>
    <t>JP3104890003</t>
  </si>
  <si>
    <t>TIS Inc.</t>
  </si>
  <si>
    <t>JP3670800006</t>
  </si>
  <si>
    <t>Nissan Chemical Corporation</t>
  </si>
  <si>
    <t>JP3419400001</t>
  </si>
  <si>
    <t>Sekisui Chemical Co., Ltd.</t>
  </si>
  <si>
    <t>JP3142500002</t>
  </si>
  <si>
    <t>Idemitsu Kosan Co., Ltd.</t>
  </si>
  <si>
    <t>JP3940000007</t>
  </si>
  <si>
    <t>Yamato Holdings Co., Ltd.</t>
  </si>
  <si>
    <t>JP3300200007</t>
  </si>
  <si>
    <t>KONAMI Group Corporation</t>
  </si>
  <si>
    <t>US15189T1079</t>
  </si>
  <si>
    <t>CenterPoint Energy, Inc.</t>
  </si>
  <si>
    <t>Cooper Companies, Inc.</t>
  </si>
  <si>
    <t>US1270971039</t>
  </si>
  <si>
    <t>Coterra Energy Inc.</t>
  </si>
  <si>
    <t>US4456581077</t>
  </si>
  <si>
    <t>J.B. Hunt Transport Services, Inc.</t>
  </si>
  <si>
    <t>US6658591044</t>
  </si>
  <si>
    <t>Northern Trust Corporation</t>
  </si>
  <si>
    <t>US70432V1026</t>
  </si>
  <si>
    <t>Paycom Software, Inc.</t>
  </si>
  <si>
    <t>US7757111049</t>
  </si>
  <si>
    <t>Rollins, Inc.</t>
  </si>
  <si>
    <t>US9297401088</t>
  </si>
  <si>
    <t>Westinghouse Air Brake Technologies Corporation</t>
  </si>
  <si>
    <t>US9418481035</t>
  </si>
  <si>
    <t>Waters Corporation</t>
  </si>
  <si>
    <t>AU000000BSL0</t>
  </si>
  <si>
    <t>Bluescope Steel Limited</t>
  </si>
  <si>
    <t>US98419M1009</t>
  </si>
  <si>
    <t>Xylem Inc.</t>
  </si>
  <si>
    <t>CA8787422044</t>
  </si>
  <si>
    <t>Teck Resources Limited Class B</t>
  </si>
  <si>
    <t>JP3188200004</t>
  </si>
  <si>
    <t>Otsuka Corporation</t>
  </si>
  <si>
    <t>US14149Y1082</t>
  </si>
  <si>
    <t>Cardinal Health, Inc.</t>
  </si>
  <si>
    <t>US2371941053</t>
  </si>
  <si>
    <t>Darden Restaurants, Inc.</t>
  </si>
  <si>
    <t>CH0114405324</t>
  </si>
  <si>
    <t>Garmin Ltd.</t>
  </si>
  <si>
    <t>US4364401012</t>
  </si>
  <si>
    <t>Hologic, Inc.</t>
  </si>
  <si>
    <t>US46187W1071</t>
  </si>
  <si>
    <t>Invitation Homes, Inc.</t>
  </si>
  <si>
    <t>US8447411088</t>
  </si>
  <si>
    <t>Southwest Airlines Co.</t>
  </si>
  <si>
    <t>US7547301090</t>
  </si>
  <si>
    <t>Raymond James Financial, Inc.</t>
  </si>
  <si>
    <t>IE00BFY8C754</t>
  </si>
  <si>
    <t>US8581191009</t>
  </si>
  <si>
    <t>Steel Dynamics, Inc.</t>
  </si>
  <si>
    <t>AU000000TWE9</t>
  </si>
  <si>
    <t>Treasury Wine Estates Limited</t>
  </si>
  <si>
    <t>CA3495531079</t>
  </si>
  <si>
    <t>Fortis Inc.</t>
  </si>
  <si>
    <t>CA12532H1047</t>
  </si>
  <si>
    <t>CGI Inc. Class A</t>
  </si>
  <si>
    <t>CA76131D1033</t>
  </si>
  <si>
    <t>JP3486800000</t>
  </si>
  <si>
    <t>Daito Trust Construction Co., Ltd.</t>
  </si>
  <si>
    <t>JP3637300009</t>
  </si>
  <si>
    <t>Trend Micro Incorporated</t>
  </si>
  <si>
    <t>JP3497400006</t>
  </si>
  <si>
    <t>Daifuku Co., Ltd.</t>
  </si>
  <si>
    <t>JP3862400003</t>
  </si>
  <si>
    <t>Makita Corporation</t>
  </si>
  <si>
    <t>JP3180400008</t>
  </si>
  <si>
    <t>Osaka Gas Co., Ltd.</t>
  </si>
  <si>
    <t>US0718131099</t>
  </si>
  <si>
    <t>Baxter International Inc.</t>
  </si>
  <si>
    <t>NL0010545661</t>
  </si>
  <si>
    <t>CNH Industrial NV</t>
  </si>
  <si>
    <t>US4228061093</t>
  </si>
  <si>
    <t>HEICO Corporation</t>
  </si>
  <si>
    <t>US4228062083</t>
  </si>
  <si>
    <t>HEICO Corporation Class A</t>
  </si>
  <si>
    <t>US42824C1099</t>
  </si>
  <si>
    <t>Hewlett Packard Enterprise Co.</t>
  </si>
  <si>
    <t>US50540R4092</t>
  </si>
  <si>
    <t>Laboratory Corporation of America Holdings</t>
  </si>
  <si>
    <t>AU000000SGP0</t>
  </si>
  <si>
    <t>Stockland</t>
  </si>
  <si>
    <t>US69351T1060</t>
  </si>
  <si>
    <t>PPL Corporation</t>
  </si>
  <si>
    <t>IL0010811243</t>
  </si>
  <si>
    <t>Elbit Systems Ltd</t>
  </si>
  <si>
    <t>US8793601050</t>
  </si>
  <si>
    <t>Teledyne Technologies Incorporated</t>
  </si>
  <si>
    <t>US8740541094</t>
  </si>
  <si>
    <t>Take-Two Interactive Software, Inc.</t>
  </si>
  <si>
    <t>CA9628791027</t>
  </si>
  <si>
    <t>Wheaton Precious Metals Corp</t>
  </si>
  <si>
    <t>JP3918000005</t>
  </si>
  <si>
    <t>Meiji Holdings Co., Ltd.</t>
  </si>
  <si>
    <t>JP3399310006</t>
  </si>
  <si>
    <t>ZOZO, Inc.</t>
  </si>
  <si>
    <t>JP3629000005</t>
  </si>
  <si>
    <t>JP3942600002</t>
  </si>
  <si>
    <t>Yamaha Corporation</t>
  </si>
  <si>
    <t>JP3539220008</t>
  </si>
  <si>
    <t>T&amp;D Holdings, Inc.</t>
  </si>
  <si>
    <t>JP3027670003</t>
  </si>
  <si>
    <t>Nippon Building Fund, Inc.</t>
  </si>
  <si>
    <t>JP3598600009</t>
  </si>
  <si>
    <t>Toho Co. Ltd.</t>
  </si>
  <si>
    <t>JP3885400006</t>
  </si>
  <si>
    <t>US0152711091</t>
  </si>
  <si>
    <t>Alexandria Real Estate Equities, Inc.</t>
  </si>
  <si>
    <t>US1713401024</t>
  </si>
  <si>
    <t>Church &amp; Dwight Co., Inc.</t>
  </si>
  <si>
    <t>US23804L1035</t>
  </si>
  <si>
    <t>Datadog Inc Class A</t>
  </si>
  <si>
    <t>US2600031080</t>
  </si>
  <si>
    <t>Dover Corporation</t>
  </si>
  <si>
    <t>US30225T1025</t>
  </si>
  <si>
    <t>Extra Space Storage Inc.</t>
  </si>
  <si>
    <t>US4165151048</t>
  </si>
  <si>
    <t>Hartford Financial Services Group, Inc.</t>
  </si>
  <si>
    <t>US4404521001</t>
  </si>
  <si>
    <t>Hormel Foods Corporation</t>
  </si>
  <si>
    <t>US4435731009</t>
  </si>
  <si>
    <t>HubSpot, Inc.</t>
  </si>
  <si>
    <t>US5732841060</t>
  </si>
  <si>
    <t>Martin Marietta Materials, Inc.</t>
  </si>
  <si>
    <t>SG2D18969584</t>
  </si>
  <si>
    <t>Mapletree Pan Asia Commercial Trust</t>
  </si>
  <si>
    <t>AU000000SOL3</t>
  </si>
  <si>
    <t>Washington H. Soul Pattinson and Co. Ltd.</t>
  </si>
  <si>
    <t>JP3967200001</t>
  </si>
  <si>
    <t>Rakuten Group, Inc.</t>
  </si>
  <si>
    <t>JP3502200003</t>
  </si>
  <si>
    <t>Daiwa Securities Group Inc.</t>
  </si>
  <si>
    <t>JP3774200004</t>
  </si>
  <si>
    <t>Hankyu Hanshin Holdings, Inc.</t>
  </si>
  <si>
    <t>US0236081024</t>
  </si>
  <si>
    <t>Ameren Corporation</t>
  </si>
  <si>
    <t>US12504L1098</t>
  </si>
  <si>
    <t>CBRE Group, Inc. Class A</t>
  </si>
  <si>
    <t>US2473617023</t>
  </si>
  <si>
    <t>Delta Air Lines, Inc.</t>
  </si>
  <si>
    <t>US2333311072</t>
  </si>
  <si>
    <t>DTE Energy Company</t>
  </si>
  <si>
    <t>DE000LEG1110</t>
  </si>
  <si>
    <t>LEG Immobilien SE</t>
  </si>
  <si>
    <t>US29476L1070</t>
  </si>
  <si>
    <t>Equity Residential</t>
  </si>
  <si>
    <t>US29364G1031</t>
  </si>
  <si>
    <t>Entergy Corporation</t>
  </si>
  <si>
    <t>US5797802064</t>
  </si>
  <si>
    <t>McCormick &amp; Company, Incorporated</t>
  </si>
  <si>
    <t>US45784P1012</t>
  </si>
  <si>
    <t>Insulet Corporation</t>
  </si>
  <si>
    <t>AU000000REH4</t>
  </si>
  <si>
    <t>Reece Limited</t>
  </si>
  <si>
    <t>US9291601097</t>
  </si>
  <si>
    <t>Vulcan Materials Company</t>
  </si>
  <si>
    <t>US92343E1029</t>
  </si>
  <si>
    <t>VeriSign, Inc.</t>
  </si>
  <si>
    <t>US9621661043</t>
  </si>
  <si>
    <t>Weyerhaeuser Company</t>
  </si>
  <si>
    <t>CA0084741085</t>
  </si>
  <si>
    <t>Agnico Eagle Mines Limited</t>
  </si>
  <si>
    <t>CA7751092007</t>
  </si>
  <si>
    <t>Rogers Communications Inc. Class B</t>
  </si>
  <si>
    <t>JP3291200008</t>
  </si>
  <si>
    <t>Kobe Bussan Co., Ltd.</t>
  </si>
  <si>
    <t>JP3499800005</t>
  </si>
  <si>
    <t>Mitsubishi HC Capital Inc.</t>
  </si>
  <si>
    <t>US0534841012</t>
  </si>
  <si>
    <t>AvalonBay Communities, Inc.</t>
  </si>
  <si>
    <t>US25809K1051</t>
  </si>
  <si>
    <t>DoorDash, Inc. Class A</t>
  </si>
  <si>
    <t>US2786421030</t>
  </si>
  <si>
    <t>eBay Inc.</t>
  </si>
  <si>
    <t>US3379321074</t>
  </si>
  <si>
    <t>FirstEnergy Corp.</t>
  </si>
  <si>
    <t>US4595061015</t>
  </si>
  <si>
    <t>International Flavors &amp; Fragrances Inc.</t>
  </si>
  <si>
    <t>US45687V1061</t>
  </si>
  <si>
    <t>Ingersoll Rand Inc.</t>
  </si>
  <si>
    <t>US6098391054</t>
  </si>
  <si>
    <t>Monolithic Power Systems, Inc.</t>
  </si>
  <si>
    <t>SG1J26887955</t>
  </si>
  <si>
    <t>Singapore Exchange Ltd.</t>
  </si>
  <si>
    <t>CA39138C1068</t>
  </si>
  <si>
    <t>Great-West Lifeco Inc.</t>
  </si>
  <si>
    <t>JP3711600001</t>
  </si>
  <si>
    <t>Nippon Sanso Holdings Corporation</t>
  </si>
  <si>
    <t>JP3386030005</t>
  </si>
  <si>
    <t>JFE Holdings, Inc.</t>
  </si>
  <si>
    <t>US02043Q1076</t>
  </si>
  <si>
    <t>Alnylam Pharmaceuticals, Inc</t>
  </si>
  <si>
    <t>US25278X1090</t>
  </si>
  <si>
    <t>Diamondback Energy, Inc.</t>
  </si>
  <si>
    <t>US34959J1088</t>
  </si>
  <si>
    <t>Fortive Corp.</t>
  </si>
  <si>
    <t>KYG319891092</t>
  </si>
  <si>
    <t>ESR Group Limited</t>
  </si>
  <si>
    <t>KYG960071028</t>
  </si>
  <si>
    <t>WH Group Ltd. (HK)</t>
  </si>
  <si>
    <t>AU000000IAG3</t>
  </si>
  <si>
    <t>Insurance Australia Group Ltd</t>
  </si>
  <si>
    <t>SE0017832488</t>
  </si>
  <si>
    <t>Fastighets AB Balder Class B</t>
  </si>
  <si>
    <t>DE000A12DM80</t>
  </si>
  <si>
    <t>Scout24 SE</t>
  </si>
  <si>
    <t>GB00B0LCW083</t>
  </si>
  <si>
    <t>Hikma Pharmaceuticals Plc</t>
  </si>
  <si>
    <t>IE00BDB6Q211</t>
  </si>
  <si>
    <t>Willis Towers Watson Public Limited Company</t>
  </si>
  <si>
    <t>SG1U68934629</t>
  </si>
  <si>
    <t>CA45823T1066</t>
  </si>
  <si>
    <t>Intact Financial Corporation</t>
  </si>
  <si>
    <t>JP3906000009</t>
  </si>
  <si>
    <t>MinebeaMitsumi Inc.</t>
  </si>
  <si>
    <t>JP3102000001</t>
  </si>
  <si>
    <t>Aisin Corporation</t>
  </si>
  <si>
    <t>JP3493800001</t>
  </si>
  <si>
    <t>Dai Nippon Printing Co., Ltd.</t>
  </si>
  <si>
    <t>JP3183200009</t>
  </si>
  <si>
    <t>Japan Exchange Group, Inc.</t>
  </si>
  <si>
    <t>JP3526600006</t>
  </si>
  <si>
    <t>Chubu Electric Power Company,Incorporated</t>
  </si>
  <si>
    <t>JP3573000001</t>
  </si>
  <si>
    <t>TOKYO GAS Co., Ltd.</t>
  </si>
  <si>
    <t>BMG0450A1053</t>
  </si>
  <si>
    <t>Arch Capital Group Ltd.</t>
  </si>
  <si>
    <t>US0162551016</t>
  </si>
  <si>
    <t>Align Technology, Inc.</t>
  </si>
  <si>
    <t>US2944291051</t>
  </si>
  <si>
    <t>Equifax Inc.</t>
  </si>
  <si>
    <t>GB00B1VZ0M25</t>
  </si>
  <si>
    <t>Hargreaves Lansdown plc</t>
  </si>
  <si>
    <t>AU000000APA1</t>
  </si>
  <si>
    <t>APA Group</t>
  </si>
  <si>
    <t>US3666511072</t>
  </si>
  <si>
    <t>Gartner, Inc.</t>
  </si>
  <si>
    <t>US74144T1088</t>
  </si>
  <si>
    <t>T. Rowe Price Group</t>
  </si>
  <si>
    <t>US9553061055</t>
  </si>
  <si>
    <t>West Pharmaceutical Services, Inc.</t>
  </si>
  <si>
    <t>JP3112000009</t>
  </si>
  <si>
    <t>AGC Inc.</t>
  </si>
  <si>
    <t>JP3982800009</t>
  </si>
  <si>
    <t>Rohm Co., Ltd.</t>
  </si>
  <si>
    <t>JP3574200006</t>
  </si>
  <si>
    <t>TOKYU CORPORATION</t>
  </si>
  <si>
    <t>JP3705200008</t>
  </si>
  <si>
    <t>Japan Airlines Co., Ltd.</t>
  </si>
  <si>
    <t>GB00BDCPN049</t>
  </si>
  <si>
    <t>Coca-Cola Europacific Partners plc</t>
  </si>
  <si>
    <t>US30040W1080</t>
  </si>
  <si>
    <t>Eversource Energy</t>
  </si>
  <si>
    <t>AU000000QAN2</t>
  </si>
  <si>
    <t>Qantas Airways Limited</t>
  </si>
  <si>
    <t>IL0002810146</t>
  </si>
  <si>
    <t>ICL Group Ltd.</t>
  </si>
  <si>
    <t>NZAIAE0002S6</t>
  </si>
  <si>
    <t>Auckland International Airport Limited</t>
  </si>
  <si>
    <t>HK0101000591</t>
  </si>
  <si>
    <t>Hang Lung Properties Limited</t>
  </si>
  <si>
    <t>US6311031081</t>
  </si>
  <si>
    <t>Nasdaq, Inc.</t>
  </si>
  <si>
    <t>GB0006825383</t>
  </si>
  <si>
    <t>Persimmon Plc</t>
  </si>
  <si>
    <t>SE0001662230</t>
  </si>
  <si>
    <t>Husqvarna AB Class B</t>
  </si>
  <si>
    <t>SE0000163594</t>
  </si>
  <si>
    <t>Securitas AB Class B</t>
  </si>
  <si>
    <t>US8574771031</t>
  </si>
  <si>
    <t>State Street Corporation</t>
  </si>
  <si>
    <t>US88339J1051</t>
  </si>
  <si>
    <t>Trade Desk, Inc. Class A</t>
  </si>
  <si>
    <t>US9224751084</t>
  </si>
  <si>
    <t>Veeva Systems Inc Class A</t>
  </si>
  <si>
    <t>US98956P1021</t>
  </si>
  <si>
    <t>Zimmer Biomet Holdings, Inc.</t>
  </si>
  <si>
    <t>CA3518581051</t>
  </si>
  <si>
    <t>Franco-Nevada Corporation</t>
  </si>
  <si>
    <t>CA8667961053</t>
  </si>
  <si>
    <t>Sun Life Financial Inc.</t>
  </si>
  <si>
    <t>CA87971M1032</t>
  </si>
  <si>
    <t>TELUS Corporation</t>
  </si>
  <si>
    <t>JP3897700005</t>
  </si>
  <si>
    <t>Mitsubishi Chemical Group Corporation</t>
  </si>
  <si>
    <t>JP3771800004</t>
  </si>
  <si>
    <t>Hamamatsu Photonics K.K.</t>
  </si>
  <si>
    <t>CH0012453913</t>
  </si>
  <si>
    <t>Temenos AG</t>
  </si>
  <si>
    <t>US22160N1090</t>
  </si>
  <si>
    <t>CoStar Group, Inc.</t>
  </si>
  <si>
    <t>GB00BF8Q6K64</t>
  </si>
  <si>
    <t>Abrdn plc</t>
  </si>
  <si>
    <t>JE00BJVNSS43</t>
  </si>
  <si>
    <t>Ferguson Plc</t>
  </si>
  <si>
    <t>Liberty Media Corp. Series C Liberty Formula One</t>
  </si>
  <si>
    <t>US37940X1028</t>
  </si>
  <si>
    <t>Global Payments Inc.</t>
  </si>
  <si>
    <t>AU0000154833</t>
  </si>
  <si>
    <t>Endeavour Group Ltd</t>
  </si>
  <si>
    <t>GB0008782301</t>
  </si>
  <si>
    <t>Taylor Wimpey plc</t>
  </si>
  <si>
    <t>Liberty Media Corp. Series C Liberty SiriusXM</t>
  </si>
  <si>
    <t>SG1F60858221</t>
  </si>
  <si>
    <t>Singapore Technologies Engineering Ltd</t>
  </si>
  <si>
    <t>ES0130960018</t>
  </si>
  <si>
    <t>Enagas SA</t>
  </si>
  <si>
    <t>US78410G1040</t>
  </si>
  <si>
    <t>SBA Communications Corp. Class A</t>
  </si>
  <si>
    <t>US90384S3031</t>
  </si>
  <si>
    <t>Ulta Beauty Inc.</t>
  </si>
  <si>
    <t>US9113631090</t>
  </si>
  <si>
    <t>United Rentals, Inc.</t>
  </si>
  <si>
    <t>CA4530384086</t>
  </si>
  <si>
    <t>Imperial Oil Limited</t>
  </si>
  <si>
    <t>CA5394811015</t>
  </si>
  <si>
    <t>Loblaw Companies Limited</t>
  </si>
  <si>
    <t>JP3689500001</t>
  </si>
  <si>
    <t>Oracle Corporation Japan</t>
  </si>
  <si>
    <t>JP3942800008</t>
  </si>
  <si>
    <t>Yamaha Motor Co., Ltd.</t>
  </si>
  <si>
    <t>JP3228600007</t>
  </si>
  <si>
    <t>Kansai Electric Power Company, Incorporated</t>
  </si>
  <si>
    <t>US0200021014</t>
  </si>
  <si>
    <t>Allstate Corporation</t>
  </si>
  <si>
    <t>US03662Q1058</t>
  </si>
  <si>
    <t>ANSYS, Inc.</t>
  </si>
  <si>
    <t>US0304201033</t>
  </si>
  <si>
    <t>American Water Works Company, Inc.</t>
  </si>
  <si>
    <t>US05722G1004</t>
  </si>
  <si>
    <t>Baker Hughes Company Class A</t>
  </si>
  <si>
    <t>GB00BLJNXL82</t>
  </si>
  <si>
    <t>Berkeley Group Holdings plc</t>
  </si>
  <si>
    <t>AU000000ASX7</t>
  </si>
  <si>
    <t>ASX Limited</t>
  </si>
  <si>
    <t>US2538681030</t>
  </si>
  <si>
    <t>Digital Realty Trust, Inc.</t>
  </si>
  <si>
    <t>US40434L1052</t>
  </si>
  <si>
    <t>HP Inc.</t>
  </si>
  <si>
    <t>US49338L1035</t>
  </si>
  <si>
    <t>Keysight Technologies Inc</t>
  </si>
  <si>
    <t>GB00B3MBS747</t>
  </si>
  <si>
    <t>Ocado Group PLC</t>
  </si>
  <si>
    <t>NZMELE0002S7</t>
  </si>
  <si>
    <t>Meridian Energy Limited</t>
  </si>
  <si>
    <t>FI0009003727</t>
  </si>
  <si>
    <t>Wartsila Oyj Abp</t>
  </si>
  <si>
    <t>FINLAND</t>
  </si>
  <si>
    <t>CH0012142631</t>
  </si>
  <si>
    <t>Clariant AG</t>
  </si>
  <si>
    <t>FR0000064578</t>
  </si>
  <si>
    <t>Covivio SA</t>
  </si>
  <si>
    <t>US92345Y1064</t>
  </si>
  <si>
    <t>Verisk Analytics Inc</t>
  </si>
  <si>
    <t>DK0010219153</t>
  </si>
  <si>
    <t>ROCKWOOL A/S Class B</t>
  </si>
  <si>
    <t>SG1M77906915</t>
  </si>
  <si>
    <t>CapitaLand Ascendas REIT</t>
  </si>
  <si>
    <t>JP3675600005</t>
  </si>
  <si>
    <t>Nissin Foods Holdings Co., Ltd.</t>
  </si>
  <si>
    <t>JP3621000003</t>
  </si>
  <si>
    <t>Toray Industries, Inc.</t>
  </si>
  <si>
    <t>JP3111200006</t>
  </si>
  <si>
    <t>Asahi Kasei Corporation</t>
  </si>
  <si>
    <t>JP3551520004</t>
  </si>
  <si>
    <t>Dentsu Group Inc.</t>
  </si>
  <si>
    <t>JP3684000007</t>
  </si>
  <si>
    <t>Nitto Denko Corp.</t>
  </si>
  <si>
    <t>JP3137200006</t>
  </si>
  <si>
    <t>Isuzu Motors Limited</t>
  </si>
  <si>
    <t>JP3357200009</t>
  </si>
  <si>
    <t>Shimadzu Corporation</t>
  </si>
  <si>
    <t>JP3162770006</t>
  </si>
  <si>
    <t>SG Holdings Co., Ltd.</t>
  </si>
  <si>
    <t>JP3218900003</t>
  </si>
  <si>
    <t>Capcom Co., Ltd.</t>
  </si>
  <si>
    <t>JE00B783TY65</t>
  </si>
  <si>
    <t>Aptiv PLC</t>
  </si>
  <si>
    <t>GB00BKFB1C65</t>
  </si>
  <si>
    <t>M&amp;G Plc</t>
  </si>
  <si>
    <t>US1156372096</t>
  </si>
  <si>
    <t>Brown-Forman Corporation Class B</t>
  </si>
  <si>
    <t>GB00BYW0PQ60</t>
  </si>
  <si>
    <t>Land Securities Group PLC</t>
  </si>
  <si>
    <t>US22788C1053</t>
  </si>
  <si>
    <t>CrowdStrike Holdings, Inc. Class A</t>
  </si>
  <si>
    <t>GB0000811801</t>
  </si>
  <si>
    <t>Barratt Developments PLC</t>
  </si>
  <si>
    <t>US3119001044</t>
  </si>
  <si>
    <t>Fastenal Company</t>
  </si>
  <si>
    <t>US2193501051</t>
  </si>
  <si>
    <t>Corning Inc</t>
  </si>
  <si>
    <t>IT0003492391</t>
  </si>
  <si>
    <t>DiaSorin S.p.A.</t>
  </si>
  <si>
    <t>US5260571048</t>
  </si>
  <si>
    <t>Lennar Corporation Class A</t>
  </si>
  <si>
    <t>FR0000121121</t>
  </si>
  <si>
    <t>IE0002424939</t>
  </si>
  <si>
    <t>DCC Plc</t>
  </si>
  <si>
    <t>NZXROE0001S2</t>
  </si>
  <si>
    <t>Xero Limited</t>
  </si>
  <si>
    <t>US7443201022</t>
  </si>
  <si>
    <t>Prudential Financial, Inc.</t>
  </si>
  <si>
    <t>AU000000CPU5</t>
  </si>
  <si>
    <t>Computershare Limited</t>
  </si>
  <si>
    <t>US9314271084</t>
  </si>
  <si>
    <t>Walgreens Boots Alliance, Inc.</t>
  </si>
  <si>
    <t>US92939U1060</t>
  </si>
  <si>
    <t>WEC Energy Group Inc</t>
  </si>
  <si>
    <t>CA0679011084</t>
  </si>
  <si>
    <t>Barrick Gold Corporation</t>
  </si>
  <si>
    <t>CA15135U1093</t>
  </si>
  <si>
    <t>Cenovus Energy Inc.</t>
  </si>
  <si>
    <t>JP3240400006</t>
  </si>
  <si>
    <t>Kikkoman Corporation</t>
  </si>
  <si>
    <t>JP3407400005</t>
  </si>
  <si>
    <t>Sumitomo Electric Industries, Ltd.</t>
  </si>
  <si>
    <t>JP3659000008</t>
  </si>
  <si>
    <t>West Japan Railway Company</t>
  </si>
  <si>
    <t>US03073E1055</t>
  </si>
  <si>
    <t>US03076C1062</t>
  </si>
  <si>
    <t>Ameriprise Financial, Inc.</t>
  </si>
  <si>
    <t>DE0005158703</t>
  </si>
  <si>
    <t>Bechtle AG</t>
  </si>
  <si>
    <t>AU000000JHX1</t>
  </si>
  <si>
    <t>James Hardie Industries PLC Chess Units of Foreign Securities</t>
  </si>
  <si>
    <t>US26614N1028</t>
  </si>
  <si>
    <t>DuPont de Nemours, Inc.</t>
  </si>
  <si>
    <t>US2567461080</t>
  </si>
  <si>
    <t>Dollar Tree, Inc.</t>
  </si>
  <si>
    <t>US25179M1036</t>
  </si>
  <si>
    <t>Devon Energy Corporation</t>
  </si>
  <si>
    <t>US2855121099</t>
  </si>
  <si>
    <t>Electronic Arts Inc.</t>
  </si>
  <si>
    <t>US31620M1062</t>
  </si>
  <si>
    <t>Fidelity National Information Services, Inc.</t>
  </si>
  <si>
    <t>GB0033195214</t>
  </si>
  <si>
    <t>Kingfisher Plc</t>
  </si>
  <si>
    <t>SE0000202624</t>
  </si>
  <si>
    <t>Getinge AB Class B</t>
  </si>
  <si>
    <t>FR0000121709</t>
  </si>
  <si>
    <t>SEB SA</t>
  </si>
  <si>
    <t>SE0000113250</t>
  </si>
  <si>
    <t>Skanska AB Class B</t>
  </si>
  <si>
    <t>US69331C1080</t>
  </si>
  <si>
    <t>PG&amp;E Corporation</t>
  </si>
  <si>
    <t>US6935061076</t>
  </si>
  <si>
    <t>PPG Industries, Inc.</t>
  </si>
  <si>
    <t>AT0000937503</t>
  </si>
  <si>
    <t>voestalpine AG</t>
  </si>
  <si>
    <t>US7611521078</t>
  </si>
  <si>
    <t>ResMed Inc.</t>
  </si>
  <si>
    <t>CH0012138605</t>
  </si>
  <si>
    <t>Adecco Group AG</t>
  </si>
  <si>
    <t>HK0000093390</t>
  </si>
  <si>
    <t>HKT Trust and HKT Ltd</t>
  </si>
  <si>
    <t>SG1M51904654</t>
  </si>
  <si>
    <t>CapitaLand Integrated Commercial Trust</t>
  </si>
  <si>
    <t>US9256521090</t>
  </si>
  <si>
    <t>VICI Properties Inc</t>
  </si>
  <si>
    <t>ES0171996087</t>
  </si>
  <si>
    <t>Grifols, S.A. Class A</t>
  </si>
  <si>
    <t>JP3197600004</t>
  </si>
  <si>
    <t>ONO Pharmaceutical Co., Ltd.</t>
  </si>
  <si>
    <t>JP3386450005</t>
  </si>
  <si>
    <t>ENEOS Holdings, Inc.</t>
  </si>
  <si>
    <t>JP3733000008</t>
  </si>
  <si>
    <t>NEC Corp.</t>
  </si>
  <si>
    <t>JP3409000001</t>
  </si>
  <si>
    <t>Sumitomo Realty &amp; Development Co., Ltd.</t>
  </si>
  <si>
    <t>JP3429800000</t>
  </si>
  <si>
    <t>ANA Holdings Inc.</t>
  </si>
  <si>
    <t>US0311001004</t>
  </si>
  <si>
    <t>AMETEK, Inc.</t>
  </si>
  <si>
    <t>FI0009014377</t>
  </si>
  <si>
    <t>Orion Oyj Class B</t>
  </si>
  <si>
    <t>US2310211063</t>
  </si>
  <si>
    <t>Cummins Inc.</t>
  </si>
  <si>
    <t>US15135B1017</t>
  </si>
  <si>
    <t>Centene Corporation</t>
  </si>
  <si>
    <t>CH0008038389</t>
  </si>
  <si>
    <t>Swiss Prime Site AG</t>
  </si>
  <si>
    <t>US2091151041</t>
  </si>
  <si>
    <t>Consolidated Edison, Inc.</t>
  </si>
  <si>
    <t>SGXE21576413</t>
  </si>
  <si>
    <t>Genting Singapore Limited</t>
  </si>
  <si>
    <t>US3848021040</t>
  </si>
  <si>
    <t>W.W. Grainger, Inc.</t>
  </si>
  <si>
    <t>SE0005190238</t>
  </si>
  <si>
    <t>Tele2 AB Class B</t>
  </si>
  <si>
    <t>SE0000108847</t>
  </si>
  <si>
    <t>L E Lundbergforetagen AB Class B</t>
  </si>
  <si>
    <t>AU000000NST8</t>
  </si>
  <si>
    <t>Northern Star Resources Ltd</t>
  </si>
  <si>
    <t>US5926881054</t>
  </si>
  <si>
    <t>Mettler-Toledo International Inc.</t>
  </si>
  <si>
    <t>US7739031091</t>
  </si>
  <si>
    <t>Rockwell Automation, Inc.</t>
  </si>
  <si>
    <t>GB00BVYVFW23</t>
  </si>
  <si>
    <t>Auto Trader Group PLC</t>
  </si>
  <si>
    <t>GB00BGXQNP29</t>
  </si>
  <si>
    <t>Phoenix Group Holdings plc</t>
  </si>
  <si>
    <t>IT0003497168</t>
  </si>
  <si>
    <t>Telecom Italia S.p.A.</t>
  </si>
  <si>
    <t>HK0019000162</t>
  </si>
  <si>
    <t>Swire Pacific Limited Class A</t>
  </si>
  <si>
    <t>AU000000SCG8</t>
  </si>
  <si>
    <t>Scentre Group</t>
  </si>
  <si>
    <t>FR0000121964</t>
  </si>
  <si>
    <t>Klepierre SA</t>
  </si>
  <si>
    <t>US95040Q1040</t>
  </si>
  <si>
    <t>CA94106B1013</t>
  </si>
  <si>
    <t>Waste Connections, Inc.</t>
  </si>
  <si>
    <t>JP3336560002</t>
  </si>
  <si>
    <t>Suntory Beverage &amp; Food Ltd.</t>
  </si>
  <si>
    <t>JP3402600005</t>
  </si>
  <si>
    <t>Sumitomo Metal Mining Co., Ltd.</t>
  </si>
  <si>
    <t>US03769M1062</t>
  </si>
  <si>
    <t>US0640581007</t>
  </si>
  <si>
    <t>Bank of New York Mellon Corp</t>
  </si>
  <si>
    <t>GB00B1WY2338</t>
  </si>
  <si>
    <t>Smiths Group Plc</t>
  </si>
  <si>
    <t>US14040H1059</t>
  </si>
  <si>
    <t>Capital One Financial Corp</t>
  </si>
  <si>
    <t>US2172041061</t>
  </si>
  <si>
    <t>Copart, Inc.</t>
  </si>
  <si>
    <t>NO0003733800</t>
  </si>
  <si>
    <t>Orkla ASA</t>
  </si>
  <si>
    <t>AU000000ORG5</t>
  </si>
  <si>
    <t>Origin Energy Limited</t>
  </si>
  <si>
    <t>HK0006000050</t>
  </si>
  <si>
    <t>Power Assets Holdings Limited</t>
  </si>
  <si>
    <t>US4523271090</t>
  </si>
  <si>
    <t>Illumina, Inc.</t>
  </si>
  <si>
    <t>GB0006776081</t>
  </si>
  <si>
    <t>Pearson PLC</t>
  </si>
  <si>
    <t>US5010441013</t>
  </si>
  <si>
    <t>Kroger Co.</t>
  </si>
  <si>
    <t>CH0012410517</t>
  </si>
  <si>
    <t>Baloise-Holding AG</t>
  </si>
  <si>
    <t>US6821891057</t>
  </si>
  <si>
    <t>ON Semiconductor Corporation</t>
  </si>
  <si>
    <t>GB00B1KJJ408</t>
  </si>
  <si>
    <t>Whitbread PLC</t>
  </si>
  <si>
    <t>US7782961038</t>
  </si>
  <si>
    <t>Ross Stores, Inc.</t>
  </si>
  <si>
    <t>HK0083000502</t>
  </si>
  <si>
    <t>Sino Land Co. Ltd.</t>
  </si>
  <si>
    <t>FR0013326246</t>
  </si>
  <si>
    <t>Unibail-Rodamco-Westfield SE Stapled Secs Cons of 1 Sh Unibail Rodamco + 1 Sh WFD Unib Rod</t>
  </si>
  <si>
    <t>US9694571004</t>
  </si>
  <si>
    <t>Williams Companies, Inc.</t>
  </si>
  <si>
    <t>FR0010313833</t>
  </si>
  <si>
    <t>Arkema SA</t>
  </si>
  <si>
    <t>CA67077M1086</t>
  </si>
  <si>
    <t>Nutrien Ltd.</t>
  </si>
  <si>
    <t>JP3256000005</t>
  </si>
  <si>
    <t>Kyowa Kirin Co., Ltd.</t>
  </si>
  <si>
    <t>JP3932000007</t>
  </si>
  <si>
    <t>Yaskawa Electric Corporation</t>
  </si>
  <si>
    <t>JP3753000003</t>
  </si>
  <si>
    <t>Nippon Yusen Kabushiki Kaisha</t>
  </si>
  <si>
    <t>US0268747849</t>
  </si>
  <si>
    <t>American International Group, Inc.</t>
  </si>
  <si>
    <t>CH1176493729</t>
  </si>
  <si>
    <t>Bachem Holding AG Class B</t>
  </si>
  <si>
    <t>BE0003717312</t>
  </si>
  <si>
    <t>Sofina SA</t>
  </si>
  <si>
    <t>GB00B02J6398</t>
  </si>
  <si>
    <t>Admiral Group plc</t>
  </si>
  <si>
    <t>SE0005127818</t>
  </si>
  <si>
    <t>AB Sagax Class B</t>
  </si>
  <si>
    <t>FR0013451333</t>
  </si>
  <si>
    <t>La Francaise des Jeux SA</t>
  </si>
  <si>
    <t>DE0006452907</t>
  </si>
  <si>
    <t>Nemetschek SE</t>
  </si>
  <si>
    <t>DE0006062144</t>
  </si>
  <si>
    <t>Covestro AG</t>
  </si>
  <si>
    <t>US46266C1053</t>
  </si>
  <si>
    <t>IQVIA Holdings Inc</t>
  </si>
  <si>
    <t>DE0006602006</t>
  </si>
  <si>
    <t>GEA Group Aktiengesellschaft</t>
  </si>
  <si>
    <t>US5024311095</t>
  </si>
  <si>
    <t>L3Harris Technologies Inc</t>
  </si>
  <si>
    <t>GB00B019KW72</t>
  </si>
  <si>
    <t>J Sainsbury plc</t>
  </si>
  <si>
    <t>US5738741041</t>
  </si>
  <si>
    <t>Marvell Technology, Inc.</t>
  </si>
  <si>
    <t>US6795801009</t>
  </si>
  <si>
    <t>Old Dominion Freight Line, Inc.</t>
  </si>
  <si>
    <t>DK0060738599</t>
  </si>
  <si>
    <t>Demant A/S</t>
  </si>
  <si>
    <t>FR0010040865</t>
  </si>
  <si>
    <t>Gecina SA</t>
  </si>
  <si>
    <t>US8522341036</t>
  </si>
  <si>
    <t>Block, Inc. Class A</t>
  </si>
  <si>
    <t>DE0007010803</t>
  </si>
  <si>
    <t>RATIONAL AG</t>
  </si>
  <si>
    <t>NZFAPE0001S2</t>
  </si>
  <si>
    <t>Fisher &amp; Paykel Healthcare Corporation Limited</t>
  </si>
  <si>
    <t>IT0004056880</t>
  </si>
  <si>
    <t>Amplifon S.p.A.</t>
  </si>
  <si>
    <t>AU000000RHC8</t>
  </si>
  <si>
    <t>Ramsay Health Care Limited</t>
  </si>
  <si>
    <t>Mondi plc</t>
  </si>
  <si>
    <t>US98389B1008</t>
  </si>
  <si>
    <t>Xcel Energy Inc.</t>
  </si>
  <si>
    <t>US9884981013</t>
  </si>
  <si>
    <t>Yum! Brands, Inc.</t>
  </si>
  <si>
    <t>CA87807B1076</t>
  </si>
  <si>
    <t>TC Energy Corporation</t>
  </si>
  <si>
    <t>JP3931600005</t>
  </si>
  <si>
    <t>Yakult Honsha Co., Ltd.</t>
  </si>
  <si>
    <t>JP3548600000</t>
  </si>
  <si>
    <t>Disco Corporation</t>
  </si>
  <si>
    <t>JP3197800000</t>
  </si>
  <si>
    <t>OMRON Corporation</t>
  </si>
  <si>
    <t>JP3900000005</t>
  </si>
  <si>
    <t>Mitsubishi Heavy Industries, Ltd.</t>
  </si>
  <si>
    <t>JP3814800003</t>
  </si>
  <si>
    <t>SUBARU CORP</t>
  </si>
  <si>
    <t>JP3639650005</t>
  </si>
  <si>
    <t>Pan Pacific International Holdings Corporation</t>
  </si>
  <si>
    <t>JP3762600009</t>
  </si>
  <si>
    <t>Nomura Holdings, Inc.</t>
  </si>
  <si>
    <t>BE0974264930</t>
  </si>
  <si>
    <t>ageas SA/NV</t>
  </si>
  <si>
    <t>US2605571031</t>
  </si>
  <si>
    <t>Dow, Inc.</t>
  </si>
  <si>
    <t>NO0010582521</t>
  </si>
  <si>
    <t>Gjensidige Forsikring ASA</t>
  </si>
  <si>
    <t>NL0006294274</t>
  </si>
  <si>
    <t>Euronext NV</t>
  </si>
  <si>
    <t>US43300A2033</t>
  </si>
  <si>
    <t>Hilton Worldwide Holdings Inc</t>
  </si>
  <si>
    <t>FI0009000202</t>
  </si>
  <si>
    <t>Kesko Oyj Class B</t>
  </si>
  <si>
    <t>BE0974320526</t>
  </si>
  <si>
    <t>US16411R2085</t>
  </si>
  <si>
    <t>Cheniere Energy, Inc.</t>
  </si>
  <si>
    <t>US6516391066</t>
  </si>
  <si>
    <t>Newmont Corporation</t>
  </si>
  <si>
    <t>FR0000120404</t>
  </si>
  <si>
    <t>Accor SA</t>
  </si>
  <si>
    <t>US6703461052</t>
  </si>
  <si>
    <t>Nucor Corporation</t>
  </si>
  <si>
    <t>IT0003828271</t>
  </si>
  <si>
    <t>Recordati Industria Chimica e Farmaceutica S.p.A.</t>
  </si>
  <si>
    <t>GB0031638363</t>
  </si>
  <si>
    <t>Intertek Group plc</t>
  </si>
  <si>
    <t>DE000PAH0038</t>
  </si>
  <si>
    <t>Porsche Automobil Holding SE Pref</t>
  </si>
  <si>
    <t>AU000000SUN6</t>
  </si>
  <si>
    <t>Suncorp Group Limited</t>
  </si>
  <si>
    <t>US8718291078</t>
  </si>
  <si>
    <t>Sysco Corporation</t>
  </si>
  <si>
    <t>PTGAL0AM0009</t>
  </si>
  <si>
    <t>Galp Energia, SGPS S.A. Class B</t>
  </si>
  <si>
    <t>PORTUGAL</t>
  </si>
  <si>
    <t>Mediobanca - Banca di Credito Finanziario S.p.A.</t>
  </si>
  <si>
    <t>GB0007669376</t>
  </si>
  <si>
    <t>St. James's Place Plc</t>
  </si>
  <si>
    <t>NO0010844038</t>
  </si>
  <si>
    <t>Adevinta ASA</t>
  </si>
  <si>
    <t>CA05534B7604</t>
  </si>
  <si>
    <t>BCE Inc.</t>
  </si>
  <si>
    <t>CA21037X1006</t>
  </si>
  <si>
    <t>Constellation Software Inc.</t>
  </si>
  <si>
    <t>CA8672241079</t>
  </si>
  <si>
    <t>Suncor Energy Inc.</t>
  </si>
  <si>
    <t>US00846U1016</t>
  </si>
  <si>
    <t>Agilent Technologies, Inc.</t>
  </si>
  <si>
    <t>US0010551028</t>
  </si>
  <si>
    <t>Aflac Incorporated</t>
  </si>
  <si>
    <t>US3635761097</t>
  </si>
  <si>
    <t>Arthur J. Gallagher &amp; Co.</t>
  </si>
  <si>
    <t>US09062X1037</t>
  </si>
  <si>
    <t>Biogen Inc.</t>
  </si>
  <si>
    <t>NL0010801007</t>
  </si>
  <si>
    <t>IMCD N.V.</t>
  </si>
  <si>
    <t>DK0060252690</t>
  </si>
  <si>
    <t>Pandora A/S</t>
  </si>
  <si>
    <t>AU000000COH5</t>
  </si>
  <si>
    <t>Cochlear Limited</t>
  </si>
  <si>
    <t>SE0000112724</t>
  </si>
  <si>
    <t>Svenska Cellulosa AB SCA Class B</t>
  </si>
  <si>
    <t>GB00B39J2M42</t>
  </si>
  <si>
    <t>United Utilities Group PLC</t>
  </si>
  <si>
    <t>US42809H1077</t>
  </si>
  <si>
    <t>Hess Corporation</t>
  </si>
  <si>
    <t>IE00BY7QL619</t>
  </si>
  <si>
    <t>Johnson Controls International plc</t>
  </si>
  <si>
    <t>DE0006969603</t>
  </si>
  <si>
    <t>PUMA SE</t>
  </si>
  <si>
    <t>US49456B1017</t>
  </si>
  <si>
    <t>Kinder Morgan Inc Class P</t>
  </si>
  <si>
    <t>SG1V61937297</t>
  </si>
  <si>
    <t>Singapore Airlines Ltd.</t>
  </si>
  <si>
    <t>GB00B1FH8J72</t>
  </si>
  <si>
    <t>Severn Trent Plc</t>
  </si>
  <si>
    <t>FR0000130395</t>
  </si>
  <si>
    <t>Remy Cointreau SA</t>
  </si>
  <si>
    <t>DE000A2E4K43</t>
  </si>
  <si>
    <t>Delivery Hero SE</t>
  </si>
  <si>
    <t>US7043261079</t>
  </si>
  <si>
    <t>Paychex, Inc.</t>
  </si>
  <si>
    <t>FR0010533075</t>
  </si>
  <si>
    <t>Getlink SE</t>
  </si>
  <si>
    <t>ES0167050915</t>
  </si>
  <si>
    <t>US8936411003</t>
  </si>
  <si>
    <t>TransDigm Group Incorporated</t>
  </si>
  <si>
    <t>SE0015949201</t>
  </si>
  <si>
    <t>Lifco AB Class B</t>
  </si>
  <si>
    <t>US89417E1091</t>
  </si>
  <si>
    <t>Travelers Companies, Inc.</t>
  </si>
  <si>
    <t>IM00B5VQMV65</t>
  </si>
  <si>
    <t>Entain PLC</t>
  </si>
  <si>
    <t>SE0000108227</t>
  </si>
  <si>
    <t>SKF AB Class B</t>
  </si>
  <si>
    <t>FR0010259150</t>
  </si>
  <si>
    <t>Ipsen SA</t>
  </si>
  <si>
    <t>GB00BP9LHF23</t>
  </si>
  <si>
    <t>Schroders PLC</t>
  </si>
  <si>
    <t>JP3762800005</t>
  </si>
  <si>
    <t>Nomura Research Institute,Ltd.</t>
  </si>
  <si>
    <t>JP3538800008</t>
  </si>
  <si>
    <t>TDK Corporation</t>
  </si>
  <si>
    <t>JP3351100007</t>
  </si>
  <si>
    <t>Sysmex Corporation</t>
  </si>
  <si>
    <t>JP3165000005</t>
  </si>
  <si>
    <t>Sompo Holdings,Inc.</t>
  </si>
  <si>
    <t>JP3756100008</t>
  </si>
  <si>
    <t>Nitori Holdings Co., Ltd.</t>
  </si>
  <si>
    <t>US0394831020</t>
  </si>
  <si>
    <t>Archer-Daniels-Midland Company</t>
  </si>
  <si>
    <t>BE0003822393</t>
  </si>
  <si>
    <t>Elia Group SA/NV</t>
  </si>
  <si>
    <t>US22052L1044</t>
  </si>
  <si>
    <t>Corteva Inc</t>
  </si>
  <si>
    <t>IE00B1RR8406</t>
  </si>
  <si>
    <t>US30161N1019</t>
  </si>
  <si>
    <t>Exelon Corporation</t>
  </si>
  <si>
    <t>GB00B8C3BL03</t>
  </si>
  <si>
    <t>Sage Group plc</t>
  </si>
  <si>
    <t>CH0198251305</t>
  </si>
  <si>
    <t>Coca-Cola HBC AG</t>
  </si>
  <si>
    <t>ES0173093024</t>
  </si>
  <si>
    <t>US45168D1046</t>
  </si>
  <si>
    <t>IDEXX Laboratories, Inc.</t>
  </si>
  <si>
    <t>BMG2178K1009</t>
  </si>
  <si>
    <t>CK Infrastructure Holdings Limited</t>
  </si>
  <si>
    <t>US5178341070</t>
  </si>
  <si>
    <t>Las Vegas Sands Corp.</t>
  </si>
  <si>
    <t>US7561091049</t>
  </si>
  <si>
    <t>Realty Income Corporation</t>
  </si>
  <si>
    <t>NO0003054108</t>
  </si>
  <si>
    <t>Mowi ASA</t>
  </si>
  <si>
    <t>US7010941042</t>
  </si>
  <si>
    <t>Parker-Hannifin Corporation</t>
  </si>
  <si>
    <t>FI0009007884</t>
  </si>
  <si>
    <t>Elisa Oyj Class A</t>
  </si>
  <si>
    <t>FR0010220475</t>
  </si>
  <si>
    <t>Alstom SA</t>
  </si>
  <si>
    <t>SE0000667925</t>
  </si>
  <si>
    <t>Telia Company AB</t>
  </si>
  <si>
    <t>AU000000SHL7</t>
  </si>
  <si>
    <t>Sonic Healthcare Limited</t>
  </si>
  <si>
    <t>DE000EVNK013</t>
  </si>
  <si>
    <t>Evonik Industries AG</t>
  </si>
  <si>
    <t>US21036P1084</t>
  </si>
  <si>
    <t>Constellation Brands, Inc. Class A</t>
  </si>
  <si>
    <t>CH0102993182</t>
  </si>
  <si>
    <t>TE Connectivity Ltd.</t>
  </si>
  <si>
    <t>US98138H1014</t>
  </si>
  <si>
    <t>Workday, Inc. Class A</t>
  </si>
  <si>
    <t>JP3294460005</t>
  </si>
  <si>
    <t>Inpex Corporation</t>
  </si>
  <si>
    <t>JP3258000003</t>
  </si>
  <si>
    <t>JP3778630008</t>
  </si>
  <si>
    <t>Bandai Namco Holdings Inc.</t>
  </si>
  <si>
    <t>JP3635000007</t>
  </si>
  <si>
    <t>Toyota Tsusho Corp.</t>
  </si>
  <si>
    <t>JP3421800008</t>
  </si>
  <si>
    <t>Secom Co., Ltd.</t>
  </si>
  <si>
    <t>US0527691069</t>
  </si>
  <si>
    <t>Autodesk, Inc.</t>
  </si>
  <si>
    <t>US0533321024</t>
  </si>
  <si>
    <t>AutoZone, Inc.</t>
  </si>
  <si>
    <t>GB0032089863</t>
  </si>
  <si>
    <t>Next plc</t>
  </si>
  <si>
    <t>SGXE62145532</t>
  </si>
  <si>
    <t>CapitaLand Investment Limited</t>
  </si>
  <si>
    <t>US2521311074</t>
  </si>
  <si>
    <t>DexCom, Inc.</t>
  </si>
  <si>
    <t>IT0005366767</t>
  </si>
  <si>
    <t>Nexi S.p.A.</t>
  </si>
  <si>
    <t>FI0009005961</t>
  </si>
  <si>
    <t>Stora Enso Oyj Class R</t>
  </si>
  <si>
    <t>US48251W1045</t>
  </si>
  <si>
    <t>KKR &amp; Co Inc</t>
  </si>
  <si>
    <t>US4943681035</t>
  </si>
  <si>
    <t>Kimberly-Clark Corporation</t>
  </si>
  <si>
    <t>US5500211090</t>
  </si>
  <si>
    <t>FR0000127771</t>
  </si>
  <si>
    <t>Vivendi SE</t>
  </si>
  <si>
    <t>US59156R1086</t>
  </si>
  <si>
    <t>MetLife, Inc.</t>
  </si>
  <si>
    <t>NO0010208051</t>
  </si>
  <si>
    <t>Yara International ASA</t>
  </si>
  <si>
    <t>DE000ZAL1111</t>
  </si>
  <si>
    <t>Zalando SE</t>
  </si>
  <si>
    <t>CH0311864901</t>
  </si>
  <si>
    <t>VAT Group AG</t>
  </si>
  <si>
    <t>DE000KBX1006</t>
  </si>
  <si>
    <t>Knorr-Bremse AG</t>
  </si>
  <si>
    <t>AU000000REA9</t>
  </si>
  <si>
    <t>REA Group Ltd</t>
  </si>
  <si>
    <t>US81141R1005</t>
  </si>
  <si>
    <t>GB00BWFGQN14</t>
  </si>
  <si>
    <t>Spirax-Sarco Engineering PLC</t>
  </si>
  <si>
    <t>NL0010773842</t>
  </si>
  <si>
    <t>NN Group N.V.</t>
  </si>
  <si>
    <t>NL0000379121</t>
  </si>
  <si>
    <t>Randstad NV</t>
  </si>
  <si>
    <t>GB0004052071</t>
  </si>
  <si>
    <t>Halma plc</t>
  </si>
  <si>
    <t>FR0000130452</t>
  </si>
  <si>
    <t>Eiffage SA</t>
  </si>
  <si>
    <t>JP3505000004</t>
  </si>
  <si>
    <t>Daiwa House Industry Co., Ltd.</t>
  </si>
  <si>
    <t>JP3358000002</t>
  </si>
  <si>
    <t>Shimano Inc.</t>
  </si>
  <si>
    <t>JP3899600005</t>
  </si>
  <si>
    <t>Mitsubishi Estate Company, Limited</t>
  </si>
  <si>
    <t>US0255371017</t>
  </si>
  <si>
    <t>American Electric Power Company, Inc.</t>
  </si>
  <si>
    <t>Worldline SA</t>
  </si>
  <si>
    <t>US1696561059</t>
  </si>
  <si>
    <t>Chipotle Mexican Grill, Inc.</t>
  </si>
  <si>
    <t>GB00BJFFLV09</t>
  </si>
  <si>
    <t>Croda International Plc</t>
  </si>
  <si>
    <t>US1729081059</t>
  </si>
  <si>
    <t>Cintas Corporation</t>
  </si>
  <si>
    <t>US25746U1097</t>
  </si>
  <si>
    <t>Dominion Energy Inc</t>
  </si>
  <si>
    <t>HK0000063609</t>
  </si>
  <si>
    <t>Swire Properties Limited</t>
  </si>
  <si>
    <t>GB00BM8Q5M07</t>
  </si>
  <si>
    <t>JD Sports Fashion Plc</t>
  </si>
  <si>
    <t>GB00B5ZN1N88</t>
  </si>
  <si>
    <t>SEGRO plc</t>
  </si>
  <si>
    <t>US2566771059</t>
  </si>
  <si>
    <t>Dollar General Corporation</t>
  </si>
  <si>
    <t>AU000000S320</t>
  </si>
  <si>
    <t>South32 Ltd.</t>
  </si>
  <si>
    <t>US2788651006</t>
  </si>
  <si>
    <t>Ecolab Inc.</t>
  </si>
  <si>
    <t>CH0009002962</t>
  </si>
  <si>
    <t>Barry Callebaut AG</t>
  </si>
  <si>
    <t>DE000A1DAHH0</t>
  </si>
  <si>
    <t>DK0060336014</t>
  </si>
  <si>
    <t>SE0000107203</t>
  </si>
  <si>
    <t>Industrivarden AB Class C</t>
  </si>
  <si>
    <t>US5007541064</t>
  </si>
  <si>
    <t>Kraft Heinz Company</t>
  </si>
  <si>
    <t>GB0009223206</t>
  </si>
  <si>
    <t>Smith &amp; Nephew plc</t>
  </si>
  <si>
    <t>GB00BHJYC057</t>
  </si>
  <si>
    <t>InterContinental Hotels Group PLC</t>
  </si>
  <si>
    <t>IT0004176001</t>
  </si>
  <si>
    <t>Prysmian S.p.A.</t>
  </si>
  <si>
    <t>US6200763075</t>
  </si>
  <si>
    <t>Motorola Solutions, Inc.</t>
  </si>
  <si>
    <t>US7185461040</t>
  </si>
  <si>
    <t>Phillips 66</t>
  </si>
  <si>
    <t>GB00BMJ6DW54</t>
  </si>
  <si>
    <t>Informa Plc</t>
  </si>
  <si>
    <t>SE0010100958</t>
  </si>
  <si>
    <t>Latour AB Investment Class B</t>
  </si>
  <si>
    <t>US7766961061</t>
  </si>
  <si>
    <t>Roper Technologies, Inc.</t>
  </si>
  <si>
    <t>SE0000190126</t>
  </si>
  <si>
    <t>Industrivarden AB Class A</t>
  </si>
  <si>
    <t>US8168511090</t>
  </si>
  <si>
    <t>FR0000131906</t>
  </si>
  <si>
    <t>Renault SA</t>
  </si>
  <si>
    <t>CA11271J1075</t>
  </si>
  <si>
    <t>Brookfield Corporation</t>
  </si>
  <si>
    <t>JP3979200007</t>
  </si>
  <si>
    <t>Lasertec Corp.</t>
  </si>
  <si>
    <t>JP3672400003</t>
  </si>
  <si>
    <t>Nissan Motor Co., Ltd.</t>
  </si>
  <si>
    <t>JP3890310000</t>
  </si>
  <si>
    <t>MS&amp;AD Insurance Group Holdings, Inc.</t>
  </si>
  <si>
    <t>US0090661010</t>
  </si>
  <si>
    <t>Airbnb, Inc. Class A</t>
  </si>
  <si>
    <t>FR0014000MR3</t>
  </si>
  <si>
    <t>Eurofins Scientific SE</t>
  </si>
  <si>
    <t>GB00B0744B38</t>
  </si>
  <si>
    <t>Bunzl plc</t>
  </si>
  <si>
    <t>DE0005785802</t>
  </si>
  <si>
    <t>IT0005090300</t>
  </si>
  <si>
    <t>Infrastrutture Wireless Italiane S.p.A.</t>
  </si>
  <si>
    <t>US2910111044</t>
  </si>
  <si>
    <t>Emerson Electric Co.</t>
  </si>
  <si>
    <t>US28176E1082</t>
  </si>
  <si>
    <t>Edwards Lifesciences Corporation</t>
  </si>
  <si>
    <t>US3453708600</t>
  </si>
  <si>
    <t>Ford Motor Company</t>
  </si>
  <si>
    <t>AU000000QBE9</t>
  </si>
  <si>
    <t>QBE Insurance Group Limited</t>
  </si>
  <si>
    <t>FR0000120503</t>
  </si>
  <si>
    <t>Bouygues SA</t>
  </si>
  <si>
    <t>BE0003797140</t>
  </si>
  <si>
    <t>Groupe Bruxelles Lambert SA</t>
  </si>
  <si>
    <t>HK0823032773</t>
  </si>
  <si>
    <t>Link Real Estate Investment Trust</t>
  </si>
  <si>
    <t>IE0004927939</t>
  </si>
  <si>
    <t>Kingspan Group Plc</t>
  </si>
  <si>
    <t>US49271V1008</t>
  </si>
  <si>
    <t>Keurig Dr Pepper Inc.</t>
  </si>
  <si>
    <t>FR0006174348</t>
  </si>
  <si>
    <t>Bureau Veritas SA</t>
  </si>
  <si>
    <t>FR0013280286</t>
  </si>
  <si>
    <t>bioMerieux SA</t>
  </si>
  <si>
    <t>US58155Q1031</t>
  </si>
  <si>
    <t>McKesson Corporation</t>
  </si>
  <si>
    <t>US6558441084</t>
  </si>
  <si>
    <t>Norfolk Southern Corporation</t>
  </si>
  <si>
    <t>US7237871071</t>
  </si>
  <si>
    <t>Pioneer Natural Resources Company</t>
  </si>
  <si>
    <t>DE0005313704</t>
  </si>
  <si>
    <t>Carl Zeiss Meditec AG</t>
  </si>
  <si>
    <t>US8334451098</t>
  </si>
  <si>
    <t>Snowflake, Inc. Class A</t>
  </si>
  <si>
    <t>HK0003000038</t>
  </si>
  <si>
    <t>Hong Kong &amp; China Gas Co. Ltd.</t>
  </si>
  <si>
    <t>AU000000WTC3</t>
  </si>
  <si>
    <t>Wisetech Global Ltd.</t>
  </si>
  <si>
    <t>JE00B8KF9B49</t>
  </si>
  <si>
    <t>WPP Plc</t>
  </si>
  <si>
    <t>FR0004125920</t>
  </si>
  <si>
    <t>Amundi SA</t>
  </si>
  <si>
    <t>CA01626P1484</t>
  </si>
  <si>
    <t>Alimentation Couche-Tard Inc.</t>
  </si>
  <si>
    <t>JP3435750009</t>
  </si>
  <si>
    <t>M3, Inc.</t>
  </si>
  <si>
    <t>JP3160400002</t>
  </si>
  <si>
    <t>Eisai Co., Ltd.</t>
  </si>
  <si>
    <t>JP3122400009</t>
  </si>
  <si>
    <t>Advantest Corp.</t>
  </si>
  <si>
    <t>JP3388200002</t>
  </si>
  <si>
    <t>AEON Co., Ltd.</t>
  </si>
  <si>
    <t>US0404131064</t>
  </si>
  <si>
    <t>Arista Networks, Inc.</t>
  </si>
  <si>
    <t>CH0102484968</t>
  </si>
  <si>
    <t>Julius Baer Gruppe AG</t>
  </si>
  <si>
    <t>HK0012000102</t>
  </si>
  <si>
    <t>Henderson Land Development Co. Ltd.</t>
  </si>
  <si>
    <t>US16119P1084</t>
  </si>
  <si>
    <t>Charter Communications, Inc. Class A</t>
  </si>
  <si>
    <t>GB00BPQY8M80</t>
  </si>
  <si>
    <t>Aviva plc</t>
  </si>
  <si>
    <t>FR0000121220</t>
  </si>
  <si>
    <t>Sodexo SA</t>
  </si>
  <si>
    <t>US34959E1091</t>
  </si>
  <si>
    <t>Fortinet, Inc.</t>
  </si>
  <si>
    <t>US37045V1008</t>
  </si>
  <si>
    <t>General Motors Company</t>
  </si>
  <si>
    <t>NL0000009082</t>
  </si>
  <si>
    <t>Royal KPN NV</t>
  </si>
  <si>
    <t>DE0006047004</t>
  </si>
  <si>
    <t>DE0008232125</t>
  </si>
  <si>
    <t>Deutsche Lufthansa AG</t>
  </si>
  <si>
    <t>Poste Italiane SpA</t>
  </si>
  <si>
    <t>BMG4587L1090</t>
  </si>
  <si>
    <t>Hongkong Land Holdings Limited</t>
  </si>
  <si>
    <t>FR0010340141</t>
  </si>
  <si>
    <t>Aeroports de Paris ADP</t>
  </si>
  <si>
    <t>DE000A0D9PT0</t>
  </si>
  <si>
    <t>MTU Aero Engines AG</t>
  </si>
  <si>
    <t>NL0013267909</t>
  </si>
  <si>
    <t>Akzo Nobel N.V.</t>
  </si>
  <si>
    <t>FI0009007132</t>
  </si>
  <si>
    <t>Fortum Oyj</t>
  </si>
  <si>
    <t>US67103H1077</t>
  </si>
  <si>
    <t>O'Reilly Automotive, Inc.</t>
  </si>
  <si>
    <t>SE0000695876</t>
  </si>
  <si>
    <t>Alfa Laval AB</t>
  </si>
  <si>
    <t>US74460D1090</t>
  </si>
  <si>
    <t>Public Storage</t>
  </si>
  <si>
    <t>NL0015435975</t>
  </si>
  <si>
    <t>Davide Campari-Milano N.V.</t>
  </si>
  <si>
    <t>DK0060636678</t>
  </si>
  <si>
    <t>Tryg A/S</t>
  </si>
  <si>
    <t>KYG9593A1040</t>
  </si>
  <si>
    <t>Wharf Real Estate Investment Company Limited</t>
  </si>
  <si>
    <t>NL0014332678</t>
  </si>
  <si>
    <t>JDE Peet's NV</t>
  </si>
  <si>
    <t>PTJMT0AE0001</t>
  </si>
  <si>
    <t>Jeronimo Martins, SGPS S.A.</t>
  </si>
  <si>
    <t>AU000000STO6</t>
  </si>
  <si>
    <t>Santos Limited</t>
  </si>
  <si>
    <t>CA82509L1076</t>
  </si>
  <si>
    <t>Shopify, Inc. Class A</t>
  </si>
  <si>
    <t>JP3205800000</t>
  </si>
  <si>
    <t>Kao Corp.</t>
  </si>
  <si>
    <t>JP3188220002</t>
  </si>
  <si>
    <t>Otsuka Holdings Co., Ltd.</t>
  </si>
  <si>
    <t>JP3634600005</t>
  </si>
  <si>
    <t>Toyota Industries Corp.</t>
  </si>
  <si>
    <t>JP3266400005</t>
  </si>
  <si>
    <t>Kubota Corporation</t>
  </si>
  <si>
    <t>JP3397200001</t>
  </si>
  <si>
    <t>Suzuki Motor Corp.</t>
  </si>
  <si>
    <t>JP3893200000</t>
  </si>
  <si>
    <t>Mitsui Fudosan Co., Ltd.</t>
  </si>
  <si>
    <t>JP3165700000</t>
  </si>
  <si>
    <t>DE0005785604</t>
  </si>
  <si>
    <t>Fresenius SE &amp; Co. KGaA</t>
  </si>
  <si>
    <t>NO0010345853</t>
  </si>
  <si>
    <t>Aker BP ASA</t>
  </si>
  <si>
    <t>US1273871087</t>
  </si>
  <si>
    <t>Cadence Design Systems, Inc.</t>
  </si>
  <si>
    <t>HK0002007356</t>
  </si>
  <si>
    <t>CLP Holdings Limited</t>
  </si>
  <si>
    <t>GB00B63H8491</t>
  </si>
  <si>
    <t>Rolls-Royce Holdings plc</t>
  </si>
  <si>
    <t>US5184391044</t>
  </si>
  <si>
    <t>Estee Lauder Companies Inc. Class A</t>
  </si>
  <si>
    <t>US31428X1063</t>
  </si>
  <si>
    <t>FedEx Corporation</t>
  </si>
  <si>
    <t>NO0010063308</t>
  </si>
  <si>
    <t>Telenor ASA</t>
  </si>
  <si>
    <t>DE0005439004</t>
  </si>
  <si>
    <t>Continental AG</t>
  </si>
  <si>
    <t>DE000SYM9999</t>
  </si>
  <si>
    <t>Symrise AG</t>
  </si>
  <si>
    <t>US6153691059</t>
  </si>
  <si>
    <t>Moody's Corporation</t>
  </si>
  <si>
    <t>US88579Y1010</t>
  </si>
  <si>
    <t>3M Company</t>
  </si>
  <si>
    <t>US61174X1090</t>
  </si>
  <si>
    <t>Monster Beverage Corporation</t>
  </si>
  <si>
    <t>NO0005052605</t>
  </si>
  <si>
    <t>Norsk Hydro ASA</t>
  </si>
  <si>
    <t>FR0014004L86</t>
  </si>
  <si>
    <t>Dassault Aviation SA</t>
  </si>
  <si>
    <t>US6745991058</t>
  </si>
  <si>
    <t>Occidental Petroleum Corporation</t>
  </si>
  <si>
    <t>Edenred SA</t>
  </si>
  <si>
    <t>AU0000030678</t>
  </si>
  <si>
    <t>Coles Group Ltd.</t>
  </si>
  <si>
    <t>FR0000120172</t>
  </si>
  <si>
    <t>Carrefour SA</t>
  </si>
  <si>
    <t>US8243481061</t>
  </si>
  <si>
    <t>Sherwin-Williams Company</t>
  </si>
  <si>
    <t>IT0003242622</t>
  </si>
  <si>
    <t>Terna S.p.A.</t>
  </si>
  <si>
    <t>Tenaris S.A.</t>
  </si>
  <si>
    <t>AT0000746409</t>
  </si>
  <si>
    <t>VERBUND AG Class A</t>
  </si>
  <si>
    <t>AT0000743059</t>
  </si>
  <si>
    <t>OMV AG</t>
  </si>
  <si>
    <t>NL0000009538</t>
  </si>
  <si>
    <t>Koninklijke Philips N.V.</t>
  </si>
  <si>
    <t>DE000A1ML7J1</t>
  </si>
  <si>
    <t>Vonovia SE</t>
  </si>
  <si>
    <t>CA1363851017</t>
  </si>
  <si>
    <t>Canadian Natural Resources Limited</t>
  </si>
  <si>
    <t>JP3116000005</t>
  </si>
  <si>
    <t>Asahi Group Holdings,Ltd.</t>
  </si>
  <si>
    <t>JP3546800008</t>
  </si>
  <si>
    <t>Terumo Corporation</t>
  </si>
  <si>
    <t>JP3351600006</t>
  </si>
  <si>
    <t>Shiseido Company,Limited</t>
  </si>
  <si>
    <t>JP3249600002</t>
  </si>
  <si>
    <t>Kyocera Corporation</t>
  </si>
  <si>
    <t>JP3476480003</t>
  </si>
  <si>
    <t>Dai-ichi Life Holdings,Inc.</t>
  </si>
  <si>
    <t>CH0012255151</t>
  </si>
  <si>
    <t>Swatch Group Ltd. Bearer</t>
  </si>
  <si>
    <t>US1264081035</t>
  </si>
  <si>
    <t>CSX Corporation</t>
  </si>
  <si>
    <t>GB0030913577</t>
  </si>
  <si>
    <t>BT Group plc</t>
  </si>
  <si>
    <t>US35671D8570</t>
  </si>
  <si>
    <t>Freeport-McMoRan, Inc.</t>
  </si>
  <si>
    <t>HK0669013440</t>
  </si>
  <si>
    <t>Techtronic Industries Co., Ltd.</t>
  </si>
  <si>
    <t>DE000ENER6Y0</t>
  </si>
  <si>
    <t>Siemens Energy AG</t>
  </si>
  <si>
    <t>IE0004906560</t>
  </si>
  <si>
    <t>Kerry Group Plc Class A</t>
  </si>
  <si>
    <t>US4448591028</t>
  </si>
  <si>
    <t>Humana Inc.</t>
  </si>
  <si>
    <t>US45866F1049</t>
  </si>
  <si>
    <t>Intercontinental Exchange, Inc.</t>
  </si>
  <si>
    <t>GB00B082RF11</t>
  </si>
  <si>
    <t>Rentokil Initial plc</t>
  </si>
  <si>
    <t>BE0003739530</t>
  </si>
  <si>
    <t>UCB S.A.</t>
  </si>
  <si>
    <t>FR0000039299</t>
  </si>
  <si>
    <t>Bollore SE</t>
  </si>
  <si>
    <t>CH0012255144</t>
  </si>
  <si>
    <t>Swatch Group Ltd. Registered</t>
  </si>
  <si>
    <t>US56585A1025</t>
  </si>
  <si>
    <t>Marathon Petroleum Corporation</t>
  </si>
  <si>
    <t>US60770K1079</t>
  </si>
  <si>
    <t>Moderna, Inc.</t>
  </si>
  <si>
    <t>AU000000ALL7</t>
  </si>
  <si>
    <t>Aristocrat Leisure Limited</t>
  </si>
  <si>
    <t>US6974351057</t>
  </si>
  <si>
    <t>Palo Alto Networks, Inc.</t>
  </si>
  <si>
    <t>CH0012549785</t>
  </si>
  <si>
    <t>Sonova Holding AG</t>
  </si>
  <si>
    <t>IT0003153415</t>
  </si>
  <si>
    <t>Snam S.p.A.</t>
  </si>
  <si>
    <t>US8716071076</t>
  </si>
  <si>
    <t>Synopsys, Inc.</t>
  </si>
  <si>
    <t>FI0009005987</t>
  </si>
  <si>
    <t>UPM-Kymmene Oyj</t>
  </si>
  <si>
    <t>Thomson Reuters Corporation</t>
  </si>
  <si>
    <t>JP3758190007</t>
  </si>
  <si>
    <t>NEXON Co., Ltd.</t>
  </si>
  <si>
    <t>JP3933800009</t>
  </si>
  <si>
    <t>JP3814000000</t>
  </si>
  <si>
    <t>FUJIFILM Holdings Corp</t>
  </si>
  <si>
    <t>JP3200450009</t>
  </si>
  <si>
    <t>ORIX Corporation</t>
  </si>
  <si>
    <t>JP3783600004</t>
  </si>
  <si>
    <t>East Japan Railway Company</t>
  </si>
  <si>
    <t>IE00BLP1HW54</t>
  </si>
  <si>
    <t>Aon Plc Class A</t>
  </si>
  <si>
    <t>US09260D1072</t>
  </si>
  <si>
    <t>Blackstone Inc.</t>
  </si>
  <si>
    <t>GB0000456144</t>
  </si>
  <si>
    <t>Antofagasta plc</t>
  </si>
  <si>
    <t>US1941621039</t>
  </si>
  <si>
    <t>Colgate-Palmolive Company</t>
  </si>
  <si>
    <t>AU000000GMG2</t>
  </si>
  <si>
    <t>Goodman Group</t>
  </si>
  <si>
    <t>NL0010832176</t>
  </si>
  <si>
    <t>arGEN-X SE</t>
  </si>
  <si>
    <t>ES0173516115</t>
  </si>
  <si>
    <t>Repsol SA</t>
  </si>
  <si>
    <t>US3695501086</t>
  </si>
  <si>
    <t>General Dynamics Corporation</t>
  </si>
  <si>
    <t>NL0000334118</t>
  </si>
  <si>
    <t>ASM International N.V.</t>
  </si>
  <si>
    <t>GB00B1YW4409</t>
  </si>
  <si>
    <t>3i Group plc</t>
  </si>
  <si>
    <t>CH0014852781</t>
  </si>
  <si>
    <t>Swiss Life Holding AG</t>
  </si>
  <si>
    <t>SE0009922164</t>
  </si>
  <si>
    <t>Essity AB Class B</t>
  </si>
  <si>
    <t>NL0012059018</t>
  </si>
  <si>
    <t>EXOR N.V.</t>
  </si>
  <si>
    <t>SE0015988019</t>
  </si>
  <si>
    <t>NIBE Industrier AB Class B</t>
  </si>
  <si>
    <t>FR0000130577</t>
  </si>
  <si>
    <t>Publicis Groupe SA</t>
  </si>
  <si>
    <t>US5951121038</t>
  </si>
  <si>
    <t>Micron Technology, Inc.</t>
  </si>
  <si>
    <t>SG1T56930848</t>
  </si>
  <si>
    <t>Wilmar International Limited</t>
  </si>
  <si>
    <t>SE0000108656</t>
  </si>
  <si>
    <t>Telefonaktiebolaget LM Ericsson Class B</t>
  </si>
  <si>
    <t>GB0006731235</t>
  </si>
  <si>
    <t>Associated British Foods plc</t>
  </si>
  <si>
    <t>CH0016440353</t>
  </si>
  <si>
    <t>EMS-CHEMIE HOLDING AG</t>
  </si>
  <si>
    <t>US90353T1007</t>
  </si>
  <si>
    <t>Uber Technologies, Inc.</t>
  </si>
  <si>
    <t>IT0004965148</t>
  </si>
  <si>
    <t>Moncler SpA</t>
  </si>
  <si>
    <t>JP3749400002</t>
  </si>
  <si>
    <t>Nippon Paint Holdings Co., Ltd.</t>
  </si>
  <si>
    <t>JP3381000003</t>
  </si>
  <si>
    <t>NIPPON STEEL CORP.</t>
  </si>
  <si>
    <t>JP3866800000</t>
  </si>
  <si>
    <t>Panasonic Holdings Corporation</t>
  </si>
  <si>
    <t>JP3201200007</t>
  </si>
  <si>
    <t>Olympus Corp.</t>
  </si>
  <si>
    <t>JP3877600001</t>
  </si>
  <si>
    <t>Marubeni Corporation</t>
  </si>
  <si>
    <t>JP3404600003</t>
  </si>
  <si>
    <t>Sumitomo Corporation</t>
  </si>
  <si>
    <t>SE0015658117</t>
  </si>
  <si>
    <t>Epiroc AB Class B</t>
  </si>
  <si>
    <t>US0758871091</t>
  </si>
  <si>
    <t>Becton, Dickinson and Company</t>
  </si>
  <si>
    <t>US1011371077</t>
  </si>
  <si>
    <t>Boston Scientific Corporation</t>
  </si>
  <si>
    <t>US12572Q1058</t>
  </si>
  <si>
    <t>CME Group Inc. Class A</t>
  </si>
  <si>
    <t>CH1175448666</t>
  </si>
  <si>
    <t>Straumann Holding AG</t>
  </si>
  <si>
    <t>US26875P1012</t>
  </si>
  <si>
    <t>EOG Resources, Inc.</t>
  </si>
  <si>
    <t>US29444U7000</t>
  </si>
  <si>
    <t>Equinix, Inc.</t>
  </si>
  <si>
    <t>IE00B8KQN827</t>
  </si>
  <si>
    <t>Eaton Corp. Plc</t>
  </si>
  <si>
    <t>CH0024638212</t>
  </si>
  <si>
    <t>Schindler Holding AG</t>
  </si>
  <si>
    <t>Fiserv, Inc.</t>
  </si>
  <si>
    <t>SE0000106270</t>
  </si>
  <si>
    <t>H&amp;M Hennes &amp; Mauritz AB Class B</t>
  </si>
  <si>
    <t>DE0008402215</t>
  </si>
  <si>
    <t>Hannover Rueck SE</t>
  </si>
  <si>
    <t>CH0024638196</t>
  </si>
  <si>
    <t>Schindler Holding AG Pref</t>
  </si>
  <si>
    <t>GB00BLGZ9862</t>
  </si>
  <si>
    <t>Tesco PLC</t>
  </si>
  <si>
    <t>KYG217651051</t>
  </si>
  <si>
    <t>CK Hutchison Holdings Ltd</t>
  </si>
  <si>
    <t>US6668071029</t>
  </si>
  <si>
    <t>Northrop Grumman Corp.</t>
  </si>
  <si>
    <t>FR001400AJ45</t>
  </si>
  <si>
    <t>Cie Generale des Etablissements Michelin SA</t>
  </si>
  <si>
    <t>PTEDP0AM0009</t>
  </si>
  <si>
    <t>EDP-Energias de Portugal SA</t>
  </si>
  <si>
    <t>AN8068571086</t>
  </si>
  <si>
    <t>FI0009013403</t>
  </si>
  <si>
    <t>Kone Oyj Class B</t>
  </si>
  <si>
    <t>GB0004544929</t>
  </si>
  <si>
    <t>Imperial Brands PLC</t>
  </si>
  <si>
    <t>SE0015658109</t>
  </si>
  <si>
    <t>Epiroc AB Class A</t>
  </si>
  <si>
    <t>ES0127797019</t>
  </si>
  <si>
    <t>EDP Renovaveis SA</t>
  </si>
  <si>
    <t>AU000000TCL6</t>
  </si>
  <si>
    <t>Transurban Group Ltd.</t>
  </si>
  <si>
    <t>ES0130670112</t>
  </si>
  <si>
    <t>Endesa S.A.</t>
  </si>
  <si>
    <t>DK0010181759</t>
  </si>
  <si>
    <t>Carlsberg AS Class B</t>
  </si>
  <si>
    <t>CA1363751027</t>
  </si>
  <si>
    <t>Canadian National Railway Company</t>
  </si>
  <si>
    <t>CA29250N1050</t>
  </si>
  <si>
    <t>Enbridge Inc.</t>
  </si>
  <si>
    <t>JP3951600000</t>
  </si>
  <si>
    <t>Unicharm Corporation</t>
  </si>
  <si>
    <t>JP3566800003</t>
  </si>
  <si>
    <t>Central Japan Railway Company</t>
  </si>
  <si>
    <t>DK0060448595</t>
  </si>
  <si>
    <t>Coloplast A/S Class B</t>
  </si>
  <si>
    <t>US1255231003</t>
  </si>
  <si>
    <t>ES0178430E18</t>
  </si>
  <si>
    <t>Telefonica SA</t>
  </si>
  <si>
    <t>US26441C2044</t>
  </si>
  <si>
    <t>Duke Energy Corporation</t>
  </si>
  <si>
    <t>LU1598757687</t>
  </si>
  <si>
    <t>ArcelorMittal SA</t>
  </si>
  <si>
    <t>AU000000RIO1</t>
  </si>
  <si>
    <t>Rio Tinto Limited</t>
  </si>
  <si>
    <t>US40412C1018</t>
  </si>
  <si>
    <t>HCA Healthcare Inc</t>
  </si>
  <si>
    <t>US4523081093</t>
  </si>
  <si>
    <t>Illinois Tool Works Inc.</t>
  </si>
  <si>
    <t>DE0006599905</t>
  </si>
  <si>
    <t>Merck KGaA</t>
  </si>
  <si>
    <t>CH0024608827</t>
  </si>
  <si>
    <t>Partners Group Holding AG</t>
  </si>
  <si>
    <t>NL0000008977</t>
  </si>
  <si>
    <t>Heineken Holding N.V.</t>
  </si>
  <si>
    <t>SE0000667891</t>
  </si>
  <si>
    <t>Sandvik AB</t>
  </si>
  <si>
    <t>ES0105066007</t>
  </si>
  <si>
    <t>Cellnex Telecom S.A.</t>
  </si>
  <si>
    <t>FI0009000681</t>
  </si>
  <si>
    <t>Nokia Oyj</t>
  </si>
  <si>
    <t>GB0000536739</t>
  </si>
  <si>
    <t>Ashtead Group plc</t>
  </si>
  <si>
    <t>DK0010272202</t>
  </si>
  <si>
    <t>Genmab A/S</t>
  </si>
  <si>
    <t>AU000000WOW2</t>
  </si>
  <si>
    <t>Woolworths Group Ltd</t>
  </si>
  <si>
    <t>ES0105046009</t>
  </si>
  <si>
    <t>Aena SME SA</t>
  </si>
  <si>
    <t>US8425871071</t>
  </si>
  <si>
    <t>Southern Company</t>
  </si>
  <si>
    <t>US87612E1064</t>
  </si>
  <si>
    <t>Target Corporation</t>
  </si>
  <si>
    <t>SE0012853455</t>
  </si>
  <si>
    <t>EQT AB</t>
  </si>
  <si>
    <t>US98978V1035</t>
  </si>
  <si>
    <t>Zoetis, Inc. Class A</t>
  </si>
  <si>
    <t>JP3942400007</t>
  </si>
  <si>
    <t>Astellas Pharma Inc.</t>
  </si>
  <si>
    <t>JP3902400005</t>
  </si>
  <si>
    <t>Mitsubishi Electric Corp.</t>
  </si>
  <si>
    <t>JP3818000006</t>
  </si>
  <si>
    <t>Fujitsu Limited</t>
  </si>
  <si>
    <t>JP3164720009</t>
  </si>
  <si>
    <t>Renesas Electronics Corporation</t>
  </si>
  <si>
    <t>US0530151036</t>
  </si>
  <si>
    <t>Automatic Data Processing, Inc.</t>
  </si>
  <si>
    <t>CH0044328745</t>
  </si>
  <si>
    <t>Chubb Limited</t>
  </si>
  <si>
    <t>DE0007165631</t>
  </si>
  <si>
    <t>Sartorius AG Pref</t>
  </si>
  <si>
    <t>DK0061539921</t>
  </si>
  <si>
    <t>Vestas Wind Systems A/S</t>
  </si>
  <si>
    <t>CH0010570767</t>
  </si>
  <si>
    <t>Chocoladefabriken Lindt &amp; Spruengli AG Partizipsch.</t>
  </si>
  <si>
    <t>ES0109067019</t>
  </si>
  <si>
    <t>Amadeus IT Group SA Class A</t>
  </si>
  <si>
    <t>US46120E6023</t>
  </si>
  <si>
    <t>Intuitive Surgical, Inc.</t>
  </si>
  <si>
    <t>GB00BH4HKS39</t>
  </si>
  <si>
    <t>Vodafone Group Plc</t>
  </si>
  <si>
    <t>AU000000TLS2</t>
  </si>
  <si>
    <t>Telstra Group Limited</t>
  </si>
  <si>
    <t>FR0013154002</t>
  </si>
  <si>
    <t>Sartorius Stedim Biotech SA</t>
  </si>
  <si>
    <t>SE0012673267</t>
  </si>
  <si>
    <t>Evolution AB</t>
  </si>
  <si>
    <t>SE0015961909</t>
  </si>
  <si>
    <t>Hexagon AB Class B</t>
  </si>
  <si>
    <t>US02209S1033</t>
  </si>
  <si>
    <t>US81762P1021</t>
  </si>
  <si>
    <t>ServiceNow, Inc.</t>
  </si>
  <si>
    <t>US7433151039</t>
  </si>
  <si>
    <t>Progressive Corporation</t>
  </si>
  <si>
    <t>US70450Y1038</t>
  </si>
  <si>
    <t>PayPal Holdings, Inc.</t>
  </si>
  <si>
    <t>KYG7800X1079</t>
  </si>
  <si>
    <t>Sands China Ltd.</t>
  </si>
  <si>
    <t>US75886F1075</t>
  </si>
  <si>
    <t>Regeneron Pharmaceuticals, Inc.</t>
  </si>
  <si>
    <t>FR0000125007</t>
  </si>
  <si>
    <t>Compagnie de Saint-Gobain SA</t>
  </si>
  <si>
    <t>CH0010570759</t>
  </si>
  <si>
    <t>Chocoladefabriken Lindt &amp; Spruengli AG</t>
  </si>
  <si>
    <t>GB00B19NLV48</t>
  </si>
  <si>
    <t>Experian PLC</t>
  </si>
  <si>
    <t>US8085131055</t>
  </si>
  <si>
    <t>Charles Schwab Corp</t>
  </si>
  <si>
    <t>US92532F1003</t>
  </si>
  <si>
    <t>Vertex Pharmaceuticals Incorporated</t>
  </si>
  <si>
    <t>CH0010645932</t>
  </si>
  <si>
    <t>Givaudan SA</t>
  </si>
  <si>
    <t>DE000DTR0CK8</t>
  </si>
  <si>
    <t>Daimler Truck Holding AG</t>
  </si>
  <si>
    <t>JP3752900005</t>
  </si>
  <si>
    <t>JAPAN POST HOLDINGS Co., Ltd.</t>
  </si>
  <si>
    <t>JP3734800000</t>
  </si>
  <si>
    <t>Nidec Corporation</t>
  </si>
  <si>
    <t>JP3242800005</t>
  </si>
  <si>
    <t>Canon Inc.</t>
  </si>
  <si>
    <t>US0326541051</t>
  </si>
  <si>
    <t>Analog Devices, Inc.</t>
  </si>
  <si>
    <t>US03027X1000</t>
  </si>
  <si>
    <t>American Tower Corporation</t>
  </si>
  <si>
    <t>US09857L1089</t>
  </si>
  <si>
    <t>Booking Holdings Inc.</t>
  </si>
  <si>
    <t>US1266501006</t>
  </si>
  <si>
    <t>CVS Health Corporation</t>
  </si>
  <si>
    <t>DE000ENAG999</t>
  </si>
  <si>
    <t>E.ON SE</t>
  </si>
  <si>
    <t>FR0000125338</t>
  </si>
  <si>
    <t>Capgemini SE</t>
  </si>
  <si>
    <t>US3696043013</t>
  </si>
  <si>
    <t>SG1T75931496</t>
  </si>
  <si>
    <t>Singapore Telecommunications Limited</t>
  </si>
  <si>
    <t>DE0006048432</t>
  </si>
  <si>
    <t>Henkel AG &amp; Co. KGaA Pref</t>
  </si>
  <si>
    <t>FR0000133308</t>
  </si>
  <si>
    <t>Orange SA</t>
  </si>
  <si>
    <t>DE0007037129</t>
  </si>
  <si>
    <t>RWE AG</t>
  </si>
  <si>
    <t>DE0006048408</t>
  </si>
  <si>
    <t>Henkel AG &amp; Co. KGaA</t>
  </si>
  <si>
    <t>FR0000121329</t>
  </si>
  <si>
    <t>Thales SA</t>
  </si>
  <si>
    <t>DE0005200000</t>
  </si>
  <si>
    <t>Beiersdorf AG</t>
  </si>
  <si>
    <t>US6092071058</t>
  </si>
  <si>
    <t>Mondelez International, Inc. Class A</t>
  </si>
  <si>
    <t>IE00BTN1Y115</t>
  </si>
  <si>
    <t>Medtronic Plc</t>
  </si>
  <si>
    <t>DE000A1EWWW0</t>
  </si>
  <si>
    <t>adidas AG</t>
  </si>
  <si>
    <t>CH0008742519</t>
  </si>
  <si>
    <t>Swisscom AG</t>
  </si>
  <si>
    <t>US8636671013</t>
  </si>
  <si>
    <t>Stryker Corporation</t>
  </si>
  <si>
    <t>HK0066009694</t>
  </si>
  <si>
    <t>MTR Corporation Limited</t>
  </si>
  <si>
    <t>CH0126881561</t>
  </si>
  <si>
    <t>Swiss Re AG</t>
  </si>
  <si>
    <t>NL0000395903</t>
  </si>
  <si>
    <t>NL0011794037</t>
  </si>
  <si>
    <t>Koninklijke Ahold Delhaize N.V.</t>
  </si>
  <si>
    <t>HK0027032686</t>
  </si>
  <si>
    <t>Galaxy Entertainment Group Limited</t>
  </si>
  <si>
    <t>JP3162600005</t>
  </si>
  <si>
    <t>SMC Corporation</t>
  </si>
  <si>
    <t>JP3802400006</t>
  </si>
  <si>
    <t>Fanuc Corporation</t>
  </si>
  <si>
    <t>US0258161092</t>
  </si>
  <si>
    <t>American Express Company</t>
  </si>
  <si>
    <t>US20825C1045</t>
  </si>
  <si>
    <t>ConocoPhillips</t>
  </si>
  <si>
    <t>US2441991054</t>
  </si>
  <si>
    <t>Deere &amp; Company</t>
  </si>
  <si>
    <t>US38141G1040</t>
  </si>
  <si>
    <t>Goldman Sachs Group, Inc.</t>
  </si>
  <si>
    <t>GB0002634946</t>
  </si>
  <si>
    <t>BAE Systems plc</t>
  </si>
  <si>
    <t>IE0001827041</t>
  </si>
  <si>
    <t>US4592001014</t>
  </si>
  <si>
    <t>International Business Machines Corporation</t>
  </si>
  <si>
    <t>DK0060094928</t>
  </si>
  <si>
    <t>Orsted</t>
  </si>
  <si>
    <t>US74340W1036</t>
  </si>
  <si>
    <t>Prologis, Inc.</t>
  </si>
  <si>
    <t>DK0010244425</t>
  </si>
  <si>
    <t>A.P. Moller - Maersk A/S Class A</t>
  </si>
  <si>
    <t>FR0010208488</t>
  </si>
  <si>
    <t>ENGIE SA.</t>
  </si>
  <si>
    <t>DK0010244508</t>
  </si>
  <si>
    <t>A.P. Moller - Maersk A/S Class B</t>
  </si>
  <si>
    <t>DE0005810055</t>
  </si>
  <si>
    <t>Deutsche Boerse AG</t>
  </si>
  <si>
    <t>US78409V1044</t>
  </si>
  <si>
    <t>S&amp;P Global, Inc.</t>
  </si>
  <si>
    <t>CH0432492467</t>
  </si>
  <si>
    <t>Alcon AG</t>
  </si>
  <si>
    <t>GB0007099541</t>
  </si>
  <si>
    <t>Prudential plc</t>
  </si>
  <si>
    <t>FI0009013296</t>
  </si>
  <si>
    <t>Neste Corporation</t>
  </si>
  <si>
    <t>JP3422950000</t>
  </si>
  <si>
    <t>Seven &amp; I Holdings Co., Ltd.</t>
  </si>
  <si>
    <t>JP3914400001</t>
  </si>
  <si>
    <t>Murata Manufacturing Co., Ltd.</t>
  </si>
  <si>
    <t>JP3837800006</t>
  </si>
  <si>
    <t>HOYA CORPORATION</t>
  </si>
  <si>
    <t>JP3910660004</t>
  </si>
  <si>
    <t>Tokio Marine Holdings, Inc.</t>
  </si>
  <si>
    <t>NL0000226223</t>
  </si>
  <si>
    <t>STMicroelectronics NV</t>
  </si>
  <si>
    <t>NL0012969182</t>
  </si>
  <si>
    <t>Adyen NV</t>
  </si>
  <si>
    <t>US0970231058</t>
  </si>
  <si>
    <t>Boeing Company</t>
  </si>
  <si>
    <t>US1101221083</t>
  </si>
  <si>
    <t>Bristol-Myers Squibb Company</t>
  </si>
  <si>
    <t>AU000000MQG1</t>
  </si>
  <si>
    <t>Macquarie Group, Ltd.</t>
  </si>
  <si>
    <t>CH0013841017</t>
  </si>
  <si>
    <t>Lonza Group AG</t>
  </si>
  <si>
    <t>CH0418792922</t>
  </si>
  <si>
    <t>Sika AG</t>
  </si>
  <si>
    <t>GB00B0SWJX34</t>
  </si>
  <si>
    <t>London Stock Exchange Group plc</t>
  </si>
  <si>
    <t>US4385161066</t>
  </si>
  <si>
    <t>Honeywell International Inc.</t>
  </si>
  <si>
    <t>US4581401001</t>
  </si>
  <si>
    <t>Intel Corporation</t>
  </si>
  <si>
    <t>US4612021034</t>
  </si>
  <si>
    <t>Intuit Inc.</t>
  </si>
  <si>
    <t>GB00BD6K4575</t>
  </si>
  <si>
    <t>Compass Group PLC</t>
  </si>
  <si>
    <t>US6174464486</t>
  </si>
  <si>
    <t>Morgan Stanley</t>
  </si>
  <si>
    <t>NL0015000IY2</t>
  </si>
  <si>
    <t>Universal Music Group N.V.</t>
  </si>
  <si>
    <t>SE0000115420</t>
  </si>
  <si>
    <t>Volvo AB Class A</t>
  </si>
  <si>
    <t>DE0008430026</t>
  </si>
  <si>
    <t>Munich Reinsurance Company</t>
  </si>
  <si>
    <t>DK0060079531</t>
  </si>
  <si>
    <t>DSV A/S</t>
  </si>
  <si>
    <t>US75513E1010</t>
  </si>
  <si>
    <t>FR0000120644</t>
  </si>
  <si>
    <t>Danone SA</t>
  </si>
  <si>
    <t>US00206R1023</t>
  </si>
  <si>
    <t>AT&amp;T Inc.</t>
  </si>
  <si>
    <t>US9078181081</t>
  </si>
  <si>
    <t>Union Pacific Corporation</t>
  </si>
  <si>
    <t>US9113121068</t>
  </si>
  <si>
    <t>United Parcel Service, Inc. Class B</t>
  </si>
  <si>
    <t>HK0016000132</t>
  </si>
  <si>
    <t>Sun Hung Kai Properties Limited</t>
  </si>
  <si>
    <t>CH0012214059</t>
  </si>
  <si>
    <t>Holcim Ltd</t>
  </si>
  <si>
    <t>JP3726800000</t>
  </si>
  <si>
    <t>Japan Tobacco Inc.</t>
  </si>
  <si>
    <t>JP3970300004</t>
  </si>
  <si>
    <t>Recruit Holdings Co., Ltd.</t>
  </si>
  <si>
    <t>JP3788600009</t>
  </si>
  <si>
    <t>Hitachi,Ltd.</t>
  </si>
  <si>
    <t>JP3854600008</t>
  </si>
  <si>
    <t>Honda Motor Co., Ltd.</t>
  </si>
  <si>
    <t>JP3143600009</t>
  </si>
  <si>
    <t>Itochu Corporation</t>
  </si>
  <si>
    <t>JP3893600001</t>
  </si>
  <si>
    <t>Mitsui &amp; Co.,Ltd</t>
  </si>
  <si>
    <t>US00724F1012</t>
  </si>
  <si>
    <t>US0079031078</t>
  </si>
  <si>
    <t>Advanced Micro Devices, Inc.</t>
  </si>
  <si>
    <t>US20030N1019</t>
  </si>
  <si>
    <t>Comcast Corporation Class A</t>
  </si>
  <si>
    <t>GB00BDR05C01</t>
  </si>
  <si>
    <t>National Grid plc</t>
  </si>
  <si>
    <t>SE0017486889</t>
  </si>
  <si>
    <t>Atlas Copco AB Class A</t>
  </si>
  <si>
    <t>SE0015811963</t>
  </si>
  <si>
    <t>Investor AB Class B</t>
  </si>
  <si>
    <t>FR0000120693</t>
  </si>
  <si>
    <t>Pernod Ricard SA</t>
  </si>
  <si>
    <t>US65339F1012</t>
  </si>
  <si>
    <t>NextEra Energy, Inc.</t>
  </si>
  <si>
    <t>US64110L1061</t>
  </si>
  <si>
    <t>Netflix, Inc.</t>
  </si>
  <si>
    <t>DE0006231004</t>
  </si>
  <si>
    <t>Infineon Technologies AG</t>
  </si>
  <si>
    <t>US7181721090</t>
  </si>
  <si>
    <t>Philip Morris International Inc.</t>
  </si>
  <si>
    <t>NL0011585146</t>
  </si>
  <si>
    <t>Ferrari NV</t>
  </si>
  <si>
    <t>IT0003132476</t>
  </si>
  <si>
    <t>Eni S.p.A.</t>
  </si>
  <si>
    <t>SE0017486897</t>
  </si>
  <si>
    <t>Atlas Copco AB Class B</t>
  </si>
  <si>
    <t>GB00B24CGK77</t>
  </si>
  <si>
    <t>Reckitt Benckiser Group plc</t>
  </si>
  <si>
    <t>US8725901040</t>
  </si>
  <si>
    <t>T-Mobile US, Inc.</t>
  </si>
  <si>
    <t>FR0014003TT8</t>
  </si>
  <si>
    <t>Dassault Systemes SA</t>
  </si>
  <si>
    <t>US92343V1044</t>
  </si>
  <si>
    <t>Verizon Communications Inc.</t>
  </si>
  <si>
    <t>JP3371200001</t>
  </si>
  <si>
    <t>Shin-Etsu Chemical Co Ltd</t>
  </si>
  <si>
    <t>JP3198900007</t>
  </si>
  <si>
    <t>Oriental Land Co., Ltd.</t>
  </si>
  <si>
    <t>JP3481800005</t>
  </si>
  <si>
    <t>DAIKIN INDUSTRIES, LTD.</t>
  </si>
  <si>
    <t>JP3898400001</t>
  </si>
  <si>
    <t>Mitsubishi Corporation</t>
  </si>
  <si>
    <t>JP3802300008</t>
  </si>
  <si>
    <t>FAST RETAILING CO., LTD.</t>
  </si>
  <si>
    <t>JP3436100006</t>
  </si>
  <si>
    <t>SoftBank Group Corp.</t>
  </si>
  <si>
    <t>DE000SHL1006</t>
  </si>
  <si>
    <t>Siemens Healthineers AG</t>
  </si>
  <si>
    <t>IT0003128367</t>
  </si>
  <si>
    <t>Enel SpA</t>
  </si>
  <si>
    <t>US22160K1051</t>
  </si>
  <si>
    <t>Costco Wholesale Corporation</t>
  </si>
  <si>
    <t>US79466L3024</t>
  </si>
  <si>
    <t>Salesforce, Inc.</t>
  </si>
  <si>
    <t>US2358511028</t>
  </si>
  <si>
    <t>Danaher Corporation</t>
  </si>
  <si>
    <t>US2546871060</t>
  </si>
  <si>
    <t>Walt Disney Company</t>
  </si>
  <si>
    <t>CH0244767585</t>
  </si>
  <si>
    <t>UBS Group AG</t>
  </si>
  <si>
    <t>CH0012221716</t>
  </si>
  <si>
    <t>ABB Ltd.</t>
  </si>
  <si>
    <t>JE00B4T3BW64</t>
  </si>
  <si>
    <t>Glencore plc</t>
  </si>
  <si>
    <t>DE0005190037</t>
  </si>
  <si>
    <t>Bayerische Motoren Werke AG Pref</t>
  </si>
  <si>
    <t>NL0000009165</t>
  </si>
  <si>
    <t>Heineken NV</t>
  </si>
  <si>
    <t>GB0002875804</t>
  </si>
  <si>
    <t>British American Tobacco p.l.c.</t>
  </si>
  <si>
    <t>CH0011075394</t>
  </si>
  <si>
    <t>Zurich Insurance Group Ltd</t>
  </si>
  <si>
    <t>FR0000073272</t>
  </si>
  <si>
    <t>US68389X1054</t>
  </si>
  <si>
    <t>Oracle Corporation</t>
  </si>
  <si>
    <t>GB00B2B0DG97</t>
  </si>
  <si>
    <t>RELX PLC</t>
  </si>
  <si>
    <t>US7134481081</t>
  </si>
  <si>
    <t>PepsiCo, Inc.</t>
  </si>
  <si>
    <t>GB00BN7SWP63</t>
  </si>
  <si>
    <t>GSK plc</t>
  </si>
  <si>
    <t>DE0007664039</t>
  </si>
  <si>
    <t>Volkswagen AG Pref</t>
  </si>
  <si>
    <t>FR0000125486</t>
  </si>
  <si>
    <t>VINCI SA</t>
  </si>
  <si>
    <t>DE0005190003</t>
  </si>
  <si>
    <t>Bayerische Motoren Werke AG</t>
  </si>
  <si>
    <t>US8835561023</t>
  </si>
  <si>
    <t>Thermo Fisher Scientific Inc.</t>
  </si>
  <si>
    <t>DE0007664005</t>
  </si>
  <si>
    <t>Volkswagen AG</t>
  </si>
  <si>
    <t>JP3475350009</t>
  </si>
  <si>
    <t>Daiichi Sankyo Company, Limited</t>
  </si>
  <si>
    <t>JP3435000009</t>
  </si>
  <si>
    <t>Sony Group Corporation</t>
  </si>
  <si>
    <t>JP3236200006</t>
  </si>
  <si>
    <t>Keyence Corporation</t>
  </si>
  <si>
    <t>JP3735400008</t>
  </si>
  <si>
    <t>Nippon Telegraph and Telephone Corporation</t>
  </si>
  <si>
    <t>JP3496400007</t>
  </si>
  <si>
    <t>KDDI Corporation</t>
  </si>
  <si>
    <t>US00287Y1091</t>
  </si>
  <si>
    <t>AbbVie, Inc.</t>
  </si>
  <si>
    <t>ES0144580Y14</t>
  </si>
  <si>
    <t>Iberdrola SA</t>
  </si>
  <si>
    <t>GB00B10RZP78</t>
  </si>
  <si>
    <t>Unilever PLC</t>
  </si>
  <si>
    <t>US1667641005</t>
  </si>
  <si>
    <t>Chevron Corporation</t>
  </si>
  <si>
    <t>DE0005557508</t>
  </si>
  <si>
    <t>Deutsche Telekom AG</t>
  </si>
  <si>
    <t>DE0007100000</t>
  </si>
  <si>
    <t>Mercedes-Benz Group AG</t>
  </si>
  <si>
    <t>DE0007236101</t>
  </si>
  <si>
    <t>DE0008404005</t>
  </si>
  <si>
    <t>Allianz SE</t>
  </si>
  <si>
    <t>FR0000120073</t>
  </si>
  <si>
    <t>US4781601046</t>
  </si>
  <si>
    <t>Johnson &amp; Johnson</t>
  </si>
  <si>
    <t>CH0210483332</t>
  </si>
  <si>
    <t>Compagnie Financiere Richemont SA</t>
  </si>
  <si>
    <t>US57636Q1040</t>
  </si>
  <si>
    <t>Mastercard Incorporated Class A</t>
  </si>
  <si>
    <t>BE0974293251</t>
  </si>
  <si>
    <t>Anheuser-Busch InBev SA/NV</t>
  </si>
  <si>
    <t>ES0148396007</t>
  </si>
  <si>
    <t>Industria de Diseno Textil, S.A.</t>
  </si>
  <si>
    <t>US7427181091</t>
  </si>
  <si>
    <t>Procter &amp; Gamble Company</t>
  </si>
  <si>
    <t>NL0000235190</t>
  </si>
  <si>
    <t>Airbus SE</t>
  </si>
  <si>
    <t>FR0000121972</t>
  </si>
  <si>
    <t>Schneider Electric SE</t>
  </si>
  <si>
    <t>FR0000121667</t>
  </si>
  <si>
    <t>EssilorLuxottica SA</t>
  </si>
  <si>
    <t>NO0010096985</t>
  </si>
  <si>
    <t>Equinor ASA</t>
  </si>
  <si>
    <t>GB0007980591</t>
  </si>
  <si>
    <t>BP p.l.c.</t>
  </si>
  <si>
    <t>GB0002374006</t>
  </si>
  <si>
    <t>Diageo plc</t>
  </si>
  <si>
    <t>US92826C8394</t>
  </si>
  <si>
    <t>Visa Inc. Class A</t>
  </si>
  <si>
    <t>US9311421039</t>
  </si>
  <si>
    <t>Walmart Inc.</t>
  </si>
  <si>
    <t>AU000000CSL8</t>
  </si>
  <si>
    <t>CSL Limited</t>
  </si>
  <si>
    <t>JP3633400001</t>
  </si>
  <si>
    <t>Toyota Motor Corp.</t>
  </si>
  <si>
    <t>US0231351067</t>
  </si>
  <si>
    <t>Amazon.com, Inc.</t>
  </si>
  <si>
    <t>US0846707026</t>
  </si>
  <si>
    <t>Berkshire Hathaway Inc. Class B</t>
  </si>
  <si>
    <t>FR0000052292</t>
  </si>
  <si>
    <t>Hermes International SCA</t>
  </si>
  <si>
    <t>NL0013654783</t>
  </si>
  <si>
    <t>Prosus N.V. Class N</t>
  </si>
  <si>
    <t>AU000000BHP4</t>
  </si>
  <si>
    <t>BHP Group Ltd</t>
  </si>
  <si>
    <t>FR0000121014</t>
  </si>
  <si>
    <t>LVMH Moet Hennessy Louis Vuitton SE</t>
  </si>
  <si>
    <t>GB0009895292</t>
  </si>
  <si>
    <t>AstraZeneca PLC</t>
  </si>
  <si>
    <t>NL0010273215</t>
  </si>
  <si>
    <t>ASML Holding NV</t>
  </si>
  <si>
    <t>HK0000069689</t>
  </si>
  <si>
    <t>AIA Group Limited</t>
  </si>
  <si>
    <t>CH0012005267</t>
  </si>
  <si>
    <t>Novartis AG</t>
  </si>
  <si>
    <t>US30303M1027</t>
  </si>
  <si>
    <t>US67066G1040</t>
  </si>
  <si>
    <t>NVIDIA Corporation</t>
  </si>
  <si>
    <t>CH0012032113</t>
  </si>
  <si>
    <t>Roche Holding Ltd</t>
  </si>
  <si>
    <t>DE0007164600</t>
  </si>
  <si>
    <t>SAP SE</t>
  </si>
  <si>
    <t>FR0000120321</t>
  </si>
  <si>
    <t>L'Oreal S.A.</t>
  </si>
  <si>
    <t>CH0038863350</t>
  </si>
  <si>
    <t>Nestle S.A.</t>
  </si>
  <si>
    <t>US88160R1014</t>
  </si>
  <si>
    <t>US30231G1022</t>
  </si>
  <si>
    <t>Exxon Mobil Corporation</t>
  </si>
  <si>
    <t>Top 3 stocks mandatory</t>
  </si>
  <si>
    <t>Yes</t>
  </si>
  <si>
    <t>No</t>
  </si>
  <si>
    <t>Top3</t>
  </si>
  <si>
    <t>Earnings yield</t>
  </si>
  <si>
    <t>BMG507361001</t>
  </si>
  <si>
    <t>Jardine Matheson Holdings Limited</t>
  </si>
  <si>
    <t>1)</t>
  </si>
  <si>
    <t>2)</t>
  </si>
  <si>
    <t>3)</t>
  </si>
  <si>
    <t>-</t>
  </si>
  <si>
    <t>Sedol</t>
  </si>
  <si>
    <t>FMDS8D-R</t>
  </si>
  <si>
    <t>MY3SK8-R</t>
  </si>
  <si>
    <t>VQYTRP-R</t>
  </si>
  <si>
    <t>JFW5HZ-R</t>
  </si>
  <si>
    <t>G49K2V-R</t>
  </si>
  <si>
    <t>DXW84Y-R</t>
  </si>
  <si>
    <t>WPKF66-R</t>
  </si>
  <si>
    <t>KZKK3D-R</t>
  </si>
  <si>
    <t>LVYTWF-R</t>
  </si>
  <si>
    <t>DJC60R-R</t>
  </si>
  <si>
    <t>D8D820-R</t>
  </si>
  <si>
    <t>GRS9LG-R</t>
  </si>
  <si>
    <t>RTXD8D-R</t>
  </si>
  <si>
    <t>TXN5MP-R</t>
  </si>
  <si>
    <t>JPTF52-R</t>
  </si>
  <si>
    <t>GM3DBL-R</t>
  </si>
  <si>
    <t>NZMV05-R</t>
  </si>
  <si>
    <t>NT38T5-R</t>
  </si>
  <si>
    <t>GRQMJ0-R</t>
  </si>
  <si>
    <t>KYJFW8-R</t>
  </si>
  <si>
    <t>SKZRLQ-R</t>
  </si>
  <si>
    <t>T8X2RS-R</t>
  </si>
  <si>
    <t>DF9PT2-R</t>
  </si>
  <si>
    <t>C5CPSB-R</t>
  </si>
  <si>
    <t>FJ4NDH-R</t>
  </si>
  <si>
    <t>JT792F-R</t>
  </si>
  <si>
    <t>BYNP13-R</t>
  </si>
  <si>
    <t>WQPCW0-R</t>
  </si>
  <si>
    <t>M1H0C2-R</t>
  </si>
  <si>
    <t>MKJ8WW-R</t>
  </si>
  <si>
    <t>J70N5J-R</t>
  </si>
  <si>
    <t>V5WMVF-R</t>
  </si>
  <si>
    <t>VKGC02-R</t>
  </si>
  <si>
    <t>H2VPCM-R</t>
  </si>
  <si>
    <t>M827WR-R</t>
  </si>
  <si>
    <t>MJF3LP-R</t>
  </si>
  <si>
    <t>FJ8GT6-R</t>
  </si>
  <si>
    <t>JK94MF-R</t>
  </si>
  <si>
    <t>QSD000-R</t>
  </si>
  <si>
    <t>W1427T-R</t>
  </si>
  <si>
    <t>CB1FV5-R</t>
  </si>
  <si>
    <t>JDQ0K1-R</t>
  </si>
  <si>
    <t>F5SZTK-R</t>
  </si>
  <si>
    <t>CZBYFY-R</t>
  </si>
  <si>
    <t>K38HHD-R</t>
  </si>
  <si>
    <t>TGLSC6-R</t>
  </si>
  <si>
    <t>P5B11J-R</t>
  </si>
  <si>
    <t>R033YB-R</t>
  </si>
  <si>
    <t>GW6H33-R</t>
  </si>
  <si>
    <t>QYYQF3-R</t>
  </si>
  <si>
    <t>PFF0R2-R</t>
  </si>
  <si>
    <t>GX5F66-R</t>
  </si>
  <si>
    <t>RT2ZSJ-R</t>
  </si>
  <si>
    <t>TZ2TSL-R</t>
  </si>
  <si>
    <t>M1N1ZT-R</t>
  </si>
  <si>
    <t>BW6HWR-R</t>
  </si>
  <si>
    <t>VT66G5-R</t>
  </si>
  <si>
    <t>JYWMBW-R</t>
  </si>
  <si>
    <t>B5PNYT-R</t>
  </si>
  <si>
    <t>BQ62W9-R</t>
  </si>
  <si>
    <t>D51G2L-R</t>
  </si>
  <si>
    <t>KC6WDM-R</t>
  </si>
  <si>
    <t>CHKL7S-R</t>
  </si>
  <si>
    <t>QMS2DW-R</t>
  </si>
  <si>
    <t>CYB1M0-R</t>
  </si>
  <si>
    <t>DQ7JSW-R</t>
  </si>
  <si>
    <t>NZSHXK-R</t>
  </si>
  <si>
    <t>P59ZZH-R</t>
  </si>
  <si>
    <t>FXH4XG-R</t>
  </si>
  <si>
    <t>S6PT59-R</t>
  </si>
  <si>
    <t>TQ3TPS-R</t>
  </si>
  <si>
    <t>VGZNR3-R</t>
  </si>
  <si>
    <t>GSSQHY-R</t>
  </si>
  <si>
    <t>T7JGZ8-R</t>
  </si>
  <si>
    <t>FVCVC5-R</t>
  </si>
  <si>
    <t>KYK33W-R</t>
  </si>
  <si>
    <t>VNMTTH-R</t>
  </si>
  <si>
    <t>R9B29P-R</t>
  </si>
  <si>
    <t>HQ87P5-R</t>
  </si>
  <si>
    <t>V3R2XZ-R</t>
  </si>
  <si>
    <t>BMHL2D-R</t>
  </si>
  <si>
    <t>L9SQ01-R</t>
  </si>
  <si>
    <t>BWDZ2P-R</t>
  </si>
  <si>
    <t>B81TLL-R</t>
  </si>
  <si>
    <t>GFJC62-R</t>
  </si>
  <si>
    <t>CYBMQK-R</t>
  </si>
  <si>
    <t>GM702V-R</t>
  </si>
  <si>
    <t>P45SVG-R</t>
  </si>
  <si>
    <t>VK7M4R-R</t>
  </si>
  <si>
    <t>RS2FLX-R</t>
  </si>
  <si>
    <t>PD98GG-R</t>
  </si>
  <si>
    <t>NNKD2Y-R</t>
  </si>
  <si>
    <t>M78XGX-R</t>
  </si>
  <si>
    <t>M79R1P-R</t>
  </si>
  <si>
    <t>WT0KJR-R</t>
  </si>
  <si>
    <t>MH33D6-R</t>
  </si>
  <si>
    <t>HTM0LK-R</t>
  </si>
  <si>
    <t>MH2X00-R</t>
  </si>
  <si>
    <t>P8R3C2-R</t>
  </si>
  <si>
    <t>MT9P59-R</t>
  </si>
  <si>
    <t>MVMFXK-R</t>
  </si>
  <si>
    <t>NL9BH6-R</t>
  </si>
  <si>
    <t>GGPVTB-R</t>
  </si>
  <si>
    <t>RH34VR-R</t>
  </si>
  <si>
    <t>C7J769-R</t>
  </si>
  <si>
    <t>NK4NFQ-R</t>
  </si>
  <si>
    <t>SJSMSW-R</t>
  </si>
  <si>
    <t>D6ZG1F-R</t>
  </si>
  <si>
    <t>DJHD0P-R</t>
  </si>
  <si>
    <t>TCX5SM-R</t>
  </si>
  <si>
    <t>BNMLW8-R</t>
  </si>
  <si>
    <t>G2XMCQ-R</t>
  </si>
  <si>
    <t>WZM589-R</t>
  </si>
  <si>
    <t>BFSQSF-R</t>
  </si>
  <si>
    <t>WLBH3Y-R</t>
  </si>
  <si>
    <t>WRTQ85-R</t>
  </si>
  <si>
    <t>SZJK3L-R</t>
  </si>
  <si>
    <t>GMDL3G-R</t>
  </si>
  <si>
    <t>QQ42ND-R</t>
  </si>
  <si>
    <t>B04V7K-R</t>
  </si>
  <si>
    <t>JDV16T-R</t>
  </si>
  <si>
    <t>SQGTV7-R</t>
  </si>
  <si>
    <t>M3QDQ6-R</t>
  </si>
  <si>
    <t>RWBV02-R</t>
  </si>
  <si>
    <t>TRDSY9-R</t>
  </si>
  <si>
    <t>PTRY1F-R</t>
  </si>
  <si>
    <t>TYPLZM-R</t>
  </si>
  <si>
    <t>D79MYG-R</t>
  </si>
  <si>
    <t>KDC2JN-R</t>
  </si>
  <si>
    <t>NCFQNB-R</t>
  </si>
  <si>
    <t>DMSDLF-R</t>
  </si>
  <si>
    <t>CY9XBW-R</t>
  </si>
  <si>
    <t>HLRKD5-R</t>
  </si>
  <si>
    <t>Q2XGTK-R</t>
  </si>
  <si>
    <t>HP13ZD-R</t>
  </si>
  <si>
    <t>DF3WQM-R</t>
  </si>
  <si>
    <t>TDZFBZ-R</t>
  </si>
  <si>
    <t>RVC5J9-R</t>
  </si>
  <si>
    <t>D3VZJC-R</t>
  </si>
  <si>
    <t>NGVZND-R</t>
  </si>
  <si>
    <t>FBCHQC-R</t>
  </si>
  <si>
    <t>J9DNL7-R</t>
  </si>
  <si>
    <t>FQYW7Q-R</t>
  </si>
  <si>
    <t>BWZ93Y-R</t>
  </si>
  <si>
    <t>JJ39BV-R</t>
  </si>
  <si>
    <t>H7DGWR-R</t>
  </si>
  <si>
    <t>HJXXH4-R</t>
  </si>
  <si>
    <t>RHVDR3-R</t>
  </si>
  <si>
    <t>J5XSLR-R</t>
  </si>
  <si>
    <t>VFY8ZQ-R</t>
  </si>
  <si>
    <t>MS9FKZ-R</t>
  </si>
  <si>
    <t>C5GQP9-R</t>
  </si>
  <si>
    <t>FVD6P4-R</t>
  </si>
  <si>
    <t>TP3XRS-R</t>
  </si>
  <si>
    <t>NCF0N0-R</t>
  </si>
  <si>
    <t>KZNLFS-R</t>
  </si>
  <si>
    <t>CD94SL-R</t>
  </si>
  <si>
    <t>VKHGSS-R</t>
  </si>
  <si>
    <t>M8867B-R</t>
  </si>
  <si>
    <t>QWP6YY-R</t>
  </si>
  <si>
    <t>QWG0VT-R</t>
  </si>
  <si>
    <t>XMYTFJ-R</t>
  </si>
  <si>
    <t>RJVBBR-R</t>
  </si>
  <si>
    <t>KTBGHT-R</t>
  </si>
  <si>
    <t>VVFNT8-R</t>
  </si>
  <si>
    <t>J1JDGR-R</t>
  </si>
  <si>
    <t>FZVN2F-R</t>
  </si>
  <si>
    <t>X59HZ5-R</t>
  </si>
  <si>
    <t>JYQXCG-R</t>
  </si>
  <si>
    <t>HTKQ3B-R</t>
  </si>
  <si>
    <t>TSCJN6-R</t>
  </si>
  <si>
    <t>L1XNK0-R</t>
  </si>
  <si>
    <t>CRHPMR-R</t>
  </si>
  <si>
    <t>W0DHV8-R</t>
  </si>
  <si>
    <t>M4KVD8-R</t>
  </si>
  <si>
    <t>T38TD7-R</t>
  </si>
  <si>
    <t>GQGQ5C-R</t>
  </si>
  <si>
    <t>QVQ2GN-R</t>
  </si>
  <si>
    <t>BYKL46-R</t>
  </si>
  <si>
    <t>KTPK4Q-R</t>
  </si>
  <si>
    <t>V58R62-R</t>
  </si>
  <si>
    <t>R88PLB-R</t>
  </si>
  <si>
    <t>MBP9GT-R</t>
  </si>
  <si>
    <t>VT67J6-R</t>
  </si>
  <si>
    <t>HG67WK-R</t>
  </si>
  <si>
    <t>CGGQP0-R</t>
  </si>
  <si>
    <t>QCSD0F-R</t>
  </si>
  <si>
    <t>FGW76H-R</t>
  </si>
  <si>
    <t>HNZVK6-R</t>
  </si>
  <si>
    <t>QJBZ19-R</t>
  </si>
  <si>
    <t>MG2TQV-R</t>
  </si>
  <si>
    <t>HY8GBD-R</t>
  </si>
  <si>
    <t>PWB66V-R</t>
  </si>
  <si>
    <t>SRR5X5-R</t>
  </si>
  <si>
    <t>RQXL78-R</t>
  </si>
  <si>
    <t>MCRMKM-R</t>
  </si>
  <si>
    <t>BZPFLX-R</t>
  </si>
  <si>
    <t>LN3YSL-R</t>
  </si>
  <si>
    <t>HF1P15-R</t>
  </si>
  <si>
    <t>K36637-R</t>
  </si>
  <si>
    <t>MT8FDR-R</t>
  </si>
  <si>
    <t>F05QG0-R</t>
  </si>
  <si>
    <t>BCD5LG-R</t>
  </si>
  <si>
    <t>QCYLZB-R</t>
  </si>
  <si>
    <t>LZBPWV-R</t>
  </si>
  <si>
    <t>W00MKH-R</t>
  </si>
  <si>
    <t>N286BN-R</t>
  </si>
  <si>
    <t>N00SZJ-R</t>
  </si>
  <si>
    <t>CSPHV9-R</t>
  </si>
  <si>
    <t>QP3LLV-R</t>
  </si>
  <si>
    <t>TH9988-R</t>
  </si>
  <si>
    <t>KDHCQP-R</t>
  </si>
  <si>
    <t>HJG212-R</t>
  </si>
  <si>
    <t>NCFFZY-R</t>
  </si>
  <si>
    <t>VQXNXZ-R</t>
  </si>
  <si>
    <t>GW5LD8-R</t>
  </si>
  <si>
    <t>S9XYNS-R</t>
  </si>
  <si>
    <t>DV4LYR-R</t>
  </si>
  <si>
    <t>NYN4GC-R</t>
  </si>
  <si>
    <t>W2TCHD-R</t>
  </si>
  <si>
    <t>GZF20K-R</t>
  </si>
  <si>
    <t>KW432H-R</t>
  </si>
  <si>
    <t>KFNB9F-R</t>
  </si>
  <si>
    <t>S4J8BX-R</t>
  </si>
  <si>
    <t>RYRC40-R</t>
  </si>
  <si>
    <t>G7RF6F-R</t>
  </si>
  <si>
    <t>TBS2VP-R</t>
  </si>
  <si>
    <t>HRD58Y-R</t>
  </si>
  <si>
    <t>VL607C-R</t>
  </si>
  <si>
    <t>X2NK9X-R</t>
  </si>
  <si>
    <t>PVBYXV-R</t>
  </si>
  <si>
    <t>V0HW9F-R</t>
  </si>
  <si>
    <t>HSF35X-R</t>
  </si>
  <si>
    <t>N3CXK7-R</t>
  </si>
  <si>
    <t>T3YH93-R</t>
  </si>
  <si>
    <t>FZRL7K-R</t>
  </si>
  <si>
    <t>QWTSP7-R</t>
  </si>
  <si>
    <t>KXDMGL-R</t>
  </si>
  <si>
    <t>NCL5GV-R</t>
  </si>
  <si>
    <t>VXKKH3-R</t>
  </si>
  <si>
    <t>L7MTPJ-R</t>
  </si>
  <si>
    <t>L2YMJ0-R</t>
  </si>
  <si>
    <t>G5MRPJ-R</t>
  </si>
  <si>
    <t>PX1NYT-R</t>
  </si>
  <si>
    <t>G9S89N-R</t>
  </si>
  <si>
    <t>PGKD68-R</t>
  </si>
  <si>
    <t>L7LP86-R</t>
  </si>
  <si>
    <t>M0C1P8-R</t>
  </si>
  <si>
    <t>JCPT0R-R</t>
  </si>
  <si>
    <t>VTH886-R</t>
  </si>
  <si>
    <t>B8350Q-R</t>
  </si>
  <si>
    <t>DQ6VH7-R</t>
  </si>
  <si>
    <t>R87VZJ-R</t>
  </si>
  <si>
    <t>N2FLMQ-R</t>
  </si>
  <si>
    <t>HMVVTC-R</t>
  </si>
  <si>
    <t>X8L2PH-R</t>
  </si>
  <si>
    <t>VBK29Z-R</t>
  </si>
  <si>
    <t>D62DP7-R</t>
  </si>
  <si>
    <t>NTN0BH-R</t>
  </si>
  <si>
    <t>RV7JKW-R</t>
  </si>
  <si>
    <t>LKPWM4-R</t>
  </si>
  <si>
    <t>G3ZPT3-R</t>
  </si>
  <si>
    <t>GN6RRQ-R</t>
  </si>
  <si>
    <t>KFP2R4-R</t>
  </si>
  <si>
    <t>H55D3X-R</t>
  </si>
  <si>
    <t>KDJL0T-R</t>
  </si>
  <si>
    <t>D1P43P-R</t>
  </si>
  <si>
    <t>FCK6QT-R</t>
  </si>
  <si>
    <t>FNYZ5M-R</t>
  </si>
  <si>
    <t>PVW48J-R</t>
  </si>
  <si>
    <t>KK1SFD-R</t>
  </si>
  <si>
    <t>H8DT5P-R</t>
  </si>
  <si>
    <t>B6V0BZ-R</t>
  </si>
  <si>
    <t>BRPP7J-R</t>
  </si>
  <si>
    <t>JH56WK-R</t>
  </si>
  <si>
    <t>N6Z6YT-R</t>
  </si>
  <si>
    <t>BQRS2C-R</t>
  </si>
  <si>
    <t>S6LN4B-R</t>
  </si>
  <si>
    <t>W5QDQD-R</t>
  </si>
  <si>
    <t>X9Q3HC-R</t>
  </si>
  <si>
    <t>B83YJG-R</t>
  </si>
  <si>
    <t>LSR953-R</t>
  </si>
  <si>
    <t>VWGLQ7-R</t>
  </si>
  <si>
    <t>STD474-R</t>
  </si>
  <si>
    <t>G4GB6B-R</t>
  </si>
  <si>
    <t>LD1K6L-R</t>
  </si>
  <si>
    <t>Q1MC5S-R</t>
  </si>
  <si>
    <t>G3949H-R</t>
  </si>
  <si>
    <t>LD2DVD-R</t>
  </si>
  <si>
    <t>BYP0PF-R</t>
  </si>
  <si>
    <t>GZKHGQ-R</t>
  </si>
  <si>
    <t>H8PG48-R</t>
  </si>
  <si>
    <t>G92RX2-R</t>
  </si>
  <si>
    <t>F82H8Q-R</t>
  </si>
  <si>
    <t>PGQCV2-R</t>
  </si>
  <si>
    <t>N3FDCM-R</t>
  </si>
  <si>
    <t>CFHBQH-R</t>
  </si>
  <si>
    <t>FBCT9N-R</t>
  </si>
  <si>
    <t>B2H31C-R</t>
  </si>
  <si>
    <t>T58KXY-R</t>
  </si>
  <si>
    <t>WDG05S-R</t>
  </si>
  <si>
    <t>H449YT-R</t>
  </si>
  <si>
    <t>KHX8Q2-R</t>
  </si>
  <si>
    <t>DP4DPV-R</t>
  </si>
  <si>
    <t>BCD4JF-R</t>
  </si>
  <si>
    <t>L0R2SP-R</t>
  </si>
  <si>
    <t>JZWRR3-R</t>
  </si>
  <si>
    <t>K6RW63-R</t>
  </si>
  <si>
    <t>F1DFCD-R</t>
  </si>
  <si>
    <t>WPZ4QD-R</t>
  </si>
  <si>
    <t>HVKZ86-R</t>
  </si>
  <si>
    <t>DTR1XW-R</t>
  </si>
  <si>
    <t>BX15BB-R</t>
  </si>
  <si>
    <t>DVRN0C-R</t>
  </si>
  <si>
    <t>LY653H-R</t>
  </si>
  <si>
    <t>SQFMK3-R</t>
  </si>
  <si>
    <t>WGXV7D-R</t>
  </si>
  <si>
    <t>KFJFWS-R</t>
  </si>
  <si>
    <t>MLQ41B-R</t>
  </si>
  <si>
    <t>MN5CL1-R</t>
  </si>
  <si>
    <t>RT7HCR-R</t>
  </si>
  <si>
    <t>V4QM4M-R</t>
  </si>
  <si>
    <t>QLRPKF-R</t>
  </si>
  <si>
    <t>VBMVML-R</t>
  </si>
  <si>
    <t>FYP5J6-R</t>
  </si>
  <si>
    <t>RS2P24-R</t>
  </si>
  <si>
    <t>V0D2KC-R</t>
  </si>
  <si>
    <t>HQ2MHF-R</t>
  </si>
  <si>
    <t>PTMMVD-R</t>
  </si>
  <si>
    <t>G7VZQH-R</t>
  </si>
  <si>
    <t>X1RJ5Y-R</t>
  </si>
  <si>
    <t>PHPH46-R</t>
  </si>
  <si>
    <t>FPTJVK-R</t>
  </si>
  <si>
    <t>X42HGH-R</t>
  </si>
  <si>
    <t>M891W4-R</t>
  </si>
  <si>
    <t>VKCPYL-R</t>
  </si>
  <si>
    <t>FT7VMB-R</t>
  </si>
  <si>
    <t>VFT0VQ-R</t>
  </si>
  <si>
    <t>PKY50L-R</t>
  </si>
  <si>
    <t>LD13C5-R</t>
  </si>
  <si>
    <t>C7PKHF-R</t>
  </si>
  <si>
    <t>M79B89-R</t>
  </si>
  <si>
    <t>Q3VTNZ-R</t>
  </si>
  <si>
    <t>XLT03X-R</t>
  </si>
  <si>
    <t>DXVDJ4-R</t>
  </si>
  <si>
    <t>XHDJZY-R</t>
  </si>
  <si>
    <t>NL8WMS-R</t>
  </si>
  <si>
    <t>CG3M36-R</t>
  </si>
  <si>
    <t>Q8F21J-R</t>
  </si>
  <si>
    <t>R24Q70-R</t>
  </si>
  <si>
    <t>KB3GSB-R</t>
  </si>
  <si>
    <t>CHMCNG-R</t>
  </si>
  <si>
    <t>MXZ7RW-R</t>
  </si>
  <si>
    <t>PVWPB1-R</t>
  </si>
  <si>
    <t>M8XT6B-R</t>
  </si>
  <si>
    <t>LPRN3T-R</t>
  </si>
  <si>
    <t>W8Y3WZ-R</t>
  </si>
  <si>
    <t>V3Q5PM-R</t>
  </si>
  <si>
    <t>FDS65G-R</t>
  </si>
  <si>
    <t>B2F8KN-R</t>
  </si>
  <si>
    <t>XF43NV-R</t>
  </si>
  <si>
    <t>WL1GCY-R</t>
  </si>
  <si>
    <t>WYKF5Y-R</t>
  </si>
  <si>
    <t>GCCR8P-R</t>
  </si>
  <si>
    <t>QVQ1DM-R</t>
  </si>
  <si>
    <t>PHP2BT-R</t>
  </si>
  <si>
    <t>T0LBNC-R</t>
  </si>
  <si>
    <t>HZ4HJD-R</t>
  </si>
  <si>
    <t>SV06FW-R</t>
  </si>
  <si>
    <t>QG5V09-R</t>
  </si>
  <si>
    <t>LRK013-R</t>
  </si>
  <si>
    <t>L8PQ54-R</t>
  </si>
  <si>
    <t>BFSY5M-R</t>
  </si>
  <si>
    <t>JWH12W-R</t>
  </si>
  <si>
    <t>DXZQS6-R</t>
  </si>
  <si>
    <t>MTBCGY-R</t>
  </si>
  <si>
    <t>BM9QXX-R</t>
  </si>
  <si>
    <t>CLZ09Q-R</t>
  </si>
  <si>
    <t>VM94FH-R</t>
  </si>
  <si>
    <t>X57BV4-R</t>
  </si>
  <si>
    <t>TRZP23-R</t>
  </si>
  <si>
    <t>DJJVV2-R</t>
  </si>
  <si>
    <t>V71F30-R</t>
  </si>
  <si>
    <t>B5YJZ6-R</t>
  </si>
  <si>
    <t>GQ49Z7-R</t>
  </si>
  <si>
    <t>B806CY-R</t>
  </si>
  <si>
    <t>BW9KLH-R</t>
  </si>
  <si>
    <t>J06Y9S-R</t>
  </si>
  <si>
    <t>BT3L1T-R</t>
  </si>
  <si>
    <t>D68983-R</t>
  </si>
  <si>
    <t>K38W6R-R</t>
  </si>
  <si>
    <t>FPPSQ1-R</t>
  </si>
  <si>
    <t>HP2NXV-R</t>
  </si>
  <si>
    <t>F9VYPD-R</t>
  </si>
  <si>
    <t>L32LM8-R</t>
  </si>
  <si>
    <t>CHK9QJ-R</t>
  </si>
  <si>
    <t>P4BP51-R</t>
  </si>
  <si>
    <t>R2V6QP-R</t>
  </si>
  <si>
    <t>SPGL7X-R</t>
  </si>
  <si>
    <t>RSQN90-R</t>
  </si>
  <si>
    <t>R1F32S-R</t>
  </si>
  <si>
    <t>M3WXBH-R</t>
  </si>
  <si>
    <t>CLZKHC-R</t>
  </si>
  <si>
    <t>J3MQ11-R</t>
  </si>
  <si>
    <t>FV824M-R</t>
  </si>
  <si>
    <t>T7H5H1-R</t>
  </si>
  <si>
    <t>WM5BXP-R</t>
  </si>
  <si>
    <t>NFDT4N-R</t>
  </si>
  <si>
    <t>C7M7DL-R</t>
  </si>
  <si>
    <t>D0LDT1-R</t>
  </si>
  <si>
    <t>F1DNTM-R</t>
  </si>
  <si>
    <t>SXLVCP-R</t>
  </si>
  <si>
    <t>MTGSY3-R</t>
  </si>
  <si>
    <t>THB4X2-R</t>
  </si>
  <si>
    <t>JXDLKP-R</t>
  </si>
  <si>
    <t>SRQW9W-R</t>
  </si>
  <si>
    <t>WJXJS5-R</t>
  </si>
  <si>
    <t>MBR1TG-R</t>
  </si>
  <si>
    <t>X42PVP-R</t>
  </si>
  <si>
    <t>CJVKH9-R</t>
  </si>
  <si>
    <t>V75BKP-R</t>
  </si>
  <si>
    <t>XD67LR-R</t>
  </si>
  <si>
    <t>X59RFD-R</t>
  </si>
  <si>
    <t>C6M66G-R</t>
  </si>
  <si>
    <t>M1QSPW-R</t>
  </si>
  <si>
    <t>W6VZ29-R</t>
  </si>
  <si>
    <t>J01LN9-R</t>
  </si>
  <si>
    <t>J9JZL1-R</t>
  </si>
  <si>
    <t>X8LB4Q-R</t>
  </si>
  <si>
    <t>P8S25Z-R</t>
  </si>
  <si>
    <t>PB615C-R</t>
  </si>
  <si>
    <t>WRVHRX-R</t>
  </si>
  <si>
    <t>MYW502-R</t>
  </si>
  <si>
    <t>N17TH6-R</t>
  </si>
  <si>
    <t>T1NRCQ-R</t>
  </si>
  <si>
    <t>SYS0R0-R</t>
  </si>
  <si>
    <t>MXX3V0-R</t>
  </si>
  <si>
    <t>H4183Y-R</t>
  </si>
  <si>
    <t>H6FR5V-R</t>
  </si>
  <si>
    <t>QQ5V01-R</t>
  </si>
  <si>
    <t>J0CM75-R</t>
  </si>
  <si>
    <t>DMRWLY-R</t>
  </si>
  <si>
    <t>NT37R4-R</t>
  </si>
  <si>
    <t>FYT41X-R</t>
  </si>
  <si>
    <t>DGBZCC-R</t>
  </si>
  <si>
    <t>P31DB7-R</t>
  </si>
  <si>
    <t>BQR5YT-R</t>
  </si>
  <si>
    <t>JLJ8ZV-R</t>
  </si>
  <si>
    <t>VZYGFG-R</t>
  </si>
  <si>
    <t>RPTY1P-R</t>
  </si>
  <si>
    <t>DLSMXK-R</t>
  </si>
  <si>
    <t>HP55Q6-R</t>
  </si>
  <si>
    <t>M64YT3-R</t>
  </si>
  <si>
    <t>QBPG9L-R</t>
  </si>
  <si>
    <t>HR28DN-R</t>
  </si>
  <si>
    <t>VLHRTH-R</t>
  </si>
  <si>
    <t>CKHCJ4-R</t>
  </si>
  <si>
    <t>RK8Z6D-R</t>
  </si>
  <si>
    <t>BV4P4T-R</t>
  </si>
  <si>
    <t>P1P032-R</t>
  </si>
  <si>
    <t>CYBC69-R</t>
  </si>
  <si>
    <t>V6ZQWF-R</t>
  </si>
  <si>
    <t>NCGB47-R</t>
  </si>
  <si>
    <t>PW1B5D-R</t>
  </si>
  <si>
    <t>TP0SSV-R</t>
  </si>
  <si>
    <t>MR4TNK-R</t>
  </si>
  <si>
    <t>JWND9X-R</t>
  </si>
  <si>
    <t>GZH50J-R</t>
  </si>
  <si>
    <t>GRSDSK-R</t>
  </si>
  <si>
    <t>S26JJL-R</t>
  </si>
  <si>
    <t>SHRZF5-R</t>
  </si>
  <si>
    <t>W6N4JC-R</t>
  </si>
  <si>
    <t>SJS2RC-R</t>
  </si>
  <si>
    <t>C0YGQ6-R</t>
  </si>
  <si>
    <t>T67DJN-R</t>
  </si>
  <si>
    <t>NW8BQ3-R</t>
  </si>
  <si>
    <t>Q9Q070-R</t>
  </si>
  <si>
    <t>VLG4QZ-R</t>
  </si>
  <si>
    <t>MQ0Y3T-R</t>
  </si>
  <si>
    <t>NB76FG-R</t>
  </si>
  <si>
    <t>K6Q83L-R</t>
  </si>
  <si>
    <t>R6XPFW-R</t>
  </si>
  <si>
    <t>V5Z7TW-R</t>
  </si>
  <si>
    <t>G7W3ZM-R</t>
  </si>
  <si>
    <t>TTK7NN-R</t>
  </si>
  <si>
    <t>WSMGLJ-R</t>
  </si>
  <si>
    <t>TY3P99-R</t>
  </si>
  <si>
    <t>FJ1SYT-R</t>
  </si>
  <si>
    <t>DDZB0B-R</t>
  </si>
  <si>
    <t>NK6FVD-R</t>
  </si>
  <si>
    <t>TVTFDF-R</t>
  </si>
  <si>
    <t>DZPGCQ-R</t>
  </si>
  <si>
    <t>W6SXMV-R</t>
  </si>
  <si>
    <t>QJ9QP4-R</t>
  </si>
  <si>
    <t>FXK7XF-R</t>
  </si>
  <si>
    <t>NV7K28-R</t>
  </si>
  <si>
    <t>J0CRH9-R</t>
  </si>
  <si>
    <t>QRBN9N-R</t>
  </si>
  <si>
    <t>JQZ00G-R</t>
  </si>
  <si>
    <t>W0Z4W6-R</t>
  </si>
  <si>
    <t>WKN8S4-R</t>
  </si>
  <si>
    <t>MBK7R0-R</t>
  </si>
  <si>
    <t>L7N0TG-R</t>
  </si>
  <si>
    <t>STWX4S-R</t>
  </si>
  <si>
    <t>XH5XBQ-R</t>
  </si>
  <si>
    <t>KMBRT0-R</t>
  </si>
  <si>
    <t>PN37ZK-R</t>
  </si>
  <si>
    <t>H69CWS-R</t>
  </si>
  <si>
    <t>FMPBLF-R</t>
  </si>
  <si>
    <t>HPXGC9-R</t>
  </si>
  <si>
    <t>FXTG1M-R</t>
  </si>
  <si>
    <t>MF02C5-R</t>
  </si>
  <si>
    <t>QH99RN-R</t>
  </si>
  <si>
    <t>QZ3B6F-R</t>
  </si>
  <si>
    <t>VNRDMV-R</t>
  </si>
  <si>
    <t>BRWKF0-R</t>
  </si>
  <si>
    <t>S5879M-R</t>
  </si>
  <si>
    <t>N4K9ZD-R</t>
  </si>
  <si>
    <t>QJKQYN-R</t>
  </si>
  <si>
    <t>P3748M-R</t>
  </si>
  <si>
    <t>CGCNZ8-R</t>
  </si>
  <si>
    <t>BMCTXW-R</t>
  </si>
  <si>
    <t>LTNL3N-R</t>
  </si>
  <si>
    <t>CN7T72-R</t>
  </si>
  <si>
    <t>T89H9B-R</t>
  </si>
  <si>
    <t>PJNB5B-R</t>
  </si>
  <si>
    <t>MVKZ35-R</t>
  </si>
  <si>
    <t>D60L5H-R</t>
  </si>
  <si>
    <t>JK9H8R-R</t>
  </si>
  <si>
    <t>J95QR3-R</t>
  </si>
  <si>
    <t>M609YR-R</t>
  </si>
  <si>
    <t>MXRN5P-R</t>
  </si>
  <si>
    <t>WFMVVR-R</t>
  </si>
  <si>
    <t>PB1Z9F-R</t>
  </si>
  <si>
    <t>WK2NJZ-R</t>
  </si>
  <si>
    <t>WRRSLC-R</t>
  </si>
  <si>
    <t>S8Z499-R</t>
  </si>
  <si>
    <t>X0FH1K-R</t>
  </si>
  <si>
    <t>DQ510J-R</t>
  </si>
  <si>
    <t>PX63DZ-R</t>
  </si>
  <si>
    <t>R6ZGVK-R</t>
  </si>
  <si>
    <t>Q0MJCV-R</t>
  </si>
  <si>
    <t>N5Q6F2-R</t>
  </si>
  <si>
    <t>WDJMKM-R</t>
  </si>
  <si>
    <t>LJK8PQ-R</t>
  </si>
  <si>
    <t>MZJHY9-R</t>
  </si>
  <si>
    <t>CFG1CD-R</t>
  </si>
  <si>
    <t>DD26CY-R</t>
  </si>
  <si>
    <t>RBJXH6-R</t>
  </si>
  <si>
    <t>C6MN1W-R</t>
  </si>
  <si>
    <t>K24537-R</t>
  </si>
  <si>
    <t>LHPBFK-R</t>
  </si>
  <si>
    <t>PFG3V3-R</t>
  </si>
  <si>
    <t>R2JVCD-R</t>
  </si>
  <si>
    <t>XKT8J2-R</t>
  </si>
  <si>
    <t>P6FHDH-R</t>
  </si>
  <si>
    <t>RH0GWC-R</t>
  </si>
  <si>
    <t>PRMD3Z-R</t>
  </si>
  <si>
    <t>PGJW6S-R</t>
  </si>
  <si>
    <t>F09CDF-R</t>
  </si>
  <si>
    <t>G7X4YL-R</t>
  </si>
  <si>
    <t>D1RDFT-R</t>
  </si>
  <si>
    <t>T8J8Q5-R</t>
  </si>
  <si>
    <t>KZQB6W-R</t>
  </si>
  <si>
    <t>HVXZCN-R</t>
  </si>
  <si>
    <t>MVMDVJ-R</t>
  </si>
  <si>
    <t>NFMH78-R</t>
  </si>
  <si>
    <t>MH2KBP-R</t>
  </si>
  <si>
    <t>CPFK9K-R</t>
  </si>
  <si>
    <t>KK1YRK-R</t>
  </si>
  <si>
    <t>GN6KCJ-R</t>
  </si>
  <si>
    <t>MS57L1-R</t>
  </si>
  <si>
    <t>JPV6NT-R</t>
  </si>
  <si>
    <t>LLW6X7-R</t>
  </si>
  <si>
    <t>M3LY83-R</t>
  </si>
  <si>
    <t>NGW97P-R</t>
  </si>
  <si>
    <t>SDDWXH-R</t>
  </si>
  <si>
    <t>SKXD2H-R</t>
  </si>
  <si>
    <t>VCL3F1-R</t>
  </si>
  <si>
    <t>M67VFY-R</t>
  </si>
  <si>
    <t>RFPMVX-R</t>
  </si>
  <si>
    <t>WRRBQY-R</t>
  </si>
  <si>
    <t>LJQYJ1-R</t>
  </si>
  <si>
    <t>NDGZHY-R</t>
  </si>
  <si>
    <t>C7NJWT-R</t>
  </si>
  <si>
    <t>TJH4JV-R</t>
  </si>
  <si>
    <t>BYJYYM-R</t>
  </si>
  <si>
    <t>TMTGLT-R</t>
  </si>
  <si>
    <t>B18MVG-R</t>
  </si>
  <si>
    <t>BB8V37-R</t>
  </si>
  <si>
    <t>LX237L-R</t>
  </si>
  <si>
    <t>C11GSC-R</t>
  </si>
  <si>
    <t>G39YR4-R</t>
  </si>
  <si>
    <t>VQXR21-R</t>
  </si>
  <si>
    <t>FS32CR-R</t>
  </si>
  <si>
    <t>KXDF6J-R</t>
  </si>
  <si>
    <t>LXHSHL-R</t>
  </si>
  <si>
    <t>M9VRSW-R</t>
  </si>
  <si>
    <t>FK9YMK-R</t>
  </si>
  <si>
    <t>SHNVG7-R</t>
  </si>
  <si>
    <t>Q3VCTK-R</t>
  </si>
  <si>
    <t>SDDH43-R</t>
  </si>
  <si>
    <t>GW7J66-R</t>
  </si>
  <si>
    <t>CYCPRK-R</t>
  </si>
  <si>
    <t>Q8KGFN-R</t>
  </si>
  <si>
    <t>HBZ2VK-R</t>
  </si>
  <si>
    <t>D8G2JQ-R</t>
  </si>
  <si>
    <t>P1YJRG-R</t>
  </si>
  <si>
    <t>BXLFMX-R</t>
  </si>
  <si>
    <t>CC6S48-R</t>
  </si>
  <si>
    <t>DH768X-R</t>
  </si>
  <si>
    <t>FPWT5P-R</t>
  </si>
  <si>
    <t>GGPJ50-R</t>
  </si>
  <si>
    <t>GW21MY-R</t>
  </si>
  <si>
    <t>HXZ458-R</t>
  </si>
  <si>
    <t>FH1NKL-R</t>
  </si>
  <si>
    <t>PHPSQH-R</t>
  </si>
  <si>
    <t>HSFL3C-R</t>
  </si>
  <si>
    <t>Q9J52J-R</t>
  </si>
  <si>
    <t>R4M2WP-R</t>
  </si>
  <si>
    <t>RT6ZD8-R</t>
  </si>
  <si>
    <t>QV31TF-R</t>
  </si>
  <si>
    <t>T80VDT-R</t>
  </si>
  <si>
    <t>VBDXD2-R</t>
  </si>
  <si>
    <t>WDKLDJ-R</t>
  </si>
  <si>
    <t>GTWXR1-R</t>
  </si>
  <si>
    <t>CJRJQG-R</t>
  </si>
  <si>
    <t>MG5BNB-R</t>
  </si>
  <si>
    <t>M8GQPG-R</t>
  </si>
  <si>
    <t>Q63MTH-R</t>
  </si>
  <si>
    <t>TGC4NX-R</t>
  </si>
  <si>
    <t>M61G3T-R</t>
  </si>
  <si>
    <t>BK2FRW-R</t>
  </si>
  <si>
    <t>C7RV5X-R</t>
  </si>
  <si>
    <t>CC3WMK-R</t>
  </si>
  <si>
    <t>CGMTCS-R</t>
  </si>
  <si>
    <t>CPCW2Z-R</t>
  </si>
  <si>
    <t>D8LSJ4-R</t>
  </si>
  <si>
    <t>DKKBWM-R</t>
  </si>
  <si>
    <t>MR0PSP-R</t>
  </si>
  <si>
    <t>RGTY61-R</t>
  </si>
  <si>
    <t>GK0D7G-R</t>
  </si>
  <si>
    <t>R2J99W-R</t>
  </si>
  <si>
    <t>M76BKH-R</t>
  </si>
  <si>
    <t>DF2L7D-R</t>
  </si>
  <si>
    <t>MTG5RJ-R</t>
  </si>
  <si>
    <t>VDTQ18-R</t>
  </si>
  <si>
    <t>XQF8XY-R</t>
  </si>
  <si>
    <t>JS1YSB-R</t>
  </si>
  <si>
    <t>QKHN2S-R</t>
  </si>
  <si>
    <t>KB4CH5-R</t>
  </si>
  <si>
    <t>VWMVR5-R</t>
  </si>
  <si>
    <t>VSC82Y-R</t>
  </si>
  <si>
    <t>C7RT3W-R</t>
  </si>
  <si>
    <t>RYTJNF-R</t>
  </si>
  <si>
    <t>CZHVTK-R</t>
  </si>
  <si>
    <t>G8WDMZ-R</t>
  </si>
  <si>
    <t>TNZ1G6-R</t>
  </si>
  <si>
    <t>X0N4MP-R</t>
  </si>
  <si>
    <t>DRBC9M-R</t>
  </si>
  <si>
    <t>XKBMRH-R</t>
  </si>
  <si>
    <t>K6W4F5-R</t>
  </si>
  <si>
    <t>KYL30T-R</t>
  </si>
  <si>
    <t>L9YRMS-R</t>
  </si>
  <si>
    <t>T6CPQP-R</t>
  </si>
  <si>
    <t>RCNCKX-R</t>
  </si>
  <si>
    <t>J2MW73-R</t>
  </si>
  <si>
    <t>RQC189-R</t>
  </si>
  <si>
    <t>RS2N47-R</t>
  </si>
  <si>
    <t>T8JSPN-R</t>
  </si>
  <si>
    <t>WCCWD2-R</t>
  </si>
  <si>
    <t>WL6GYN-R</t>
  </si>
  <si>
    <t>X31C9G-R</t>
  </si>
  <si>
    <t>XKWXKK-R</t>
  </si>
  <si>
    <t>D83RX2-R</t>
  </si>
  <si>
    <t>JPV08M-R</t>
  </si>
  <si>
    <t>JMNW7M-R</t>
  </si>
  <si>
    <t>GQMW06-R</t>
  </si>
  <si>
    <t>RNKKZR-R</t>
  </si>
  <si>
    <t>JWHZXS-R</t>
  </si>
  <si>
    <t>BS1M1R-R</t>
  </si>
  <si>
    <t>BV5649-R</t>
  </si>
  <si>
    <t>C6RB2B-R</t>
  </si>
  <si>
    <t>LTSNXH-R</t>
  </si>
  <si>
    <t>LD0WYZ-R</t>
  </si>
  <si>
    <t>DJBQ39-R</t>
  </si>
  <si>
    <t>F8T8X8-R</t>
  </si>
  <si>
    <t>FT4D8B-R</t>
  </si>
  <si>
    <t>KL682P-R</t>
  </si>
  <si>
    <t>KRX5HQ-R</t>
  </si>
  <si>
    <t>L1YNFY-R</t>
  </si>
  <si>
    <t>KYCY91-R</t>
  </si>
  <si>
    <t>MH7DL7-R</t>
  </si>
  <si>
    <t>CGGG4R-R</t>
  </si>
  <si>
    <t>HKLJPC-R</t>
  </si>
  <si>
    <t>PN6Z21-R</t>
  </si>
  <si>
    <t>V0CLMX-R</t>
  </si>
  <si>
    <t>V9GD2C-R</t>
  </si>
  <si>
    <t>VVH115-R</t>
  </si>
  <si>
    <t>W8Z700-R</t>
  </si>
  <si>
    <t>WDBN50-R</t>
  </si>
  <si>
    <t>WJWHT6-R</t>
  </si>
  <si>
    <t>QSDQCP-R</t>
  </si>
  <si>
    <t>CQCV51-R</t>
  </si>
  <si>
    <t>J4TH5K-R</t>
  </si>
  <si>
    <t>B5V5K1-R</t>
  </si>
  <si>
    <t>QH66VR-R</t>
  </si>
  <si>
    <t>VS59M7-R</t>
  </si>
  <si>
    <t>BK738W-R</t>
  </si>
  <si>
    <t>C5C2LR-R</t>
  </si>
  <si>
    <t>D2TYF9-R</t>
  </si>
  <si>
    <t>D691PT-R</t>
  </si>
  <si>
    <t>C7C9TP-R</t>
  </si>
  <si>
    <t>F829YK-R</t>
  </si>
  <si>
    <t>FNW967-R</t>
  </si>
  <si>
    <t>FYP7N8-R</t>
  </si>
  <si>
    <t>GTX4SW-R</t>
  </si>
  <si>
    <t>GVJ2XN-R</t>
  </si>
  <si>
    <t>MFQVZQ-R</t>
  </si>
  <si>
    <t>JLFH0L-R</t>
  </si>
  <si>
    <t>K6PMY0-R</t>
  </si>
  <si>
    <t>XM8P7T-R</t>
  </si>
  <si>
    <t>LFC0CK-R</t>
  </si>
  <si>
    <t>N939WQ-R</t>
  </si>
  <si>
    <t>P8X97Y-R</t>
  </si>
  <si>
    <t>PKT6GW-R</t>
  </si>
  <si>
    <t>RDQKHP-R</t>
  </si>
  <si>
    <t>T2TNWF-R</t>
  </si>
  <si>
    <t>T1N9NF-R</t>
  </si>
  <si>
    <t>KJZ16V-R</t>
  </si>
  <si>
    <t>B6ZP8C-R</t>
  </si>
  <si>
    <t>WY3QLM-R</t>
  </si>
  <si>
    <t>KB791X-R</t>
  </si>
  <si>
    <t>PC2KK2-R</t>
  </si>
  <si>
    <t>L56306-R</t>
  </si>
  <si>
    <t>CFHDVK-R</t>
  </si>
  <si>
    <t>QGZK4H-R</t>
  </si>
  <si>
    <t>Q3WN7R-R</t>
  </si>
  <si>
    <t>D2WLKV-R</t>
  </si>
  <si>
    <t>VDVT49-R</t>
  </si>
  <si>
    <t>FWHC5K-R</t>
  </si>
  <si>
    <t>D78R7M-R</t>
  </si>
  <si>
    <t>D8NXL4-R</t>
  </si>
  <si>
    <t>DF3CR4-R</t>
  </si>
  <si>
    <t>H9PG8C-R</t>
  </si>
  <si>
    <t>MJCGG4-R</t>
  </si>
  <si>
    <t>NFMPMG-R</t>
  </si>
  <si>
    <t>VT4SWZ-R</t>
  </si>
  <si>
    <t>KT08JQ-R</t>
  </si>
  <si>
    <t>LRJK5P-R</t>
  </si>
  <si>
    <t>LVTKC1-R</t>
  </si>
  <si>
    <t>NSZ0P5-R</t>
  </si>
  <si>
    <t>B6ZXQL-R</t>
  </si>
  <si>
    <t>P1YDHB-R</t>
  </si>
  <si>
    <t>FBB432-R</t>
  </si>
  <si>
    <t>PDBDMJ-R</t>
  </si>
  <si>
    <t>Q9JDJR-R</t>
  </si>
  <si>
    <t>QG7SR4-R</t>
  </si>
  <si>
    <t>QSF694-R</t>
  </si>
  <si>
    <t>MG0VMN-R</t>
  </si>
  <si>
    <t>T1Q642-R</t>
  </si>
  <si>
    <t>T6GNCG-R</t>
  </si>
  <si>
    <t>TGN13R-R</t>
  </si>
  <si>
    <t>TWYX1Q-R</t>
  </si>
  <si>
    <t>VPRXRF-R</t>
  </si>
  <si>
    <t>W255GY-R</t>
  </si>
  <si>
    <t>VCNXSP-R</t>
  </si>
  <si>
    <t>WN8BRL-R</t>
  </si>
  <si>
    <t>RK5GJ3-R</t>
  </si>
  <si>
    <t>BPLFS8-R</t>
  </si>
  <si>
    <t>MQ119X-R</t>
  </si>
  <si>
    <t>JXMLY8-R</t>
  </si>
  <si>
    <t>XLY63V-R</t>
  </si>
  <si>
    <t>CB3CHZ-R</t>
  </si>
  <si>
    <t>NHV4Q7-R</t>
  </si>
  <si>
    <t>DVQM1D-R</t>
  </si>
  <si>
    <t>NPK3PS-R</t>
  </si>
  <si>
    <t>HP1KTT-R</t>
  </si>
  <si>
    <t>JCQQSM-R</t>
  </si>
  <si>
    <t>MXS313-R</t>
  </si>
  <si>
    <t>VDT85V-R</t>
  </si>
  <si>
    <t>PKTRNJ-R</t>
  </si>
  <si>
    <t>Q514Z2-R</t>
  </si>
  <si>
    <t>RMFQJ1-R</t>
  </si>
  <si>
    <t>RN0R13-R</t>
  </si>
  <si>
    <t>SRS3P1-R</t>
  </si>
  <si>
    <t>RK3HS8-R</t>
  </si>
  <si>
    <t>T7C5W9-R</t>
  </si>
  <si>
    <t>Q8G78M-R</t>
  </si>
  <si>
    <t>GX5LJC-R</t>
  </si>
  <si>
    <t>FS319Q-R</t>
  </si>
  <si>
    <t>C5GXYC-R</t>
  </si>
  <si>
    <t>V4XB0Z-R</t>
  </si>
  <si>
    <t>VWJ2JM-R</t>
  </si>
  <si>
    <t>N03DYZ-R</t>
  </si>
  <si>
    <t>PHM7W3-R</t>
  </si>
  <si>
    <t>JBG00B-R</t>
  </si>
  <si>
    <t>PX22R6-R</t>
  </si>
  <si>
    <t>KL74SJ-R</t>
  </si>
  <si>
    <t>L4468B-R</t>
  </si>
  <si>
    <t>NMHNTC-R</t>
  </si>
  <si>
    <t>NYJYCC-R</t>
  </si>
  <si>
    <t>DMTJRH-R</t>
  </si>
  <si>
    <t>FJ1B1C-R</t>
  </si>
  <si>
    <t>V2H5QG-R</t>
  </si>
  <si>
    <t>HF5SX1-R</t>
  </si>
  <si>
    <t>CQJM8J-R</t>
  </si>
  <si>
    <t>F07Q7W-R</t>
  </si>
  <si>
    <t>DF01D0-R</t>
  </si>
  <si>
    <t>DJYY8V-R</t>
  </si>
  <si>
    <t>DMPHF2-R</t>
  </si>
  <si>
    <t>F057JK-R</t>
  </si>
  <si>
    <t>GD0QSV-R</t>
  </si>
  <si>
    <t>T0SQZH-R</t>
  </si>
  <si>
    <t>HDL2BM-R</t>
  </si>
  <si>
    <t>Q78D01-R</t>
  </si>
  <si>
    <t>JZWKBX-R</t>
  </si>
  <si>
    <t>BT4P4V-R</t>
  </si>
  <si>
    <t>T8Q3VN-R</t>
  </si>
  <si>
    <t>MLRJQN-R</t>
  </si>
  <si>
    <t>KDCD3Y-R</t>
  </si>
  <si>
    <t>P5GH6C-R</t>
  </si>
  <si>
    <t>PM6KP2-R</t>
  </si>
  <si>
    <t>PMSGZ0-R</t>
  </si>
  <si>
    <t>TTDQ0D-R</t>
  </si>
  <si>
    <t>R2JS7B-R</t>
  </si>
  <si>
    <t>RGB6QT-R</t>
  </si>
  <si>
    <t>NPK7YX-R</t>
  </si>
  <si>
    <t>S26HGK-R</t>
  </si>
  <si>
    <t>TMWCW7-R</t>
  </si>
  <si>
    <t>TY565Q-R</t>
  </si>
  <si>
    <t>VK7479-R</t>
  </si>
  <si>
    <t>VQYC7M-R</t>
  </si>
  <si>
    <t>J2P1G6-R</t>
  </si>
  <si>
    <t>WFH1P7-R</t>
  </si>
  <si>
    <t>V4T984-R</t>
  </si>
  <si>
    <t>D502G9-R</t>
  </si>
  <si>
    <t>C0V8L5-R</t>
  </si>
  <si>
    <t>CN97ZF-R</t>
  </si>
  <si>
    <t>NXHLP0-R</t>
  </si>
  <si>
    <t>D744G9-R</t>
  </si>
  <si>
    <t>BNJBN6-R</t>
  </si>
  <si>
    <t>FJ4J4C-R</t>
  </si>
  <si>
    <t>DG27Q5-R</t>
  </si>
  <si>
    <t>XLV24X-R</t>
  </si>
  <si>
    <t>FS0W5P-R</t>
  </si>
  <si>
    <t>HWYYQ0-R</t>
  </si>
  <si>
    <t>KGV6N1-R</t>
  </si>
  <si>
    <t>Q4YP8S-R</t>
  </si>
  <si>
    <t>LD75YW-R</t>
  </si>
  <si>
    <t>MWKPV4-R</t>
  </si>
  <si>
    <t>LY205L-R</t>
  </si>
  <si>
    <t>LY217M-R</t>
  </si>
  <si>
    <t>NPJW7K-R</t>
  </si>
  <si>
    <t>PZGYJG-R</t>
  </si>
  <si>
    <t>RWDF0K-R</t>
  </si>
  <si>
    <t>JWW8TR-R</t>
  </si>
  <si>
    <t>X9RMCS-R</t>
  </si>
  <si>
    <t>XF814J-R</t>
  </si>
  <si>
    <t>L2QXQQ-R</t>
  </si>
  <si>
    <t>F711D8-R</t>
  </si>
  <si>
    <t>WSMB68-R</t>
  </si>
  <si>
    <t>HZQYZZ-R</t>
  </si>
  <si>
    <t>TNZ6CZ-R</t>
  </si>
  <si>
    <t>CGGTW3-R</t>
  </si>
  <si>
    <t>CMX879-R</t>
  </si>
  <si>
    <t>D4NXL8-R</t>
  </si>
  <si>
    <t>DF4GV5-R</t>
  </si>
  <si>
    <t>BDQDB8-R</t>
  </si>
  <si>
    <t>F5TYNG-R</t>
  </si>
  <si>
    <t>FLFHHZ-R</t>
  </si>
  <si>
    <t>CL1QH9-R</t>
  </si>
  <si>
    <t>GDH1KR-R</t>
  </si>
  <si>
    <t>GM98K3-R</t>
  </si>
  <si>
    <t>J0CL54-R</t>
  </si>
  <si>
    <t>KBR84J-R</t>
  </si>
  <si>
    <t>KDDY2D-R</t>
  </si>
  <si>
    <t>KL214V-R</t>
  </si>
  <si>
    <t>BQWWY7-R</t>
  </si>
  <si>
    <t>VBN9H0-R</t>
  </si>
  <si>
    <t>NYJHHY-R</t>
  </si>
  <si>
    <t>MMRZQ5-R</t>
  </si>
  <si>
    <t>NZP5KF-R</t>
  </si>
  <si>
    <t>TKKPJB-R</t>
  </si>
  <si>
    <t>Q77TYJ-R</t>
  </si>
  <si>
    <t>RBHVG6-R</t>
  </si>
  <si>
    <t>FQZF97-R</t>
  </si>
  <si>
    <t>WQK5W2-R</t>
  </si>
  <si>
    <t>SZDLKW-R</t>
  </si>
  <si>
    <t>TCQPZ3-R</t>
  </si>
  <si>
    <t>TVSR2S-R</t>
  </si>
  <si>
    <t>W7GV53-R</t>
  </si>
  <si>
    <t>VCKQPP-R</t>
  </si>
  <si>
    <t>N4JKJP-R</t>
  </si>
  <si>
    <t>RPPS3S-R</t>
  </si>
  <si>
    <t>L9Y3D5-R</t>
  </si>
  <si>
    <t>J99W4H-R</t>
  </si>
  <si>
    <t>BLBW30-R</t>
  </si>
  <si>
    <t>BS3CJJ-R</t>
  </si>
  <si>
    <t>C8WF4C-R</t>
  </si>
  <si>
    <t>CHKTQ0-R</t>
  </si>
  <si>
    <t>CKVFC8-R</t>
  </si>
  <si>
    <t>D3HSB0-R</t>
  </si>
  <si>
    <t>D3XD6P-R</t>
  </si>
  <si>
    <t>QWV5DL-R</t>
  </si>
  <si>
    <t>B3DVXC-R</t>
  </si>
  <si>
    <t>R5XGXL-R</t>
  </si>
  <si>
    <t>GY9DY1-R</t>
  </si>
  <si>
    <t>HZ43T1-R</t>
  </si>
  <si>
    <t>J2HM33-R</t>
  </si>
  <si>
    <t>L5CD35-R</t>
  </si>
  <si>
    <t>LQ9WBB-R</t>
  </si>
  <si>
    <t>M79YFW-R</t>
  </si>
  <si>
    <t>WF15WW-R</t>
  </si>
  <si>
    <t>MVMBQG-R</t>
  </si>
  <si>
    <t>P7RWQQ-R</t>
  </si>
  <si>
    <t>PY50G1-R</t>
  </si>
  <si>
    <t>C46DK8-R</t>
  </si>
  <si>
    <t>Q7XWQX-R</t>
  </si>
  <si>
    <t>QTFWQW-R</t>
  </si>
  <si>
    <t>S6SDSD-R</t>
  </si>
  <si>
    <t>SK4CJ6-R</t>
  </si>
  <si>
    <t>TVPQ9Y-R</t>
  </si>
  <si>
    <t>WYJT0C-R</t>
  </si>
  <si>
    <t>VMHGC9-R</t>
  </si>
  <si>
    <t>V0BR03-R</t>
  </si>
  <si>
    <t>C20NGT-R</t>
  </si>
  <si>
    <t>R85RZK-R</t>
  </si>
  <si>
    <t>B3LWD0-R</t>
  </si>
  <si>
    <t>B93JW5-R</t>
  </si>
  <si>
    <t>X1SCTR-R</t>
  </si>
  <si>
    <t>F1B8CH-R</t>
  </si>
  <si>
    <t>KFQHFG-R</t>
  </si>
  <si>
    <t>DTMN8J-R</t>
  </si>
  <si>
    <t>KFMMZS-R</t>
  </si>
  <si>
    <t>F86RDQ-R</t>
  </si>
  <si>
    <t>MH7TCM-R</t>
  </si>
  <si>
    <t>J3R0B4-R</t>
  </si>
  <si>
    <t>LD8KL5-R</t>
  </si>
  <si>
    <t>LY314K-R</t>
  </si>
  <si>
    <t>MDYC2K-R</t>
  </si>
  <si>
    <t>JRFYNM-R</t>
  </si>
  <si>
    <t>N4KJCL-R</t>
  </si>
  <si>
    <t>P36M94-R</t>
  </si>
  <si>
    <t>R998SY-R</t>
  </si>
  <si>
    <t>X643T6-R</t>
  </si>
  <si>
    <t>PQHMVC-R</t>
  </si>
  <si>
    <t>Q0JVDG-R</t>
  </si>
  <si>
    <t>Q17XXL-R</t>
  </si>
  <si>
    <t>S4HTHH-R</t>
  </si>
  <si>
    <t>SDCTWH-R</t>
  </si>
  <si>
    <t>SN6T9J-R</t>
  </si>
  <si>
    <t>CPCV0Y-R</t>
  </si>
  <si>
    <t>V2HLHV-R</t>
  </si>
  <si>
    <t>VQYLTZ-R</t>
  </si>
  <si>
    <t>VVCHP7-R</t>
  </si>
  <si>
    <t>XPYPGM-R</t>
  </si>
  <si>
    <t>W7S6D8-R</t>
  </si>
  <si>
    <t>MR5BN1-R</t>
  </si>
  <si>
    <t>TZ206T-R</t>
  </si>
  <si>
    <t>MXWT3L-R</t>
  </si>
  <si>
    <t>TNNKHF-R</t>
  </si>
  <si>
    <t>RB35DF-R</t>
  </si>
  <si>
    <t>XMQW60-R</t>
  </si>
  <si>
    <t>GC5BYK-R</t>
  </si>
  <si>
    <t>D0N30M-R</t>
  </si>
  <si>
    <t>CGFLHY-R</t>
  </si>
  <si>
    <t>CKZPH8-R</t>
  </si>
  <si>
    <t>LTP0Z2-R</t>
  </si>
  <si>
    <t>FNKHCX-R</t>
  </si>
  <si>
    <t>FWJ4P9-R</t>
  </si>
  <si>
    <t>LTP334-R</t>
  </si>
  <si>
    <t>GM7H09-R</t>
  </si>
  <si>
    <t>H7F209-R</t>
  </si>
  <si>
    <t>HTK75W-R</t>
  </si>
  <si>
    <t>JKGP5M-R</t>
  </si>
  <si>
    <t>KNHDSG-R</t>
  </si>
  <si>
    <t>FT8DNV-R</t>
  </si>
  <si>
    <t>NNFR4J-R</t>
  </si>
  <si>
    <t>NFT63M-R</t>
  </si>
  <si>
    <t>P6LTYW-R</t>
  </si>
  <si>
    <t>QYYXT9-R</t>
  </si>
  <si>
    <t>RFRHDN-R</t>
  </si>
  <si>
    <t>GC9695-R</t>
  </si>
  <si>
    <t>SKZ5H5-R</t>
  </si>
  <si>
    <t>TZ1Y2R-R</t>
  </si>
  <si>
    <t>WGRN6D-R</t>
  </si>
  <si>
    <t>R4SK9T-R</t>
  </si>
  <si>
    <t>NDHZDW-R</t>
  </si>
  <si>
    <t>JQZ6DN-R</t>
  </si>
  <si>
    <t>LHFSYC-R</t>
  </si>
  <si>
    <t>V84QJ6-R</t>
  </si>
  <si>
    <t>KL2RDD-R</t>
  </si>
  <si>
    <t>BV8JHF-R</t>
  </si>
  <si>
    <t>VLH7Z4-R</t>
  </si>
  <si>
    <t>H1PMLS-R</t>
  </si>
  <si>
    <t>CZFH9B-R</t>
  </si>
  <si>
    <t>DG473N-R</t>
  </si>
  <si>
    <t>DKMXT1-R</t>
  </si>
  <si>
    <t>SZJL5M-R</t>
  </si>
  <si>
    <t>G0XN0D-R</t>
  </si>
  <si>
    <t>GXQDVD-R</t>
  </si>
  <si>
    <t>HF31NG-R</t>
  </si>
  <si>
    <t>PZ917X-R</t>
  </si>
  <si>
    <t>J1HNQQ-R</t>
  </si>
  <si>
    <t>J564PS-R</t>
  </si>
  <si>
    <t>JJ43XM-R</t>
  </si>
  <si>
    <t>JWNLQ3-R</t>
  </si>
  <si>
    <t>KYL1YS-R</t>
  </si>
  <si>
    <t>LP9QY3-R</t>
  </si>
  <si>
    <t>LZ645K-R</t>
  </si>
  <si>
    <t>B8366W-R</t>
  </si>
  <si>
    <t>NVVXHY-R</t>
  </si>
  <si>
    <t>QLLYHZ-R</t>
  </si>
  <si>
    <t>TKR72J-R</t>
  </si>
  <si>
    <t>TR0FX7-R</t>
  </si>
  <si>
    <t>VK44PN-R</t>
  </si>
  <si>
    <t>VXQN5W-R</t>
  </si>
  <si>
    <t>MBJNMG-R</t>
  </si>
  <si>
    <t>L8NHW0-R</t>
  </si>
  <si>
    <t>X6HHHW-R</t>
  </si>
  <si>
    <t>QG6F3V-R</t>
  </si>
  <si>
    <t>SPHJ0S-R</t>
  </si>
  <si>
    <t>SV08KY-R</t>
  </si>
  <si>
    <t>WQLJFB-R</t>
  </si>
  <si>
    <t>PY5NPN-R</t>
  </si>
  <si>
    <t>B0GMKD-R</t>
  </si>
  <si>
    <t>BLBH7J-R</t>
  </si>
  <si>
    <t>GGPDYX-R</t>
  </si>
  <si>
    <t>DCZ6P4-R</t>
  </si>
  <si>
    <t>DZ437D-R</t>
  </si>
  <si>
    <t>QHBXV5-R</t>
  </si>
  <si>
    <t>V9977J-R</t>
  </si>
  <si>
    <t>F4T98R-R</t>
  </si>
  <si>
    <t>FBDHM9-R</t>
  </si>
  <si>
    <t>KFN73B-R</t>
  </si>
  <si>
    <t>LC2JZF-R</t>
  </si>
  <si>
    <t>M9KK66-R</t>
  </si>
  <si>
    <t>CHR1NX-R</t>
  </si>
  <si>
    <t>LHKN8Z-R</t>
  </si>
  <si>
    <t>QLR4HX-R</t>
  </si>
  <si>
    <t>RQTY5S-R</t>
  </si>
  <si>
    <t>RT2GT1-R</t>
  </si>
  <si>
    <t>S6QLP1-R</t>
  </si>
  <si>
    <t>BJ2HRV-R</t>
  </si>
  <si>
    <t>T31DQR-R</t>
  </si>
  <si>
    <t>J994MP-R</t>
  </si>
  <si>
    <t>WRQWWJ-R</t>
  </si>
  <si>
    <t>WXJXS1-R</t>
  </si>
  <si>
    <t>X41LWS-R</t>
  </si>
  <si>
    <t>XJKZH4-R</t>
  </si>
  <si>
    <t>XJP7Q6-R</t>
  </si>
  <si>
    <t>WC5Y1H-R</t>
  </si>
  <si>
    <t>NK0V54-R</t>
  </si>
  <si>
    <t>GSRTT3-R</t>
  </si>
  <si>
    <t>WT0QVX-R</t>
  </si>
  <si>
    <t>WFLMHL-R</t>
  </si>
  <si>
    <t>VR16P9-R</t>
  </si>
  <si>
    <t>LTN366-R</t>
  </si>
  <si>
    <t>CPDD2G-R</t>
  </si>
  <si>
    <t>BPRHF0-R</t>
  </si>
  <si>
    <t>FBBQ6M-R</t>
  </si>
  <si>
    <t>QLQKDC-R</t>
  </si>
  <si>
    <t>NKGZ7J-R</t>
  </si>
  <si>
    <t>RRXTTL-R</t>
  </si>
  <si>
    <t>KQMGSG-R</t>
  </si>
  <si>
    <t>L57WDW-R</t>
  </si>
  <si>
    <t>L8SYB5-R</t>
  </si>
  <si>
    <t>LBZ7PB-R</t>
  </si>
  <si>
    <t>LZCMNQ-R</t>
  </si>
  <si>
    <t>MCTS43-R</t>
  </si>
  <si>
    <t>MDTJSZ-R</t>
  </si>
  <si>
    <t>MT9XMJ-R</t>
  </si>
  <si>
    <t>MXVNYJ-R</t>
  </si>
  <si>
    <t>NYJ1NJ-R</t>
  </si>
  <si>
    <t>PB2NM2-R</t>
  </si>
  <si>
    <t>HVV49B-R</t>
  </si>
  <si>
    <t>PM32J9-R</t>
  </si>
  <si>
    <t>PM9V18-R</t>
  </si>
  <si>
    <t>XGFDHN-R</t>
  </si>
  <si>
    <t>V70D41-R</t>
  </si>
  <si>
    <t>VBKJ5D-R</t>
  </si>
  <si>
    <t>VWH0HM-R</t>
  </si>
  <si>
    <t>X0M159-R</t>
  </si>
  <si>
    <t>XC1MPB-R</t>
  </si>
  <si>
    <t>JK8B1N-R</t>
  </si>
  <si>
    <t>B0T0B3-R</t>
  </si>
  <si>
    <t>B066VV-R</t>
  </si>
  <si>
    <t>PZ2Q5Z-R</t>
  </si>
  <si>
    <t>F17SJ1-R</t>
  </si>
  <si>
    <t>TY202Q-R</t>
  </si>
  <si>
    <t>RK3DL5-R</t>
  </si>
  <si>
    <t>JMHYW0-R</t>
  </si>
  <si>
    <t>CD71SM-R</t>
  </si>
  <si>
    <t>F4T62N-R</t>
  </si>
  <si>
    <t>F86QBP-R</t>
  </si>
  <si>
    <t>G6QVQJ-R</t>
  </si>
  <si>
    <t>GSYT6Q-R</t>
  </si>
  <si>
    <t>KHS6Z8-R</t>
  </si>
  <si>
    <t>L3H7V7-R</t>
  </si>
  <si>
    <t>LTNDSH-R</t>
  </si>
  <si>
    <t>LVVB64-R</t>
  </si>
  <si>
    <t>M7R42R-R</t>
  </si>
  <si>
    <t>XHD46K-R</t>
  </si>
  <si>
    <t>PN6Y00-R</t>
  </si>
  <si>
    <t>MJ0XB7-R</t>
  </si>
  <si>
    <t>NZNF7V-R</t>
  </si>
  <si>
    <t>P0YS2L-R</t>
  </si>
  <si>
    <t>RQ9F5S-R</t>
  </si>
  <si>
    <t>PZGQ27-R</t>
  </si>
  <si>
    <t>Q1KZKH-R</t>
  </si>
  <si>
    <t>S8ZQDV-R</t>
  </si>
  <si>
    <t>RK87TQ-R</t>
  </si>
  <si>
    <t>RKB29F-R</t>
  </si>
  <si>
    <t>KM5Q58-R</t>
  </si>
  <si>
    <t>S8ZPBT-R</t>
  </si>
  <si>
    <t>FFQNC3-R</t>
  </si>
  <si>
    <t>WK2NV8-R</t>
  </si>
  <si>
    <t>TW6KKV-R</t>
  </si>
  <si>
    <t>D54YRW-R</t>
  </si>
  <si>
    <t>D79WDP-R</t>
  </si>
  <si>
    <t>N8L2K3-R</t>
  </si>
  <si>
    <t>KNB7YM-R</t>
  </si>
  <si>
    <t>M0H6M5-R</t>
  </si>
  <si>
    <t>DTKPJP-R</t>
  </si>
  <si>
    <t>LC0H1H-R</t>
  </si>
  <si>
    <t>RPNJRM-R</t>
  </si>
  <si>
    <t>PY5KHK-R</t>
  </si>
  <si>
    <t>JTC04X-R</t>
  </si>
  <si>
    <t>J70ZTV-R</t>
  </si>
  <si>
    <t>DWQ9L6-R</t>
  </si>
  <si>
    <t>F2JQPJ-R</t>
  </si>
  <si>
    <t>CTYNJ1-R</t>
  </si>
  <si>
    <t>GN718Z-R</t>
  </si>
  <si>
    <t>HJLYBN-R</t>
  </si>
  <si>
    <t>HMZCMS-R</t>
  </si>
  <si>
    <t>HSDXVR-R</t>
  </si>
  <si>
    <t>NBCKRK-R</t>
  </si>
  <si>
    <t>J07D56-R</t>
  </si>
  <si>
    <t>J3S3F5-R</t>
  </si>
  <si>
    <t>J4RDQ3-R</t>
  </si>
  <si>
    <t>JCL64C-R</t>
  </si>
  <si>
    <t>L7MP54-R</t>
  </si>
  <si>
    <t>LY1Y1J-R</t>
  </si>
  <si>
    <t>HHB3C8-R</t>
  </si>
  <si>
    <t>PSTM3X-R</t>
  </si>
  <si>
    <t>QDYYRR-R</t>
  </si>
  <si>
    <t>QZ4Y8Y-R</t>
  </si>
  <si>
    <t>R2FG0B-R</t>
  </si>
  <si>
    <t>S243YB-R</t>
  </si>
  <si>
    <t>T8NQ5B-R</t>
  </si>
  <si>
    <t>T8YXW3-R</t>
  </si>
  <si>
    <t>TWWNXR-R</t>
  </si>
  <si>
    <t>VJ7HTK-R</t>
  </si>
  <si>
    <t>W7TTGS-R</t>
  </si>
  <si>
    <t>WB7QB2-R</t>
  </si>
  <si>
    <t>XGGDDL-R</t>
  </si>
  <si>
    <t>NT4K7C-R</t>
  </si>
  <si>
    <t>P9VWPQ-R</t>
  </si>
  <si>
    <t>MVLTQZ-R</t>
  </si>
  <si>
    <t>RXHN9P-R</t>
  </si>
  <si>
    <t>JLJ0VZ-R</t>
  </si>
  <si>
    <t>GSX767-R</t>
  </si>
  <si>
    <t>H3ZDL6-R</t>
  </si>
  <si>
    <t>SJY281-R</t>
  </si>
  <si>
    <t>L6CPTK-R</t>
  </si>
  <si>
    <t>KFDRGY-R</t>
  </si>
  <si>
    <t>M60C0S-R</t>
  </si>
  <si>
    <t>J89J6Y-R</t>
  </si>
  <si>
    <t>N4H21N-R</t>
  </si>
  <si>
    <t>B97MP0-R</t>
  </si>
  <si>
    <t>QG1XJM-R</t>
  </si>
  <si>
    <t>QKJP1R-R</t>
  </si>
  <si>
    <t>R96YBR-R</t>
  </si>
  <si>
    <t>RML0Q2-R</t>
  </si>
  <si>
    <t>RT6W65-R</t>
  </si>
  <si>
    <t>PRGQ6L-R</t>
  </si>
  <si>
    <t>SSRNYQ-R</t>
  </si>
  <si>
    <t>SXZFWZ-R</t>
  </si>
  <si>
    <t>TY1WWM-R</t>
  </si>
  <si>
    <t>M1FW60-R</t>
  </si>
  <si>
    <t>VJ9CC9-R</t>
  </si>
  <si>
    <t>VGYKN2-R</t>
  </si>
  <si>
    <t>CW4JVN-R</t>
  </si>
  <si>
    <t>HLS2CN-R</t>
  </si>
  <si>
    <t>X6GLT1-R</t>
  </si>
  <si>
    <t>KNHK1L-R</t>
  </si>
  <si>
    <t>JS3DJP-R</t>
  </si>
  <si>
    <t>RT66YK-R</t>
  </si>
  <si>
    <t>B8DGF3-R</t>
  </si>
  <si>
    <t>L8SKLT-R</t>
  </si>
  <si>
    <t>CD5RFJ-R</t>
  </si>
  <si>
    <t>TWXW2R-R</t>
  </si>
  <si>
    <t>CRNVGL-R</t>
  </si>
  <si>
    <t>WGLQTS-R</t>
  </si>
  <si>
    <t>HZ6Z7Q-R</t>
  </si>
  <si>
    <t>LJQ74C-R</t>
  </si>
  <si>
    <t>LRJCVJ-R</t>
  </si>
  <si>
    <t>LY6KWW-R</t>
  </si>
  <si>
    <t>C4C0BL-R</t>
  </si>
  <si>
    <t>NRVXN5-R</t>
  </si>
  <si>
    <t>NYHV8B-R</t>
  </si>
  <si>
    <t>R4PJJZ-R</t>
  </si>
  <si>
    <t>RMDH4W-R</t>
  </si>
  <si>
    <t>MKC1SV-R</t>
  </si>
  <si>
    <t>TWTDGH-R</t>
  </si>
  <si>
    <t>SC37CB-R</t>
  </si>
  <si>
    <t>SKYG3H-R</t>
  </si>
  <si>
    <t>VLHKF9-R</t>
  </si>
  <si>
    <t>KPFMHW-R</t>
  </si>
  <si>
    <t>V4QWNW-R</t>
  </si>
  <si>
    <t>X5B68T-R</t>
  </si>
  <si>
    <t>XHL1H3-R</t>
  </si>
  <si>
    <t>P0TBMF-R</t>
  </si>
  <si>
    <t>Q9Y5D7-R</t>
  </si>
  <si>
    <t>TJFRXK-R</t>
  </si>
  <si>
    <t>JJ50MG-R</t>
  </si>
  <si>
    <t>NSRD0Y-R</t>
  </si>
  <si>
    <t>G12Z5D-R</t>
  </si>
  <si>
    <t>DJC2TN-R</t>
  </si>
  <si>
    <t>JMNLQC-R</t>
  </si>
  <si>
    <t>GRMY8C-R</t>
  </si>
  <si>
    <t>F0BW8V-R</t>
  </si>
  <si>
    <t>HF7CXJ-R</t>
  </si>
  <si>
    <t>J2N4RC-R</t>
  </si>
  <si>
    <t>MQ1RPL-R</t>
  </si>
  <si>
    <t>CY644B-R</t>
  </si>
  <si>
    <t>KB3YPS-R</t>
  </si>
  <si>
    <t>NQPWYC-R</t>
  </si>
  <si>
    <t>PC4MH0-R</t>
  </si>
  <si>
    <t>KRQTDT-R</t>
  </si>
  <si>
    <t>Q05NFB-R</t>
  </si>
  <si>
    <t>Q8CXWG-R</t>
  </si>
  <si>
    <t>S8ZFWL-R</t>
  </si>
  <si>
    <t>TBRJT5-R</t>
  </si>
  <si>
    <t>W5QQ9P-R</t>
  </si>
  <si>
    <t>VMHPTJ-R</t>
  </si>
  <si>
    <t>FT8FQW-R</t>
  </si>
  <si>
    <t>VWF970-R</t>
  </si>
  <si>
    <t>X8RWRY-R</t>
  </si>
  <si>
    <t>NPQ24F-R</t>
  </si>
  <si>
    <t>NW9TJH-R</t>
  </si>
  <si>
    <t>NHXKSZ-R</t>
  </si>
  <si>
    <t>RL95QP-R</t>
  </si>
  <si>
    <t>WB6VP8-R</t>
  </si>
  <si>
    <t>BS0GWP-R</t>
  </si>
  <si>
    <t>WTX23P-R</t>
  </si>
  <si>
    <t>FJLV3G-R</t>
  </si>
  <si>
    <t>LTSR1K-R</t>
  </si>
  <si>
    <t>SHNDLT-R</t>
  </si>
  <si>
    <t>B4W80H-R</t>
  </si>
  <si>
    <t>DTKZ1Y-R</t>
  </si>
  <si>
    <t>BFTG53-R</t>
  </si>
  <si>
    <t>BL5KVX-R</t>
  </si>
  <si>
    <t>GZMRSV-R</t>
  </si>
  <si>
    <t>MPXJMM-R</t>
  </si>
  <si>
    <t>DSLY98-R</t>
  </si>
  <si>
    <t>FQZ7Z2-R</t>
  </si>
  <si>
    <t>GDLPN9-R</t>
  </si>
  <si>
    <t>GTWSGX-R</t>
  </si>
  <si>
    <t>HTK3ZS-R</t>
  </si>
  <si>
    <t>K3FPD8-R</t>
  </si>
  <si>
    <t>LC28G5-R</t>
  </si>
  <si>
    <t>LVSS7P-R</t>
  </si>
  <si>
    <t>VTBLV9-R</t>
  </si>
  <si>
    <t>NGS8GV-R</t>
  </si>
  <si>
    <t>NYN6LF-R</t>
  </si>
  <si>
    <t>HQ4DBK-R</t>
  </si>
  <si>
    <t>Q8D48N-R</t>
  </si>
  <si>
    <t>QBTQFL-R</t>
  </si>
  <si>
    <t>R71R5P-R</t>
  </si>
  <si>
    <t>RT6MQY-R</t>
  </si>
  <si>
    <t>S6QX8B-R</t>
  </si>
  <si>
    <t>BK6JKQ-R</t>
  </si>
  <si>
    <t>VJ2X17-R</t>
  </si>
  <si>
    <t>G90B3N-R</t>
  </si>
  <si>
    <t>R4NT59-R</t>
  </si>
  <si>
    <t>WB3BZZ-R</t>
  </si>
  <si>
    <t>H54PT8-R</t>
  </si>
  <si>
    <t>WXDXGM-R</t>
  </si>
  <si>
    <t>C4HBRT-R</t>
  </si>
  <si>
    <t>B97PT2-R</t>
  </si>
  <si>
    <t>CGF31Z-R</t>
  </si>
  <si>
    <t>WPFS7S-R</t>
  </si>
  <si>
    <t>DMXKJB-R</t>
  </si>
  <si>
    <t>DRBPYY-R</t>
  </si>
  <si>
    <t>F82JBR-R</t>
  </si>
  <si>
    <t>GQH62T-R</t>
  </si>
  <si>
    <t>GSRMDX-R</t>
  </si>
  <si>
    <t>HXYRFX-R</t>
  </si>
  <si>
    <t>JTC3C0-R</t>
  </si>
  <si>
    <t>KBJDFG-R</t>
  </si>
  <si>
    <t>KNB0HD-R</t>
  </si>
  <si>
    <t>CYB6Y5-R</t>
  </si>
  <si>
    <t>B19ST9-R</t>
  </si>
  <si>
    <t>LQBB5R-R</t>
  </si>
  <si>
    <t>MH7BG5-R</t>
  </si>
  <si>
    <t>N189DN-R</t>
  </si>
  <si>
    <t>PPCTFP-R</t>
  </si>
  <si>
    <t>RZXDWV-R</t>
  </si>
  <si>
    <t>PKYMY1-R</t>
  </si>
  <si>
    <t>PVX0ZC-R</t>
  </si>
  <si>
    <t>R6Y499-R</t>
  </si>
  <si>
    <t>RZSB30-R</t>
  </si>
  <si>
    <t>S8V1HG-R</t>
  </si>
  <si>
    <t>SRR0L0-R</t>
  </si>
  <si>
    <t>LC1BTF-R</t>
  </si>
  <si>
    <t>CSMTMQ-R</t>
  </si>
  <si>
    <t>R2HXLJ-R</t>
  </si>
  <si>
    <t>MCNYYL-R</t>
  </si>
  <si>
    <t>DBNXVB-R</t>
  </si>
  <si>
    <t>D9KCYX-R</t>
  </si>
  <si>
    <t>F39WDV-R</t>
  </si>
  <si>
    <t>GGJT5L-R</t>
  </si>
  <si>
    <t>GQH86W-R</t>
  </si>
  <si>
    <t>GY9L86-R</t>
  </si>
  <si>
    <t>KV0J41-R</t>
  </si>
  <si>
    <t>JWGWTR-R</t>
  </si>
  <si>
    <t>MBPRB7-R</t>
  </si>
  <si>
    <t>QLGSL2-R</t>
  </si>
  <si>
    <t>K7TPSX-R</t>
  </si>
  <si>
    <t>PKT5DV-R</t>
  </si>
  <si>
    <t>Q53RYJ-R</t>
  </si>
  <si>
    <t>SQG6NN-R</t>
  </si>
  <si>
    <t>T0JRMW-R</t>
  </si>
  <si>
    <t>Q2YN1N-R</t>
  </si>
  <si>
    <t>VYVR3T-R</t>
  </si>
  <si>
    <t>QG1HR7-R</t>
  </si>
  <si>
    <t>Top mandatory</t>
  </si>
  <si>
    <t>Date</t>
  </si>
  <si>
    <t>tolerance</t>
  </si>
  <si>
    <t>Pays</t>
  </si>
  <si>
    <t>Facteurs</t>
  </si>
  <si>
    <t>Growth</t>
  </si>
  <si>
    <t>Momentum</t>
  </si>
  <si>
    <t>Quality</t>
  </si>
  <si>
    <t>Value</t>
  </si>
  <si>
    <t>Dividend</t>
  </si>
  <si>
    <t>Q1</t>
  </si>
  <si>
    <t>Q2</t>
  </si>
  <si>
    <t>Q3</t>
  </si>
  <si>
    <t>Q4</t>
  </si>
  <si>
    <t>Q5</t>
  </si>
  <si>
    <t>Moyenne ptf</t>
  </si>
  <si>
    <t>+</t>
  </si>
  <si>
    <t>NICE Ltd.</t>
  </si>
  <si>
    <t>US5132721045</t>
  </si>
  <si>
    <t>Lamb Weston Holdings, Inc.</t>
  </si>
  <si>
    <t>W8YRN3-R</t>
  </si>
  <si>
    <t>CDW Corporation</t>
  </si>
  <si>
    <t>NL0010558797</t>
  </si>
  <si>
    <t>OCI NV</t>
  </si>
  <si>
    <t>D5DNM8-R</t>
  </si>
  <si>
    <t>SE0016844831</t>
  </si>
  <si>
    <t>Volvo Car AB Class B</t>
  </si>
  <si>
    <t>S208X0-R</t>
  </si>
  <si>
    <t>CA05577W2004</t>
  </si>
  <si>
    <t>BRP, Inc.</t>
  </si>
  <si>
    <t>X2DZC9-R</t>
  </si>
  <si>
    <t>SG1B51001017</t>
  </si>
  <si>
    <t>Jardine Cycle &amp; Carriage Limited</t>
  </si>
  <si>
    <t>JBG5BH-R</t>
  </si>
  <si>
    <t>CH0531751755</t>
  </si>
  <si>
    <t>Banque Cantonale Vaudoise</t>
  </si>
  <si>
    <t>G6SN46-R</t>
  </si>
  <si>
    <t>SE0011090018</t>
  </si>
  <si>
    <t>Holmen AB Class B</t>
  </si>
  <si>
    <t>J1JT84-R</t>
  </si>
  <si>
    <t>NO0010310956</t>
  </si>
  <si>
    <t>SalMar ASA</t>
  </si>
  <si>
    <t>C6LWM5-R</t>
  </si>
  <si>
    <t>KYG4124C1096</t>
  </si>
  <si>
    <t>Grab Holdings Limited Class A</t>
  </si>
  <si>
    <t>X879CM-R</t>
  </si>
  <si>
    <t>JP3351500008</t>
  </si>
  <si>
    <t>Shizuoka Financial Group, Inc.</t>
  </si>
  <si>
    <t>TN9NWC-R</t>
  </si>
  <si>
    <t>SE0000872095</t>
  </si>
  <si>
    <t>Swedish Orphan Biovitrum AB</t>
  </si>
  <si>
    <t>RQX8MZ-R</t>
  </si>
  <si>
    <t>IE00BF0L3536</t>
  </si>
  <si>
    <t>AIB Group plc</t>
  </si>
  <si>
    <t>W7Y6YZ-R</t>
  </si>
  <si>
    <t>NO0003043309</t>
  </si>
  <si>
    <t>Kongsberg Gruppen ASA</t>
  </si>
  <si>
    <t>W6VV9N-R</t>
  </si>
  <si>
    <t>US0235865062</t>
  </si>
  <si>
    <t>U-Haul Holding Company Series N Non-Voting</t>
  </si>
  <si>
    <t>G9C644-R</t>
  </si>
  <si>
    <t>BE0974259880</t>
  </si>
  <si>
    <t>D'Ieteren Group SA/NV</t>
  </si>
  <si>
    <t>FJ622T-R</t>
  </si>
  <si>
    <t>NZEBOE0001S6</t>
  </si>
  <si>
    <t>EBOS Group Limited</t>
  </si>
  <si>
    <t>WT0NQV-R</t>
  </si>
  <si>
    <t>BE0974349814</t>
  </si>
  <si>
    <t>Warehouses De Pauw SA</t>
  </si>
  <si>
    <t>MDVHMW-R</t>
  </si>
  <si>
    <t>ES0125220311</t>
  </si>
  <si>
    <t>Acciona SA</t>
  </si>
  <si>
    <t>GGL1JR-R</t>
  </si>
  <si>
    <t>SG1H97877952</t>
  </si>
  <si>
    <t>Seatrium Limited</t>
  </si>
  <si>
    <t>VWLK7Y-R</t>
  </si>
  <si>
    <t>US29109X1063</t>
  </si>
  <si>
    <t>Aspen Technology, Inc.</t>
  </si>
  <si>
    <t>JKH18C-R</t>
  </si>
  <si>
    <t>CH0130293662</t>
  </si>
  <si>
    <t>BKW AG</t>
  </si>
  <si>
    <t>FX5LTM-R</t>
  </si>
  <si>
    <t>US9604131022</t>
  </si>
  <si>
    <t>Westlake Corporation</t>
  </si>
  <si>
    <t>N5VYGJ-R</t>
  </si>
  <si>
    <t>US8887871080</t>
  </si>
  <si>
    <t>Toast, Inc. Class A</t>
  </si>
  <si>
    <t>Q85TM3-R</t>
  </si>
  <si>
    <t>VTG478-R</t>
  </si>
  <si>
    <t>SE0001515552</t>
  </si>
  <si>
    <t>Indutrade AB</t>
  </si>
  <si>
    <t>XBY522-R</t>
  </si>
  <si>
    <t>US4039491000</t>
  </si>
  <si>
    <t>HF Sinclair Corporation</t>
  </si>
  <si>
    <t>KSWML9-R</t>
  </si>
  <si>
    <t>JP3869010003</t>
  </si>
  <si>
    <t>MatsukiyoCocokara &amp; Co.</t>
  </si>
  <si>
    <t>PQBRNX-R</t>
  </si>
  <si>
    <t>AU000000PLS0</t>
  </si>
  <si>
    <t>Pilbara Minerals Limited</t>
  </si>
  <si>
    <t>GPH0RP-R</t>
  </si>
  <si>
    <t>US70438V1061</t>
  </si>
  <si>
    <t>Paylocity Holding Corp.</t>
  </si>
  <si>
    <t>FWFTRM-R</t>
  </si>
  <si>
    <t>CA2861812014</t>
  </si>
  <si>
    <t>Element Fleet Management Corporation</t>
  </si>
  <si>
    <t>H6L5S4-R</t>
  </si>
  <si>
    <t>US1858991011</t>
  </si>
  <si>
    <t>Cleveland-Cliffs Inc</t>
  </si>
  <si>
    <t>WDGX90-R</t>
  </si>
  <si>
    <t>FI0009014575</t>
  </si>
  <si>
    <t>Metso Corporation</t>
  </si>
  <si>
    <t>B045ZY-R</t>
  </si>
  <si>
    <t>AU0000219529</t>
  </si>
  <si>
    <t>Lottery Corporation Limited</t>
  </si>
  <si>
    <t>RYTKRH-R</t>
  </si>
  <si>
    <t>CA2499061083</t>
  </si>
  <si>
    <t>Descartes Systems Group Inc.</t>
  </si>
  <si>
    <t>B3LCDJ-R</t>
  </si>
  <si>
    <t>AU000000MIN4</t>
  </si>
  <si>
    <t>Mineral Resources Limited</t>
  </si>
  <si>
    <t>JFYRFD-R</t>
  </si>
  <si>
    <t>US69047Q1022</t>
  </si>
  <si>
    <t>Ovintiv Inc</t>
  </si>
  <si>
    <t>W0ZT3T-R</t>
  </si>
  <si>
    <t>CH0435377954</t>
  </si>
  <si>
    <t>SIG Group AG</t>
  </si>
  <si>
    <t>KCYPFK-R</t>
  </si>
  <si>
    <t>US88262P1021</t>
  </si>
  <si>
    <t>Texas Pacific Land Corporation</t>
  </si>
  <si>
    <t>SJX7P8-R</t>
  </si>
  <si>
    <t>SE0020050417</t>
  </si>
  <si>
    <t>Boliden AB</t>
  </si>
  <si>
    <t>TG9824-R</t>
  </si>
  <si>
    <t>JP3362700001</t>
  </si>
  <si>
    <t>Mitsui O.S.K.Lines,Ltd.</t>
  </si>
  <si>
    <t>DXX0LN-R</t>
  </si>
  <si>
    <t>CA00208D4084</t>
  </si>
  <si>
    <t>ARC Resources Ltd.</t>
  </si>
  <si>
    <t>LF9ZDL-R</t>
  </si>
  <si>
    <t>US7599161095</t>
  </si>
  <si>
    <t>Repligen Corporation</t>
  </si>
  <si>
    <t>JYXJ1Q-R</t>
  </si>
  <si>
    <t>ACS Actividades de Construccion y Servicios SA</t>
  </si>
  <si>
    <t>US1651677353</t>
  </si>
  <si>
    <t>Chesapeake Energy Corporation</t>
  </si>
  <si>
    <t>TRVJHK-R</t>
  </si>
  <si>
    <t>CA74935Q1072</t>
  </si>
  <si>
    <t>RB Global, Inc.</t>
  </si>
  <si>
    <t>US91307C1027</t>
  </si>
  <si>
    <t>United Therapeutics Corporation</t>
  </si>
  <si>
    <t>P6GXH6-R</t>
  </si>
  <si>
    <t>US2372661015</t>
  </si>
  <si>
    <t>Darling Ingredients Inc</t>
  </si>
  <si>
    <t>RZRX9M-R</t>
  </si>
  <si>
    <t>NL0000687663</t>
  </si>
  <si>
    <t>AerCap Holdings NV</t>
  </si>
  <si>
    <t>N85RDX-R</t>
  </si>
  <si>
    <t>BILL Holdings, Inc.</t>
  </si>
  <si>
    <t>US1423391002</t>
  </si>
  <si>
    <t>Carlisle Companies Incorporated</t>
  </si>
  <si>
    <t>TMVLRW-R</t>
  </si>
  <si>
    <t>US8910921084</t>
  </si>
  <si>
    <t>Toro Company</t>
  </si>
  <si>
    <t>TLQ31K-R</t>
  </si>
  <si>
    <t>IE00BD1RP616</t>
  </si>
  <si>
    <t>Bank of Ireland Group Plc</t>
  </si>
  <si>
    <t>CLZD12-R</t>
  </si>
  <si>
    <t>US00766T1007</t>
  </si>
  <si>
    <t>AECOM</t>
  </si>
  <si>
    <t>VZZ3P2-R</t>
  </si>
  <si>
    <t>Heidelberg Materials AG</t>
  </si>
  <si>
    <t>CA1130041058</t>
  </si>
  <si>
    <t>Brookfield Asset Management Ltd. Class A</t>
  </si>
  <si>
    <t>J8Q4L2-R</t>
  </si>
  <si>
    <t>US03743Q1085</t>
  </si>
  <si>
    <t>APA Corporation</t>
  </si>
  <si>
    <t>DMX4QY-R</t>
  </si>
  <si>
    <t>DE0007030009</t>
  </si>
  <si>
    <t>Rheinmetall AG</t>
  </si>
  <si>
    <t>FT4G44-R</t>
  </si>
  <si>
    <t>US02665T3068</t>
  </si>
  <si>
    <t>American Homes 4 Rent Class A</t>
  </si>
  <si>
    <t>DCKZCP-R</t>
  </si>
  <si>
    <t>US49446R1095</t>
  </si>
  <si>
    <t>Kimco Realty Corporation</t>
  </si>
  <si>
    <t>VDPDV7-R</t>
  </si>
  <si>
    <t>US26884L1098</t>
  </si>
  <si>
    <t>EQT Corporation</t>
  </si>
  <si>
    <t>JFW9S3-R</t>
  </si>
  <si>
    <t>CH1256740924</t>
  </si>
  <si>
    <t>SGS SA</t>
  </si>
  <si>
    <t>JLFCTH-R</t>
  </si>
  <si>
    <t>US3841091040</t>
  </si>
  <si>
    <t>Graco Inc.</t>
  </si>
  <si>
    <t>H5490W-R</t>
  </si>
  <si>
    <t>US05464C1018</t>
  </si>
  <si>
    <t>Axon Enterprise Inc</t>
  </si>
  <si>
    <t>RXMV9M-R</t>
  </si>
  <si>
    <t>US36467J1088</t>
  </si>
  <si>
    <t>Gaming and Leisure Properties, Inc.</t>
  </si>
  <si>
    <t>PWVY5L-R</t>
  </si>
  <si>
    <t>US7595091023</t>
  </si>
  <si>
    <t>VMM9PX-R</t>
  </si>
  <si>
    <t>US87612G1013</t>
  </si>
  <si>
    <t>Targa Resources Corp.</t>
  </si>
  <si>
    <t>DKTB77-R</t>
  </si>
  <si>
    <t>DE000PAG9113</t>
  </si>
  <si>
    <t>Porsche AG</t>
  </si>
  <si>
    <t>HYFCLX-R</t>
  </si>
  <si>
    <t>US46982L1089</t>
  </si>
  <si>
    <t>Jacobs Solutions Inc.</t>
  </si>
  <si>
    <t>JKDM7P-R</t>
  </si>
  <si>
    <t>Revvity, Inc.</t>
  </si>
  <si>
    <t>US7710491033</t>
  </si>
  <si>
    <t>Roblox Corp. Class A</t>
  </si>
  <si>
    <t>DX9NZT-R</t>
  </si>
  <si>
    <t>US50212V1008</t>
  </si>
  <si>
    <t>LPL Financial Holdings Inc.</t>
  </si>
  <si>
    <t>BXWZVW-R</t>
  </si>
  <si>
    <t>US5658491064</t>
  </si>
  <si>
    <t>Marathon Oil Corporation</t>
  </si>
  <si>
    <t>QMQV1Q-R</t>
  </si>
  <si>
    <t>US31946M1036</t>
  </si>
  <si>
    <t>First Citizens BancShares, Inc. Class A</t>
  </si>
  <si>
    <t>LRHWY2-R</t>
  </si>
  <si>
    <t>US03990B1017</t>
  </si>
  <si>
    <t>Ares Management Corporation</t>
  </si>
  <si>
    <t>FJ4S87-R</t>
  </si>
  <si>
    <t>US4435106079</t>
  </si>
  <si>
    <t>Hubbell Incorporated</t>
  </si>
  <si>
    <t>K14T6R-R</t>
  </si>
  <si>
    <t>Markel Group Inc.</t>
  </si>
  <si>
    <t>CH1216478797</t>
  </si>
  <si>
    <t>DSM-Firmenich AG</t>
  </si>
  <si>
    <t>SS3GV5-R</t>
  </si>
  <si>
    <t>US3364331070</t>
  </si>
  <si>
    <t>First Solar, Inc.</t>
  </si>
  <si>
    <t>D0QHLW-R</t>
  </si>
  <si>
    <t>GB00BMX86B70</t>
  </si>
  <si>
    <t>Haleon PLC</t>
  </si>
  <si>
    <t>MQ54K5-R</t>
  </si>
  <si>
    <t>STERIS plc</t>
  </si>
  <si>
    <t>Restaurant Brands International, Inc.</t>
  </si>
  <si>
    <t>Sea Limited Sponsored ADR Class A</t>
  </si>
  <si>
    <t>US74762E1029</t>
  </si>
  <si>
    <t>Quanta Services, Inc.</t>
  </si>
  <si>
    <t>S7P87W-R</t>
  </si>
  <si>
    <t>US9344231041</t>
  </si>
  <si>
    <t>Warner Bros. Discovery, Inc. Series A</t>
  </si>
  <si>
    <t>B71DJZ-R</t>
  </si>
  <si>
    <t>US0494681010</t>
  </si>
  <si>
    <t>Atlassian Corp Class A</t>
  </si>
  <si>
    <t>CKPB3Z-R</t>
  </si>
  <si>
    <t>US21037T1097</t>
  </si>
  <si>
    <t>Constellation Energy Corporation</t>
  </si>
  <si>
    <t>V2PDWL-R</t>
  </si>
  <si>
    <t>US36266G1076</t>
  </si>
  <si>
    <t>GE Healthcare Technologies Inc.</t>
  </si>
  <si>
    <t>VD2M8W-R</t>
  </si>
  <si>
    <t>Welltower Inc.</t>
  </si>
  <si>
    <t>CRH public limited company</t>
  </si>
  <si>
    <t>Schlumberger N.V.</t>
  </si>
  <si>
    <t>CA13646K1084</t>
  </si>
  <si>
    <t>Canadian Pacific Kansas City Limited</t>
  </si>
  <si>
    <t>LTN487-R</t>
  </si>
  <si>
    <t>Cigna Group</t>
  </si>
  <si>
    <t>Altria Group, Inc.</t>
  </si>
  <si>
    <t>Siemens Aktiengesellschaft</t>
  </si>
  <si>
    <t>IE000S9YS762</t>
  </si>
  <si>
    <t>Linde plc</t>
  </si>
  <si>
    <t>LQ766T-R</t>
  </si>
  <si>
    <t>GB00BP6MXD84</t>
  </si>
  <si>
    <t>Shell Plc</t>
  </si>
  <si>
    <t>HKR6LR-R</t>
  </si>
  <si>
    <t>Tesla, Inc.</t>
  </si>
  <si>
    <t>lb sum</t>
  </si>
  <si>
    <t>ub sum</t>
  </si>
  <si>
    <t>Exclusion liste noire</t>
  </si>
  <si>
    <t>Exclusion ESG</t>
  </si>
  <si>
    <t>\\groupe-ufg.com\Commun\SYS\hooker\In_Intra\LFP IF</t>
  </si>
  <si>
    <t>20230613_ESG_Carbon.xls</t>
  </si>
  <si>
    <t>JP3223800008</t>
  </si>
  <si>
    <t>US5184151042</t>
  </si>
  <si>
    <t>NL0011872643</t>
  </si>
  <si>
    <t>SE0015949748</t>
  </si>
  <si>
    <t>NL0012866412</t>
  </si>
  <si>
    <t>US20717M1036</t>
  </si>
  <si>
    <t>GB00B033F229</t>
  </si>
  <si>
    <t>US2435371073</t>
  </si>
  <si>
    <t>US26142V1052</t>
  </si>
  <si>
    <t>US2533931026</t>
  </si>
  <si>
    <t>CH0023405456</t>
  </si>
  <si>
    <t>GB00BL6K5J42</t>
  </si>
  <si>
    <t>IL0011741688</t>
  </si>
  <si>
    <t>CH0466642201</t>
  </si>
  <si>
    <t>US7707001027</t>
  </si>
  <si>
    <t>BE0003604155</t>
  </si>
  <si>
    <t>US5627501092</t>
  </si>
  <si>
    <t>IL0011762130</t>
  </si>
  <si>
    <t>US90364P1057</t>
  </si>
  <si>
    <t>SE0000112385</t>
  </si>
  <si>
    <t>DE000TLX1005</t>
  </si>
  <si>
    <t>GB00BL9YR756</t>
  </si>
  <si>
    <t>MSCI World</t>
  </si>
  <si>
    <t>MSCI W High Div</t>
  </si>
  <si>
    <t>Moyenne MSCI W</t>
  </si>
  <si>
    <t>MSCI W</t>
  </si>
  <si>
    <t>Vue</t>
  </si>
  <si>
    <t>Répartition</t>
  </si>
  <si>
    <t>Apollo Global Management Inc</t>
  </si>
  <si>
    <t>United Overseas Bank Limited</t>
  </si>
  <si>
    <t>Deckers Outdoor Corporation</t>
  </si>
  <si>
    <t>VWFJP7-R</t>
  </si>
  <si>
    <t>Manhattan Associates, Inc.</t>
  </si>
  <si>
    <t>NLB51Z-R</t>
  </si>
  <si>
    <t>Kirin Holdings Co. Ltd.</t>
  </si>
  <si>
    <t>DK0062498333</t>
  </si>
  <si>
    <t>Safran SA</t>
  </si>
  <si>
    <t>Sempra</t>
  </si>
  <si>
    <t>Wolters Kluwer N.V.</t>
  </si>
  <si>
    <t>US49177J1025</t>
  </si>
  <si>
    <t>Kenvue, Inc.</t>
  </si>
  <si>
    <t>PW89XC-R</t>
  </si>
  <si>
    <t>Cencora, Inc.</t>
  </si>
  <si>
    <t>CA8849038085</t>
  </si>
  <si>
    <t>FI4000552500</t>
  </si>
  <si>
    <t>US4663131039</t>
  </si>
  <si>
    <t>Jabil Inc.</t>
  </si>
  <si>
    <t>LF4WPT-R</t>
  </si>
  <si>
    <t>NL0015001FS8</t>
  </si>
  <si>
    <t>Ferrovial SE</t>
  </si>
  <si>
    <t>Everest Group, Ltd.</t>
  </si>
  <si>
    <t>US12008R1077</t>
  </si>
  <si>
    <t>Builders FirstSource, Inc.</t>
  </si>
  <si>
    <t>XLW9J2-R</t>
  </si>
  <si>
    <t>US5312297550</t>
  </si>
  <si>
    <t>Kellanova</t>
  </si>
  <si>
    <t>US86800U1043</t>
  </si>
  <si>
    <t>Super Micro Computer, Inc.</t>
  </si>
  <si>
    <t>PTW56G-R</t>
  </si>
  <si>
    <t>US9426222009</t>
  </si>
  <si>
    <t>Watsco, Inc.</t>
  </si>
  <si>
    <t>L8N68Q-R</t>
  </si>
  <si>
    <t>DraftKings, Inc. Class A</t>
  </si>
  <si>
    <t>XBLNPW-R</t>
  </si>
  <si>
    <t>Lattice Semiconductor Corporation</t>
  </si>
  <si>
    <t>MXTZMW-R</t>
  </si>
  <si>
    <t>Smurfit Kappa Group PLC</t>
  </si>
  <si>
    <t>BMG0112X1056</t>
  </si>
  <si>
    <t>Aegon Ltd.</t>
  </si>
  <si>
    <t>NTT DATA GROUP CORPORATION</t>
  </si>
  <si>
    <t>Centrica plc</t>
  </si>
  <si>
    <t>LHKZY9-R</t>
  </si>
  <si>
    <t>Robert Half Inc.</t>
  </si>
  <si>
    <t>LY Corporation</t>
  </si>
  <si>
    <t>BE Semiconductor Industries N.V.</t>
  </si>
  <si>
    <t>M3XC1S-R</t>
  </si>
  <si>
    <t>GB00BNGDN821</t>
  </si>
  <si>
    <t>Melrose Industries PLC</t>
  </si>
  <si>
    <t>JPV5LS-R</t>
  </si>
  <si>
    <t>Dick's Sporting Goods, Inc.</t>
  </si>
  <si>
    <t>K8ZVRV-R</t>
  </si>
  <si>
    <t>Taisei Corporation</t>
  </si>
  <si>
    <t>Redeia Corporacion SA</t>
  </si>
  <si>
    <t>CA85472N1096</t>
  </si>
  <si>
    <t>Stantec Inc</t>
  </si>
  <si>
    <t>T4259K-R</t>
  </si>
  <si>
    <t>US0130911037</t>
  </si>
  <si>
    <t>Albertsons Companies, Inc. Class A</t>
  </si>
  <si>
    <t>GF26VF-R</t>
  </si>
  <si>
    <t>TOPPAN Holdings Inc.</t>
  </si>
  <si>
    <t>ASR Nederland N.V.</t>
  </si>
  <si>
    <t>VPJF20-R</t>
  </si>
  <si>
    <t>UiPath, Inc. Class A</t>
  </si>
  <si>
    <t>L4YKXD-R</t>
  </si>
  <si>
    <t>MISUMI Group Inc.</t>
  </si>
  <si>
    <t>Wise PLC Class A</t>
  </si>
  <si>
    <t>T65TSF-R</t>
  </si>
  <si>
    <t>Confluent Inc Class A</t>
  </si>
  <si>
    <t>Q76FJG-R</t>
  </si>
  <si>
    <t>Umicore SA</t>
  </si>
  <si>
    <t>Helvetia Holding Ltd</t>
  </si>
  <si>
    <t>NQWDFJ-R</t>
  </si>
  <si>
    <t>Beijer Ref AB Class B</t>
  </si>
  <si>
    <t>MVN234-R</t>
  </si>
  <si>
    <t>KPMZMV-R</t>
  </si>
  <si>
    <t>Kawasaki Kisen Kaisha, Ltd.</t>
  </si>
  <si>
    <t>L43QBW-R</t>
  </si>
  <si>
    <t>Saab AB Class B</t>
  </si>
  <si>
    <t>J9HWH0-R</t>
  </si>
  <si>
    <t>Robinhood Markets, Inc. Class A</t>
  </si>
  <si>
    <t>CSC7N1-R</t>
  </si>
  <si>
    <t>US4485791028</t>
  </si>
  <si>
    <t>Hyatt Hotels Corporation Class A</t>
  </si>
  <si>
    <t>TWVMYS-R</t>
  </si>
  <si>
    <t>Global-e Online Ltd.</t>
  </si>
  <si>
    <t>HLGG8W-R</t>
  </si>
  <si>
    <t>US5312297899</t>
  </si>
  <si>
    <t>JP3429300001</t>
  </si>
  <si>
    <t>Zensho Holdings Co., Ltd.</t>
  </si>
  <si>
    <t>P23F21-R</t>
  </si>
  <si>
    <t>monday.com Ltd.</t>
  </si>
  <si>
    <t>TZZBHN-R</t>
  </si>
  <si>
    <t>SG1R50925390</t>
  </si>
  <si>
    <t>Sembcorp Industries Ltd.</t>
  </si>
  <si>
    <t>MG46C4-R</t>
  </si>
  <si>
    <t>RXPGD4-R</t>
  </si>
  <si>
    <t>Endeavour Mining PLC</t>
  </si>
  <si>
    <t>FCHQXF-R</t>
  </si>
  <si>
    <t>Lotus Bakeries NV</t>
  </si>
  <si>
    <t>N6Z6TP-R</t>
  </si>
  <si>
    <t>Talanx AG</t>
  </si>
  <si>
    <t>CZH06S-R</t>
  </si>
  <si>
    <t>CH1300646267</t>
  </si>
  <si>
    <t>Bunge Global SA</t>
  </si>
  <si>
    <t>CPD5P8-R</t>
  </si>
  <si>
    <t>US4878361082</t>
  </si>
  <si>
    <t>Fortescue Ltd</t>
  </si>
  <si>
    <t>US9699041011</t>
  </si>
  <si>
    <t>Williams-Sonoma, Inc.</t>
  </si>
  <si>
    <t>BZPTB8-R</t>
  </si>
  <si>
    <t>Air Liquide SA</t>
  </si>
  <si>
    <t>Teleperformance SE</t>
  </si>
  <si>
    <t>CA5527041084</t>
  </si>
  <si>
    <t>MEG Energy Corp.</t>
  </si>
  <si>
    <t>GJXKZY-R</t>
  </si>
  <si>
    <t>X3JLR4-R</t>
  </si>
  <si>
    <t>JP3494600004</t>
  </si>
  <si>
    <t>SCREEN Holdings Co., Ltd</t>
  </si>
  <si>
    <t>N2967L-R</t>
  </si>
  <si>
    <t>JP3046270009</t>
  </si>
  <si>
    <t>KDX Realty Investment Corporation</t>
  </si>
  <si>
    <t>HQC8G0-R</t>
  </si>
  <si>
    <t>Adobe Inc.</t>
  </si>
  <si>
    <t>US03831W1080</t>
  </si>
  <si>
    <t>AppLovin Corp. Class A</t>
  </si>
  <si>
    <t>B38P5P-R</t>
  </si>
  <si>
    <t>US15118V2079</t>
  </si>
  <si>
    <t>Celsius Holdings, Inc.</t>
  </si>
  <si>
    <t>QZ1YL4-R</t>
  </si>
  <si>
    <t>IT0003856405</t>
  </si>
  <si>
    <t>Leonardo SpA</t>
  </si>
  <si>
    <t>CM4SB4-R</t>
  </si>
  <si>
    <t>US2166485019</t>
  </si>
  <si>
    <t>US2199481068</t>
  </si>
  <si>
    <t>Corpay, Inc.</t>
  </si>
  <si>
    <t>Fresenius Medical Care AG</t>
  </si>
  <si>
    <t>Bank Leumi Le-Israel B.M.</t>
  </si>
  <si>
    <t>Dayforce, Inc.</t>
  </si>
  <si>
    <t>AU000000SVW5</t>
  </si>
  <si>
    <t>Seven Group Holdings Limited</t>
  </si>
  <si>
    <t>F2FS1R-R</t>
  </si>
  <si>
    <t>FR0010451203</t>
  </si>
  <si>
    <t>Rexel SA</t>
  </si>
  <si>
    <t>FBG90Z-R</t>
  </si>
  <si>
    <t>GE Aerospace</t>
  </si>
  <si>
    <t>HK0004000045</t>
  </si>
  <si>
    <t>Wharf (Holdings) Ltd.</t>
  </si>
  <si>
    <t>GFDN3L-R</t>
  </si>
  <si>
    <t>Brenntag SE</t>
  </si>
  <si>
    <t>Novonesis A/S (Novozymes A/S) Class B</t>
  </si>
  <si>
    <t>US79589L1061</t>
  </si>
  <si>
    <t>Samsara, Inc. Class A</t>
  </si>
  <si>
    <t>M52F3X-R</t>
  </si>
  <si>
    <t>CH1243598427</t>
  </si>
  <si>
    <t>Sandoz Group Ltd</t>
  </si>
  <si>
    <t>JHQVTD-R</t>
  </si>
  <si>
    <t>BMG611881274</t>
  </si>
  <si>
    <t>Liberty Global Ltd. Class C</t>
  </si>
  <si>
    <t>Eurazeo SE</t>
  </si>
  <si>
    <t>lululemon athletica inc.</t>
  </si>
  <si>
    <t>Meta Platforms Inc Class A</t>
  </si>
  <si>
    <t>Reliance, Inc.</t>
  </si>
  <si>
    <t>RTX Corporation</t>
  </si>
  <si>
    <t>Avolta AG</t>
  </si>
  <si>
    <t>LU2598331598</t>
  </si>
  <si>
    <t>AU000000CAR3</t>
  </si>
  <si>
    <t>CAR Group Limited</t>
  </si>
  <si>
    <t>SN8WCL-R</t>
  </si>
  <si>
    <t>US83444M1018</t>
  </si>
  <si>
    <t>Solventum Corporation</t>
  </si>
  <si>
    <t>JC73DC-R</t>
  </si>
  <si>
    <t>Sampo Oyj</t>
  </si>
  <si>
    <t>BE0974464977</t>
  </si>
  <si>
    <t>Syensqo SA/NV</t>
  </si>
  <si>
    <t>VJN49T-R</t>
  </si>
  <si>
    <t>US92338C1036</t>
  </si>
  <si>
    <t>Veralto Corporation</t>
  </si>
  <si>
    <t>P4XV2C-R</t>
  </si>
  <si>
    <t>US92537N1081</t>
  </si>
  <si>
    <t>Vertiv Holdings Co. Class A</t>
  </si>
  <si>
    <t>K1CWC1-R</t>
  </si>
  <si>
    <t>Keppel Ltd.</t>
  </si>
  <si>
    <t>GB00BMWC6P49</t>
  </si>
  <si>
    <t>IT0005218380</t>
  </si>
  <si>
    <t>Banco BPM SpA</t>
  </si>
  <si>
    <t>XC3B11-R</t>
  </si>
  <si>
    <t>\\groupe-ufg.com\commun\Prive\GestionAM\Ingenierie_Financiere\PROD\_EQUITY\0_SCREEN_AGG\screen_mensuel\FS_BT_output_20250228.xlsx</t>
  </si>
  <si>
    <t>\\groupe-ufg.com\commun\Prive\GestionAM\Ingenierie_Financiere\PROD\_EQUITY\0_RETURNS\returns_2Y.pkl</t>
  </si>
  <si>
    <t>\\groupe-ufg.com\Commun\Prive\GestionAM\Ingenierie_Financiere\PROD\_BASE\_ ESG DATA\Liste_Noire_Exclusion_NEW.xlsx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</si>
</sst>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#,##0\ _€"/>
    <numFmt numFmtId="165" formatCode="_-* #,##0.00\ _€_-;\-* #,##0.00\ _€_-;_-* &quot;-&quot;??\ _€_-;_-@_-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Arial"/>
      <family val="2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2" fillId="0" borderId="0"/>
  </cellStyleXfs>
  <cellXfs count="79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2" borderId="0" xfId="1" applyFill="1"/>
    <xf numFmtId="10" fontId="0" fillId="2" borderId="0" xfId="0" applyNumberFormat="1" applyFill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5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10" fontId="6" fillId="0" borderId="0" xfId="2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6" borderId="0" xfId="0" quotePrefix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Fill="1" applyAlignment="1">
      <alignment horizontal="center"/>
    </xf>
    <xf numFmtId="2" fontId="0" fillId="2" borderId="0" xfId="0" applyNumberFormat="1" applyFill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/>
    <xf numFmtId="0" fontId="0" fillId="2" borderId="0" xfId="0" applyFill="1" applyAlignment="1">
      <alignment horizontal="right" vertical="center"/>
    </xf>
    <xf numFmtId="10" fontId="0" fillId="2" borderId="0" xfId="0" applyNumberFormat="1" applyFill="1" applyAlignment="1">
      <alignment horizontal="center" vertical="center" wrapText="1"/>
    </xf>
    <xf numFmtId="0" fontId="7" fillId="2" borderId="0" xfId="0" applyFont="1" applyFill="1"/>
    <xf numFmtId="10" fontId="1" fillId="4" borderId="0" xfId="2" applyNumberFormat="1" applyFont="1" applyFill="1" applyAlignment="1">
      <alignment horizontal="center" vertical="center" wrapText="1"/>
    </xf>
    <xf numFmtId="0" fontId="3" fillId="0" borderId="0" xfId="1"/>
    <xf numFmtId="0" fontId="6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2" fontId="0" fillId="0" borderId="0" xfId="2" applyNumberFormat="1" applyFont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2" borderId="0" xfId="2" applyNumberFormat="1" applyFont="1" applyFill="1" applyAlignment="1">
      <alignment horizontal="center"/>
    </xf>
    <xf numFmtId="0" fontId="9" fillId="0" borderId="0" xfId="0" applyFont="1" applyAlignment="1">
      <alignment horizontal="left"/>
    </xf>
    <xf numFmtId="0" fontId="10" fillId="2" borderId="0" xfId="0" applyFont="1" applyFill="1" applyAlignment="1">
      <alignment horizontal="right" vertical="top"/>
    </xf>
    <xf numFmtId="0" fontId="1" fillId="8" borderId="0" xfId="0" applyFont="1" applyFill="1" applyAlignment="1">
      <alignment horizontal="center"/>
    </xf>
    <xf numFmtId="14" fontId="0" fillId="2" borderId="1" xfId="0" applyNumberFormat="1" applyFill="1" applyBorder="1" applyAlignment="1">
      <alignment horizontal="center" vertical="center"/>
    </xf>
    <xf numFmtId="0" fontId="2" fillId="9" borderId="0" xfId="0" applyFont="1" applyFill="1" applyAlignment="1">
      <alignment horizontal="center"/>
    </xf>
    <xf numFmtId="10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64" fontId="5" fillId="6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10" borderId="0" xfId="0" applyFill="1"/>
    <xf numFmtId="10" fontId="6" fillId="0" borderId="0" xfId="2" applyNumberFormat="1" applyFont="1" applyFill="1" applyAlignment="1">
      <alignment horizontal="center"/>
    </xf>
    <xf numFmtId="10" fontId="0" fillId="0" borderId="0" xfId="2" applyNumberFormat="1" applyFont="1" applyFill="1" applyAlignment="1">
      <alignment horizontal="center"/>
    </xf>
    <xf numFmtId="2" fontId="0" fillId="0" borderId="0" xfId="2" applyNumberFormat="1" applyFont="1" applyFill="1" applyAlignment="1">
      <alignment horizontal="center"/>
    </xf>
    <xf numFmtId="164" fontId="6" fillId="0" borderId="0" xfId="0" applyNumberFormat="1" applyFont="1" applyAlignment="1">
      <alignment horizontal="center"/>
    </xf>
    <xf numFmtId="0" fontId="0" fillId="2" borderId="0" xfId="0" applyFill="1" applyAlignment="1">
      <alignment horizontal="left"/>
    </xf>
    <xf numFmtId="0" fontId="1" fillId="6" borderId="2" xfId="0" applyFont="1" applyFill="1" applyBorder="1" applyAlignment="1">
      <alignment horizontal="center"/>
    </xf>
    <xf numFmtId="10" fontId="0" fillId="2" borderId="2" xfId="0" applyNumberFormat="1" applyFill="1" applyBorder="1" applyAlignment="1">
      <alignment horizontal="center"/>
    </xf>
    <xf numFmtId="0" fontId="0" fillId="10" borderId="0" xfId="0" applyFill="1" applyAlignment="1">
      <alignment horizontal="center"/>
    </xf>
    <xf numFmtId="10" fontId="13" fillId="2" borderId="1" xfId="0" applyNumberFormat="1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10" fontId="5" fillId="6" borderId="0" xfId="2" applyNumberFormat="1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  <xf numFmtId="10" fontId="6" fillId="10" borderId="0" xfId="2" applyNumberFormat="1" applyFont="1" applyFill="1" applyAlignment="1">
      <alignment horizontal="center"/>
    </xf>
    <xf numFmtId="2" fontId="0" fillId="10" borderId="0" xfId="0" applyNumberFormat="1" applyFill="1" applyAlignment="1">
      <alignment horizontal="center"/>
    </xf>
    <xf numFmtId="2" fontId="14" fillId="0" borderId="0" xfId="0" applyNumberFormat="1" applyFont="1" applyAlignment="1">
      <alignment horizontal="center"/>
    </xf>
    <xf numFmtId="2" fontId="6" fillId="10" borderId="0" xfId="0" applyNumberFormat="1" applyFont="1" applyFill="1" applyAlignment="1">
      <alignment horizontal="center"/>
    </xf>
    <xf numFmtId="10" fontId="0" fillId="10" borderId="0" xfId="2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10" fontId="0" fillId="10" borderId="0" xfId="0" applyNumberFormat="1" applyFill="1"/>
    <xf numFmtId="10" fontId="0" fillId="10" borderId="0" xfId="0" applyNumberFormat="1" applyFill="1" applyAlignment="1">
      <alignment horizontal="center"/>
    </xf>
    <xf numFmtId="0" fontId="10" fillId="2" borderId="0" xfId="0" applyFont="1" applyFill="1" applyAlignment="1">
      <alignment horizontal="right" vertical="top"/>
    </xf>
    <xf numFmtId="0" fontId="10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/>
    </xf>
  </cellXfs>
  <cellStyles count="8">
    <cellStyle name="Lien hypertexte" xfId="1" builtinId="8"/>
    <cellStyle name="Milliers 2" xfId="6" xr:uid="{02FA58AD-4CF6-4481-8CD3-5DB2727E6EB5}"/>
    <cellStyle name="Monétaire 2" xfId="5" xr:uid="{4B6FF76F-33F9-4879-A00F-D28AE554448A}"/>
    <cellStyle name="Normal" xfId="0" builtinId="0"/>
    <cellStyle name="Normal 11 2" xfId="7" xr:uid="{F285AB3C-C786-4BB3-A702-4867D34C8ED6}"/>
    <cellStyle name="Normal 2" xfId="3" xr:uid="{533CFDAE-5C67-436D-AE7E-1C2E67BD7BD1}"/>
    <cellStyle name="Pourcentage" xfId="2" builtinId="5"/>
    <cellStyle name="Pourcentage 2" xfId="4" xr:uid="{8D74FAAB-B16D-4CDC-8029-4329207A83D6}"/>
  </cellStyles>
  <dxfs count="10">
    <dxf>
      <font>
        <color rgb="FFFF0000"/>
      </font>
    </dxf>
    <dxf>
      <font>
        <color theme="9"/>
      </font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  <dxf>
      <fill>
        <patternFill patternType="solid">
          <fgColor auto="1"/>
          <bgColor theme="9" tint="0.59996337778862885"/>
        </patternFill>
      </fill>
    </dxf>
    <dxf>
      <fill>
        <patternFill patternType="solid">
          <fgColor auto="1"/>
          <bgColor rgb="FFFF9595"/>
        </patternFill>
      </fill>
    </dxf>
  </dxfs>
  <tableStyles count="0" defaultTableStyle="TableStyleMedium2" defaultPivotStyle="PivotStyleLight16"/>
  <colors>
    <mruColors>
      <color rgb="FFFF9595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19050</xdr:rowOff>
        </xdr:from>
        <xdr:to>
          <xdr:col>18</xdr:col>
          <xdr:colOff>723900</xdr:colOff>
          <xdr:row>1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Bench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342900</xdr:rowOff>
        </xdr:from>
        <xdr:to>
          <xdr:col>18</xdr:col>
          <xdr:colOff>723900</xdr:colOff>
          <xdr:row>2</xdr:row>
          <xdr:rowOff>361950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sec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</xdr:row>
          <xdr:rowOff>114300</xdr:rowOff>
        </xdr:from>
        <xdr:to>
          <xdr:col>18</xdr:col>
          <xdr:colOff>723900</xdr:colOff>
          <xdr:row>4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optim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file:///\\groupe-ufg.com\Commun\Prive\GestionAM\Ingenierie_Financiere\PROD\_BASE\_%20ESG%20DATA\Liste_Noire_Exclusion_NEW.xlsx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../0_RETURNS/returns_2Y.pkl" TargetMode="External"/><Relationship Id="rId1" Type="http://schemas.openxmlformats.org/officeDocument/2006/relationships/hyperlink" Target="../0_SCREEN_AGG/screen_mensuel/FS_BT_output_20250228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19B00-5739-4EC9-8F81-A8423FF55883}">
  <sheetPr codeName="Feuil1"/>
  <dimension ref="A1:Q59"/>
  <sheetViews>
    <sheetView tabSelected="1" workbookViewId="0">
      <selection activeCell="G22" sqref="G22"/>
    </sheetView>
  </sheetViews>
  <sheetFormatPr baseColWidth="10" defaultColWidth="11" defaultRowHeight="15" x14ac:dyDescent="0.25"/>
  <cols>
    <col min="1" max="1" width="21.7109375" style="1" customWidth="1"/>
    <col min="2" max="2" width="25" style="1" customWidth="1"/>
    <col min="3" max="3" width="14.140625" style="1" customWidth="1"/>
    <col min="4" max="5" width="15.5703125" style="1" bestFit="1" customWidth="1"/>
    <col min="6" max="6" width="9.85546875" style="1" customWidth="1"/>
    <col min="7" max="7" width="12.140625" style="1" customWidth="1"/>
    <col min="8" max="8" width="12.28515625" style="1" bestFit="1" customWidth="1"/>
    <col min="9" max="9" width="11" style="1" customWidth="1"/>
    <col min="10" max="10" width="13.5703125" style="1" customWidth="1"/>
    <col min="11" max="11" width="14.85546875" style="1" customWidth="1"/>
    <col min="12" max="12" width="12.42578125" style="1" customWidth="1"/>
    <col min="13" max="13" width="12.28515625" style="1" bestFit="1" customWidth="1"/>
    <col min="14" max="16384" width="11" style="1"/>
  </cols>
  <sheetData>
    <row r="1" spans="1:17" x14ac:dyDescent="0.25">
      <c r="A1" s="77" t="s">
        <v>7</v>
      </c>
      <c r="B1" s="77"/>
      <c r="D1" s="77" t="s">
        <v>81</v>
      </c>
      <c r="E1" s="77"/>
      <c r="G1" s="77" t="s">
        <v>82</v>
      </c>
      <c r="H1" s="77"/>
      <c r="J1" s="77" t="s">
        <v>8</v>
      </c>
      <c r="K1" s="77"/>
      <c r="M1" s="77" t="s">
        <v>497</v>
      </c>
      <c r="N1" s="77"/>
      <c r="P1" s="47" t="s">
        <v>4121</v>
      </c>
      <c r="Q1" s="75" t="s">
        <v>2787</v>
      </c>
    </row>
    <row r="2" spans="1:17" ht="30" x14ac:dyDescent="0.25">
      <c r="A2" s="2" t="s">
        <v>1</v>
      </c>
      <c r="B2" s="5" t="s">
        <v>70</v>
      </c>
      <c r="D2" s="12" t="s">
        <v>17</v>
      </c>
      <c r="E2" s="13">
        <v>0.4</v>
      </c>
      <c r="G2" s="12" t="s">
        <v>20</v>
      </c>
      <c r="H2" s="13">
        <v>0.1</v>
      </c>
      <c r="J2" s="12" t="s">
        <v>23</v>
      </c>
      <c r="K2" s="13">
        <v>0.2</v>
      </c>
      <c r="M2" s="16" t="s">
        <v>498</v>
      </c>
      <c r="N2" s="16">
        <v>0.9</v>
      </c>
      <c r="P2" s="48">
        <f ca="1">TODAY()</f>
        <v>45721</v>
      </c>
      <c r="Q2" s="75"/>
    </row>
    <row r="3" spans="1:17" ht="30" x14ac:dyDescent="0.25">
      <c r="A3" s="2" t="s">
        <v>2</v>
      </c>
      <c r="B3" s="8">
        <v>2.0000000000000001E-4</v>
      </c>
      <c r="D3" s="12" t="s">
        <v>19</v>
      </c>
      <c r="E3" s="13">
        <v>0.5</v>
      </c>
      <c r="G3" s="12" t="s">
        <v>23</v>
      </c>
      <c r="H3" s="13">
        <v>0.1</v>
      </c>
      <c r="J3" s="12" t="s">
        <v>22</v>
      </c>
      <c r="K3" s="13">
        <v>0.15</v>
      </c>
      <c r="M3" s="16" t="s">
        <v>499</v>
      </c>
      <c r="N3" s="16">
        <v>1.05</v>
      </c>
      <c r="Q3" s="46" t="s">
        <v>2788</v>
      </c>
    </row>
    <row r="4" spans="1:17" ht="30" x14ac:dyDescent="0.25">
      <c r="A4" s="2" t="s">
        <v>3</v>
      </c>
      <c r="B4" s="6">
        <v>10</v>
      </c>
      <c r="D4" s="12" t="s">
        <v>18</v>
      </c>
      <c r="E4" s="13">
        <v>0.6</v>
      </c>
      <c r="F4" s="35" t="s">
        <v>385</v>
      </c>
      <c r="G4" s="12" t="s">
        <v>50</v>
      </c>
      <c r="H4" s="13">
        <v>0.1</v>
      </c>
      <c r="J4" s="12" t="s">
        <v>19</v>
      </c>
      <c r="K4" s="13">
        <v>0.15</v>
      </c>
      <c r="N4" s="6"/>
      <c r="Q4" s="76" t="s">
        <v>2789</v>
      </c>
    </row>
    <row r="5" spans="1:17" ht="30" x14ac:dyDescent="0.25">
      <c r="A5" s="2" t="s">
        <v>6</v>
      </c>
      <c r="B5" s="6">
        <v>5</v>
      </c>
      <c r="D5" s="4"/>
      <c r="G5" s="12" t="s">
        <v>13</v>
      </c>
      <c r="H5" s="16">
        <v>4.62</v>
      </c>
      <c r="J5" s="12" t="s">
        <v>18</v>
      </c>
      <c r="K5" s="13">
        <v>0.1</v>
      </c>
      <c r="Q5" s="76"/>
    </row>
    <row r="6" spans="1:17" ht="30" x14ac:dyDescent="0.25">
      <c r="A6" s="2" t="s">
        <v>2780</v>
      </c>
      <c r="B6" s="6" t="s">
        <v>2781</v>
      </c>
      <c r="D6" s="4"/>
      <c r="G6" s="12" t="s">
        <v>15</v>
      </c>
      <c r="H6" s="13">
        <v>0.2</v>
      </c>
      <c r="J6" s="12" t="s">
        <v>55</v>
      </c>
      <c r="K6" s="13">
        <v>0.1</v>
      </c>
    </row>
    <row r="7" spans="1:17" x14ac:dyDescent="0.25">
      <c r="A7" s="2" t="s">
        <v>4</v>
      </c>
      <c r="B7" s="6">
        <v>2.4</v>
      </c>
      <c r="D7" s="4"/>
      <c r="J7" s="12" t="s">
        <v>51</v>
      </c>
      <c r="K7" s="13">
        <v>0.1</v>
      </c>
    </row>
    <row r="8" spans="1:17" ht="30" x14ac:dyDescent="0.25">
      <c r="A8" s="2" t="s">
        <v>5</v>
      </c>
      <c r="B8" s="20">
        <v>-0.3</v>
      </c>
      <c r="J8" s="12" t="s">
        <v>20</v>
      </c>
      <c r="K8" s="13">
        <v>0.2</v>
      </c>
    </row>
    <row r="9" spans="1:17" x14ac:dyDescent="0.25">
      <c r="A9" s="2" t="s">
        <v>0</v>
      </c>
      <c r="B9" s="7" t="s">
        <v>4618</v>
      </c>
      <c r="P9" s="1" t="s">
        <v>4400</v>
      </c>
    </row>
    <row r="10" spans="1:17" x14ac:dyDescent="0.25">
      <c r="A10" s="2" t="s">
        <v>71</v>
      </c>
      <c r="B10" s="7" t="s">
        <v>4619</v>
      </c>
      <c r="P10" s="1" t="s">
        <v>4401</v>
      </c>
    </row>
    <row r="11" spans="1:17" x14ac:dyDescent="0.25">
      <c r="A11" s="2" t="s">
        <v>106</v>
      </c>
      <c r="B11" s="9">
        <v>2E-3</v>
      </c>
    </row>
    <row r="12" spans="1:17" x14ac:dyDescent="0.25">
      <c r="A12" s="2" t="s">
        <v>107</v>
      </c>
      <c r="B12" s="9">
        <v>0.05</v>
      </c>
    </row>
    <row r="13" spans="1:17" ht="30" x14ac:dyDescent="0.25">
      <c r="A13" s="2" t="s">
        <v>387</v>
      </c>
      <c r="B13" s="36" t="s">
        <v>389</v>
      </c>
      <c r="C13" s="36" t="s">
        <v>396</v>
      </c>
      <c r="D13" s="36" t="s">
        <v>391</v>
      </c>
    </row>
    <row r="14" spans="1:17" x14ac:dyDescent="0.25">
      <c r="A14" s="2" t="s">
        <v>388</v>
      </c>
      <c r="B14" s="9" t="s">
        <v>393</v>
      </c>
    </row>
    <row r="15" spans="1:17" x14ac:dyDescent="0.25">
      <c r="A15" s="2" t="s">
        <v>386</v>
      </c>
      <c r="B15" s="39" t="s">
        <v>4620</v>
      </c>
    </row>
    <row r="16" spans="1:17" x14ac:dyDescent="0.25">
      <c r="F16" s="78" t="s">
        <v>397</v>
      </c>
      <c r="G16" s="78"/>
      <c r="H16" s="78"/>
      <c r="I16" s="17" t="s">
        <v>815</v>
      </c>
    </row>
    <row r="17" spans="1:16" ht="30" x14ac:dyDescent="0.25">
      <c r="A17" s="10" t="s">
        <v>72</v>
      </c>
      <c r="B17" s="11" t="s">
        <v>79</v>
      </c>
      <c r="C17" s="11" t="s">
        <v>84</v>
      </c>
      <c r="D17" s="11" t="s">
        <v>104</v>
      </c>
      <c r="E17" s="11" t="s">
        <v>105</v>
      </c>
      <c r="F17" s="38" t="s">
        <v>812</v>
      </c>
      <c r="G17" s="38" t="s">
        <v>398</v>
      </c>
      <c r="H17" s="38" t="s">
        <v>399</v>
      </c>
      <c r="I17" s="38" t="s">
        <v>399</v>
      </c>
      <c r="J17" s="10" t="s">
        <v>490</v>
      </c>
      <c r="K17" s="10" t="s">
        <v>494</v>
      </c>
      <c r="L17" s="10" t="s">
        <v>495</v>
      </c>
      <c r="M17" s="10" t="s">
        <v>493</v>
      </c>
      <c r="N17" s="10" t="s">
        <v>4396</v>
      </c>
      <c r="O17" s="10" t="s">
        <v>4397</v>
      </c>
    </row>
    <row r="18" spans="1:16" x14ac:dyDescent="0.25">
      <c r="A18" s="14" t="s">
        <v>73</v>
      </c>
      <c r="B18" s="15">
        <v>1.4999999999999999E-2</v>
      </c>
      <c r="C18" s="16" t="s">
        <v>496</v>
      </c>
      <c r="D18" s="16">
        <v>1.5</v>
      </c>
      <c r="E18" s="17">
        <v>3</v>
      </c>
      <c r="F18" s="18">
        <v>7.4999999999999997E-3</v>
      </c>
      <c r="G18" s="18">
        <v>0.02</v>
      </c>
      <c r="H18" s="18">
        <v>3.5000000000000003E-2</v>
      </c>
      <c r="I18" s="18">
        <v>0.01</v>
      </c>
      <c r="J18" s="15">
        <v>0.74375658517903032</v>
      </c>
      <c r="K18" s="15">
        <f>MAX(J18,0%)</f>
        <v>0.74375658517903032</v>
      </c>
      <c r="L18" s="15">
        <f>J18+2%</f>
        <v>0.76375658517903033</v>
      </c>
      <c r="M18" s="16">
        <f t="shared" ref="M18:M23" si="0">ROUNDUP(J18/B18,0)</f>
        <v>50</v>
      </c>
      <c r="N18" s="33">
        <f>SUMIF(Output!$D:$D,"="&amp;Menu!$A18,Output!V:V)</f>
        <v>0.30742827530477124</v>
      </c>
      <c r="O18" s="33">
        <f>SUMIF(Output!$D:$D,"="&amp;Menu!$A18,Output!W:W)</f>
        <v>1.0474999999999985</v>
      </c>
      <c r="P18" s="27" t="str">
        <f>IF(OR(O18&lt;K18,N18&gt;L18),"!! KO !!", "OK")</f>
        <v>OK</v>
      </c>
    </row>
    <row r="19" spans="1:16" x14ac:dyDescent="0.25">
      <c r="A19" s="14" t="s">
        <v>74</v>
      </c>
      <c r="B19" s="15">
        <v>6.0000000000000001E-3</v>
      </c>
      <c r="C19" s="16" t="s">
        <v>496</v>
      </c>
      <c r="D19" s="16">
        <v>1.5</v>
      </c>
      <c r="E19" s="17">
        <v>2</v>
      </c>
      <c r="F19" s="18">
        <v>5.0000000000000001E-3</v>
      </c>
      <c r="G19" s="18">
        <v>1.4999999999999999E-2</v>
      </c>
      <c r="H19" s="18">
        <v>0.03</v>
      </c>
      <c r="I19" s="18">
        <v>5.0000000000000001E-3</v>
      </c>
      <c r="J19" s="15">
        <v>0.1677933245141317</v>
      </c>
      <c r="K19" s="15">
        <f>MAX(J19-2%,0%)</f>
        <v>0.14779332451413171</v>
      </c>
      <c r="L19" s="15">
        <f>J19+1%</f>
        <v>0.17779332451413171</v>
      </c>
      <c r="M19" s="16">
        <f t="shared" si="0"/>
        <v>28</v>
      </c>
      <c r="N19" s="33">
        <f>SUMIF(Output!$D:$D,"="&amp;Menu!$A19,Output!V:V)</f>
        <v>7.9000000000000042E-2</v>
      </c>
      <c r="O19" s="33">
        <f>SUMIF(Output!$D:$D,"="&amp;Menu!$A19,Output!W:W)</f>
        <v>0.28500000000000014</v>
      </c>
      <c r="P19" s="27" t="str">
        <f t="shared" ref="P19:P23" si="1">IF(OR(O19&lt;K19,N19&gt;L19),"!! KO !!", "OK")</f>
        <v>OK</v>
      </c>
    </row>
    <row r="20" spans="1:16" x14ac:dyDescent="0.25">
      <c r="A20" s="14" t="s">
        <v>75</v>
      </c>
      <c r="B20" s="15">
        <v>6.0000000000000001E-3</v>
      </c>
      <c r="C20" s="16" t="s">
        <v>496</v>
      </c>
      <c r="D20" s="16">
        <v>1.5</v>
      </c>
      <c r="E20" s="17">
        <v>2</v>
      </c>
      <c r="F20" s="18">
        <v>5.0000000000000001E-3</v>
      </c>
      <c r="G20" s="18">
        <v>0.01</v>
      </c>
      <c r="H20" s="18">
        <v>1.4999999999999999E-2</v>
      </c>
      <c r="I20" s="18">
        <v>5.0000000000000001E-3</v>
      </c>
      <c r="J20" s="15">
        <v>6.8251533659510866E-2</v>
      </c>
      <c r="K20" s="15">
        <f>MAX(J20-1%,0%)</f>
        <v>5.8251533659510864E-2</v>
      </c>
      <c r="L20" s="15">
        <f>J20+2%</f>
        <v>8.825153365951087E-2</v>
      </c>
      <c r="M20" s="16">
        <f>ROUNDUP(J20/B20,0)</f>
        <v>12</v>
      </c>
      <c r="N20" s="33">
        <f>SUMIF(Output!$D:$D,"="&amp;Menu!$A20,Output!V:V)</f>
        <v>2.2000000000000006E-2</v>
      </c>
      <c r="O20" s="33">
        <f>SUMIF(Output!$D:$D,"="&amp;Menu!$A20,Output!W:W)</f>
        <v>6.2499999999999986E-2</v>
      </c>
      <c r="P20" s="27" t="str">
        <f t="shared" si="1"/>
        <v>OK</v>
      </c>
    </row>
    <row r="21" spans="1:16" x14ac:dyDescent="0.25">
      <c r="A21" s="14" t="s">
        <v>76</v>
      </c>
      <c r="B21" s="15">
        <v>5.0000000000000001E-3</v>
      </c>
      <c r="C21" s="16" t="s">
        <v>496</v>
      </c>
      <c r="D21" s="16">
        <v>1.5</v>
      </c>
      <c r="E21" s="17">
        <v>2</v>
      </c>
      <c r="F21" s="18">
        <v>5.0000000000000001E-3</v>
      </c>
      <c r="G21" s="18">
        <v>7.4999999999999997E-3</v>
      </c>
      <c r="H21" s="18">
        <v>0.01</v>
      </c>
      <c r="I21" s="18">
        <v>5.0000000000000001E-3</v>
      </c>
      <c r="J21" s="15">
        <v>1.9262442716931026E-2</v>
      </c>
      <c r="K21" s="15">
        <f t="shared" ref="K21:K23" si="2">MAX(J21-2%,0%)</f>
        <v>0</v>
      </c>
      <c r="L21" s="15">
        <f t="shared" ref="L21:L23" si="3">J21+2%</f>
        <v>3.9262442716931023E-2</v>
      </c>
      <c r="M21" s="16">
        <f t="shared" si="0"/>
        <v>4</v>
      </c>
      <c r="N21" s="33">
        <f>SUMIF(Output!$D:$D,"="&amp;Menu!$A21,Output!V:V)</f>
        <v>0.01</v>
      </c>
      <c r="O21" s="33">
        <f>SUMIF(Output!$D:$D,"="&amp;Menu!$A21,Output!W:W)</f>
        <v>2.5000000000000001E-2</v>
      </c>
      <c r="P21" s="27" t="str">
        <f t="shared" si="1"/>
        <v>OK</v>
      </c>
    </row>
    <row r="22" spans="1:16" x14ac:dyDescent="0.25">
      <c r="A22" s="14" t="s">
        <v>77</v>
      </c>
      <c r="B22" s="15">
        <v>5.0000000000000001E-3</v>
      </c>
      <c r="C22" s="16" t="s">
        <v>496</v>
      </c>
      <c r="D22" s="16">
        <v>1.5</v>
      </c>
      <c r="E22" s="17">
        <v>2</v>
      </c>
      <c r="F22" s="18">
        <v>5.0000000000000001E-3</v>
      </c>
      <c r="G22" s="18">
        <v>7.4999999999999997E-3</v>
      </c>
      <c r="H22" s="18">
        <v>0.01</v>
      </c>
      <c r="I22" s="18">
        <v>5.0000000000000001E-3</v>
      </c>
      <c r="J22" s="15">
        <v>9.3611393039616823E-4</v>
      </c>
      <c r="K22" s="15">
        <f t="shared" si="2"/>
        <v>0</v>
      </c>
      <c r="L22" s="15">
        <f t="shared" si="3"/>
        <v>2.0936113930396169E-2</v>
      </c>
      <c r="M22" s="16">
        <f t="shared" si="0"/>
        <v>1</v>
      </c>
      <c r="N22" s="33">
        <f>SUMIF(Output!$D:$D,"="&amp;Menu!$A22,Output!V:V)</f>
        <v>0</v>
      </c>
      <c r="O22" s="33">
        <f>SUMIF(Output!$D:$D,"="&amp;Menu!$A22,Output!W:W)</f>
        <v>0</v>
      </c>
      <c r="P22" s="27" t="str">
        <f t="shared" si="1"/>
        <v>OK</v>
      </c>
    </row>
    <row r="23" spans="1:16" x14ac:dyDescent="0.25">
      <c r="A23" s="14" t="s">
        <v>78</v>
      </c>
      <c r="B23" s="15">
        <v>5.0000000000000001E-3</v>
      </c>
      <c r="C23" s="16" t="s">
        <v>496</v>
      </c>
      <c r="D23" s="16">
        <v>1.5</v>
      </c>
      <c r="E23" s="17">
        <v>2</v>
      </c>
      <c r="F23" s="18">
        <v>5.0000000000000001E-3</v>
      </c>
      <c r="G23" s="18">
        <v>7.4999999999999997E-3</v>
      </c>
      <c r="H23" s="18">
        <v>0.01</v>
      </c>
      <c r="I23" s="18">
        <v>5.0000000000000001E-3</v>
      </c>
      <c r="J23" s="15">
        <v>0</v>
      </c>
      <c r="K23" s="15">
        <f t="shared" si="2"/>
        <v>0</v>
      </c>
      <c r="L23" s="15">
        <f t="shared" si="3"/>
        <v>0.02</v>
      </c>
      <c r="M23" s="16">
        <f t="shared" si="0"/>
        <v>0</v>
      </c>
      <c r="N23" s="33">
        <f>SUMIF(Output!$D:$D,"="&amp;Menu!$A23,Output!V:V)</f>
        <v>0</v>
      </c>
      <c r="O23" s="33">
        <f>SUMIF(Output!$D:$D,"="&amp;Menu!$A23,Output!W:W)</f>
        <v>0</v>
      </c>
      <c r="P23" s="27" t="str">
        <f t="shared" si="1"/>
        <v>OK</v>
      </c>
    </row>
    <row r="24" spans="1:16" x14ac:dyDescent="0.25">
      <c r="G24" s="34"/>
      <c r="H24" s="34"/>
    </row>
    <row r="25" spans="1:16" ht="30" x14ac:dyDescent="0.25">
      <c r="A25" s="10" t="s">
        <v>80</v>
      </c>
      <c r="B25" s="11" t="s">
        <v>83</v>
      </c>
      <c r="C25" s="11" t="s">
        <v>79</v>
      </c>
      <c r="D25" s="10" t="s">
        <v>84</v>
      </c>
      <c r="E25" s="10" t="s">
        <v>490</v>
      </c>
      <c r="F25" s="10" t="s">
        <v>491</v>
      </c>
      <c r="G25" s="10" t="s">
        <v>492</v>
      </c>
      <c r="H25" s="10" t="s">
        <v>493</v>
      </c>
      <c r="I25" s="10" t="s">
        <v>4396</v>
      </c>
      <c r="J25" s="10" t="s">
        <v>4397</v>
      </c>
    </row>
    <row r="26" spans="1:16" x14ac:dyDescent="0.25">
      <c r="A26" s="6">
        <v>1</v>
      </c>
      <c r="B26" s="14" t="s">
        <v>103</v>
      </c>
      <c r="C26" s="63">
        <v>1.2E-2</v>
      </c>
      <c r="D26" s="64" t="s">
        <v>496</v>
      </c>
      <c r="E26" s="63">
        <v>2.297690448587519E-2</v>
      </c>
      <c r="F26" s="63">
        <f>MAX(E26-2%,0)</f>
        <v>2.9769044858751897E-3</v>
      </c>
      <c r="G26" s="63">
        <f>E26+2%</f>
        <v>4.2976904485875191E-2</v>
      </c>
      <c r="H26" s="16">
        <f>ROUNDUP(E26/C26,0)</f>
        <v>2</v>
      </c>
      <c r="I26" s="33">
        <f>SUMIF(Output!$E:$E,"="&amp;Menu!$B26,Output!V:V)</f>
        <v>4.0000000000000001E-3</v>
      </c>
      <c r="J26" s="33">
        <f>SUMIF(Output!$E:$E,"="&amp;Menu!$B26,Output!W:W)</f>
        <v>0.01</v>
      </c>
      <c r="K26" s="27" t="str">
        <f>IF(OR(J26&lt;F26,I26&gt;G26),"!! KO !!", "OK")</f>
        <v>OK</v>
      </c>
      <c r="L26" s="27"/>
      <c r="M26" s="27"/>
    </row>
    <row r="27" spans="1:16" x14ac:dyDescent="0.25">
      <c r="A27" s="6">
        <v>2</v>
      </c>
      <c r="B27" s="14" t="s">
        <v>85</v>
      </c>
      <c r="C27" s="63">
        <v>0.01</v>
      </c>
      <c r="D27" s="51" t="s">
        <v>4136</v>
      </c>
      <c r="E27" s="63">
        <v>5.7608733429614964E-2</v>
      </c>
      <c r="F27" s="50">
        <f>MAX(E27+0.5%,0)</f>
        <v>6.2608733429614968E-2</v>
      </c>
      <c r="G27" s="50">
        <f t="shared" ref="G27:G44" si="4">E27+2%</f>
        <v>7.7608733429614968E-2</v>
      </c>
      <c r="H27" s="16">
        <f t="shared" ref="H27:H44" si="5">ROUNDUP(E27/C27,0)</f>
        <v>6</v>
      </c>
      <c r="I27" s="33">
        <f>SUMIF(Output!$E:$E,"="&amp;Menu!$B27,Output!V:V)</f>
        <v>2.700000000000001E-2</v>
      </c>
      <c r="J27" s="33">
        <f>SUMIF(Output!$E:$E,"="&amp;Menu!$B27,Output!W:W)</f>
        <v>8.7500000000000022E-2</v>
      </c>
      <c r="K27" s="27" t="str">
        <f t="shared" ref="K27:K44" si="6">IF(OR(J27&lt;F27,I27&gt;G27),"!! KO !!", "OK")</f>
        <v>OK</v>
      </c>
      <c r="L27" s="27"/>
      <c r="M27" s="27"/>
    </row>
    <row r="28" spans="1:16" x14ac:dyDescent="0.25">
      <c r="A28" s="6">
        <v>3</v>
      </c>
      <c r="B28" s="14" t="s">
        <v>86</v>
      </c>
      <c r="C28" s="63">
        <v>0.01</v>
      </c>
      <c r="D28" s="64" t="s">
        <v>496</v>
      </c>
      <c r="E28" s="63">
        <v>1.5687025058634136E-2</v>
      </c>
      <c r="F28" s="63">
        <f t="shared" ref="F28:F44" si="7">MAX(E28-2%,0)</f>
        <v>0</v>
      </c>
      <c r="G28" s="63">
        <f t="shared" si="4"/>
        <v>3.5687025058634136E-2</v>
      </c>
      <c r="H28" s="16">
        <f t="shared" si="5"/>
        <v>2</v>
      </c>
      <c r="I28" s="33">
        <f>SUMIF(Output!$E:$E,"="&amp;Menu!$B28,Output!V:V)</f>
        <v>4.0000000000000001E-3</v>
      </c>
      <c r="J28" s="33">
        <f>SUMIF(Output!$E:$E,"="&amp;Menu!$B28,Output!W:W)</f>
        <v>1.2500000000000001E-2</v>
      </c>
      <c r="K28" s="27" t="str">
        <f t="shared" si="6"/>
        <v>OK</v>
      </c>
      <c r="L28" s="27"/>
      <c r="M28" s="27"/>
    </row>
    <row r="29" spans="1:16" x14ac:dyDescent="0.25">
      <c r="A29" s="6">
        <v>4</v>
      </c>
      <c r="B29" s="14" t="s">
        <v>87</v>
      </c>
      <c r="C29" s="63">
        <v>0.01</v>
      </c>
      <c r="D29" s="64" t="s">
        <v>496</v>
      </c>
      <c r="E29" s="63">
        <v>1.5465979623141935E-2</v>
      </c>
      <c r="F29" s="63">
        <f>MAX(E29-0.5%,0)</f>
        <v>1.0465979623141934E-2</v>
      </c>
      <c r="G29" s="63">
        <f t="shared" si="4"/>
        <v>3.5465979623141936E-2</v>
      </c>
      <c r="H29" s="16">
        <f t="shared" si="5"/>
        <v>2</v>
      </c>
      <c r="I29" s="33">
        <f>SUMIF(Output!$E:$E,"="&amp;Menu!$B29,Output!V:V)</f>
        <v>4.0000000000000001E-3</v>
      </c>
      <c r="J29" s="33">
        <f>SUMIF(Output!$E:$E,"="&amp;Menu!$B29,Output!W:W)</f>
        <v>1.4999999999999999E-2</v>
      </c>
      <c r="K29" s="27" t="str">
        <f t="shared" si="6"/>
        <v>OK</v>
      </c>
      <c r="L29" s="27"/>
      <c r="M29" s="27"/>
    </row>
    <row r="30" spans="1:16" x14ac:dyDescent="0.25">
      <c r="A30" s="6">
        <v>5</v>
      </c>
      <c r="B30" s="14" t="s">
        <v>88</v>
      </c>
      <c r="C30" s="63">
        <v>1.2E-2</v>
      </c>
      <c r="D30" s="64" t="s">
        <v>496</v>
      </c>
      <c r="E30" s="63">
        <v>1.3151267130795194E-2</v>
      </c>
      <c r="F30" s="63">
        <f>MAX(E30-0.5%,0)</f>
        <v>8.1512671307951944E-3</v>
      </c>
      <c r="G30" s="63">
        <f t="shared" si="4"/>
        <v>3.3151267130795192E-2</v>
      </c>
      <c r="H30" s="16">
        <f t="shared" si="5"/>
        <v>2</v>
      </c>
      <c r="I30" s="33">
        <f>SUMIF(Output!$E:$E,"="&amp;Menu!$B30,Output!V:V)</f>
        <v>6.0000000000000001E-3</v>
      </c>
      <c r="J30" s="33">
        <f>SUMIF(Output!$E:$E,"="&amp;Menu!$B30,Output!W:W)</f>
        <v>2.75E-2</v>
      </c>
      <c r="K30" s="27" t="str">
        <f t="shared" si="6"/>
        <v>OK</v>
      </c>
      <c r="L30" s="27"/>
      <c r="M30" s="27"/>
    </row>
    <row r="31" spans="1:16" x14ac:dyDescent="0.25">
      <c r="A31" s="6">
        <v>6</v>
      </c>
      <c r="B31" s="14" t="s">
        <v>89</v>
      </c>
      <c r="C31" s="63">
        <v>0.01</v>
      </c>
      <c r="D31" s="51" t="s">
        <v>4136</v>
      </c>
      <c r="E31" s="63">
        <v>4.3315411262187957E-2</v>
      </c>
      <c r="F31" s="50">
        <f>MAX(E31+0.5%,0)</f>
        <v>4.8315411262187954E-2</v>
      </c>
      <c r="G31" s="50">
        <f t="shared" si="4"/>
        <v>6.3315411262187954E-2</v>
      </c>
      <c r="H31" s="16">
        <f t="shared" si="5"/>
        <v>5</v>
      </c>
      <c r="I31" s="33">
        <f>SUMIF(Output!$E:$E,"="&amp;Menu!$B31,Output!V:V)</f>
        <v>1.8000000000000002E-2</v>
      </c>
      <c r="J31" s="33">
        <f>SUMIF(Output!$E:$E,"="&amp;Menu!$B31,Output!W:W)</f>
        <v>6.25E-2</v>
      </c>
      <c r="K31" s="27" t="str">
        <f t="shared" si="6"/>
        <v>OK</v>
      </c>
      <c r="L31" s="27"/>
      <c r="M31" s="27"/>
    </row>
    <row r="32" spans="1:16" x14ac:dyDescent="0.25">
      <c r="A32" s="6">
        <v>7</v>
      </c>
      <c r="B32" s="19" t="s">
        <v>90</v>
      </c>
      <c r="C32" s="63">
        <v>0.01</v>
      </c>
      <c r="D32" s="64" t="s">
        <v>496</v>
      </c>
      <c r="E32" s="63">
        <v>3.3411927904003783E-2</v>
      </c>
      <c r="F32" s="63">
        <f t="shared" si="7"/>
        <v>1.3411927904003782E-2</v>
      </c>
      <c r="G32" s="63">
        <f t="shared" si="4"/>
        <v>5.3411927904003786E-2</v>
      </c>
      <c r="H32" s="16">
        <f t="shared" si="5"/>
        <v>4</v>
      </c>
      <c r="I32" s="33">
        <f>SUMIF(Output!$E:$E,"="&amp;Menu!$B32,Output!V:V)</f>
        <v>8.0000000000000002E-3</v>
      </c>
      <c r="J32" s="33">
        <f>SUMIF(Output!$E:$E,"="&amp;Menu!$B32,Output!W:W)</f>
        <v>2.75E-2</v>
      </c>
      <c r="K32" s="27" t="str">
        <f t="shared" si="6"/>
        <v>OK</v>
      </c>
      <c r="L32" s="27"/>
      <c r="M32" s="27"/>
    </row>
    <row r="33" spans="1:13" x14ac:dyDescent="0.25">
      <c r="A33" s="6">
        <v>8</v>
      </c>
      <c r="B33" s="19" t="s">
        <v>91</v>
      </c>
      <c r="C33" s="63">
        <v>0.01</v>
      </c>
      <c r="D33" s="51" t="s">
        <v>4136</v>
      </c>
      <c r="E33" s="63">
        <v>0.11693679274323548</v>
      </c>
      <c r="F33" s="50">
        <f>MAX(E33+1%,0)</f>
        <v>0.12693679274323549</v>
      </c>
      <c r="G33" s="50">
        <f>E33+2%</f>
        <v>0.13693679274323547</v>
      </c>
      <c r="H33" s="16">
        <f t="shared" si="5"/>
        <v>12</v>
      </c>
      <c r="I33" s="33">
        <f>SUMIF(Output!$E:$E,"="&amp;Menu!$B33,Output!V:V)</f>
        <v>6.8000000000000005E-2</v>
      </c>
      <c r="J33" s="33">
        <f>SUMIF(Output!$E:$E,"="&amp;Menu!$B33,Output!W:W)</f>
        <v>0.31750000000000006</v>
      </c>
      <c r="K33" s="27" t="str">
        <f t="shared" si="6"/>
        <v>OK</v>
      </c>
      <c r="L33" s="27"/>
      <c r="M33" s="27"/>
    </row>
    <row r="34" spans="1:13" x14ac:dyDescent="0.25">
      <c r="A34" s="6">
        <v>9</v>
      </c>
      <c r="B34" s="19" t="s">
        <v>92</v>
      </c>
      <c r="C34" s="63">
        <v>1.0999999999999999E-2</v>
      </c>
      <c r="D34" s="64" t="s">
        <v>496</v>
      </c>
      <c r="E34" s="63">
        <v>0.12558882458855272</v>
      </c>
      <c r="F34" s="63">
        <f>MAX(E34-1%,0)</f>
        <v>0.11558882458855273</v>
      </c>
      <c r="G34" s="63">
        <f t="shared" si="4"/>
        <v>0.14558882458855271</v>
      </c>
      <c r="H34" s="16">
        <f t="shared" si="5"/>
        <v>12</v>
      </c>
      <c r="I34" s="33">
        <f>SUMIF(Output!$E:$E,"="&amp;Menu!$B34,Output!V:V)</f>
        <v>3.800000000000002E-2</v>
      </c>
      <c r="J34" s="33">
        <f>SUMIF(Output!$E:$E,"="&amp;Menu!$B34,Output!W:W)</f>
        <v>0.16250000000000003</v>
      </c>
      <c r="K34" s="27" t="str">
        <f t="shared" si="6"/>
        <v>OK</v>
      </c>
      <c r="L34" s="27"/>
      <c r="M34" s="27"/>
    </row>
    <row r="35" spans="1:13" x14ac:dyDescent="0.25">
      <c r="A35" s="6">
        <v>10</v>
      </c>
      <c r="B35" s="19" t="s">
        <v>93</v>
      </c>
      <c r="C35" s="63">
        <v>0.01</v>
      </c>
      <c r="D35" s="51" t="s">
        <v>4136</v>
      </c>
      <c r="E35" s="63">
        <v>3.1646897808972688E-2</v>
      </c>
      <c r="F35" s="50">
        <f>MAX(E35,0)</f>
        <v>3.1646897808972688E-2</v>
      </c>
      <c r="G35" s="50">
        <f t="shared" si="4"/>
        <v>5.1646897808972692E-2</v>
      </c>
      <c r="H35" s="16">
        <f t="shared" si="5"/>
        <v>4</v>
      </c>
      <c r="I35" s="33">
        <f>SUMIF(Output!$E:$E,"="&amp;Menu!$B35,Output!V:V)</f>
        <v>0.01</v>
      </c>
      <c r="J35" s="33">
        <f>SUMIF(Output!$E:$E,"="&amp;Menu!$B35,Output!W:W)</f>
        <v>3.2500000000000001E-2</v>
      </c>
      <c r="K35" s="27" t="str">
        <f t="shared" si="6"/>
        <v>OK</v>
      </c>
      <c r="L35" s="27"/>
      <c r="M35" s="27"/>
    </row>
    <row r="36" spans="1:13" x14ac:dyDescent="0.25">
      <c r="A36" s="6">
        <v>11</v>
      </c>
      <c r="B36" s="19" t="s">
        <v>94</v>
      </c>
      <c r="C36" s="63">
        <v>0.01</v>
      </c>
      <c r="D36" s="64" t="s">
        <v>496</v>
      </c>
      <c r="E36" s="63">
        <v>1.4143101638711309E-2</v>
      </c>
      <c r="F36" s="63">
        <f t="shared" si="7"/>
        <v>0</v>
      </c>
      <c r="G36" s="63">
        <f t="shared" si="4"/>
        <v>3.4143101638711308E-2</v>
      </c>
      <c r="H36" s="16">
        <f t="shared" si="5"/>
        <v>2</v>
      </c>
      <c r="I36" s="33">
        <f>SUMIF(Output!$E:$E,"="&amp;Menu!$B36,Output!V:V)</f>
        <v>4.0000000000000001E-3</v>
      </c>
      <c r="J36" s="33">
        <f>SUMIF(Output!$E:$E,"="&amp;Menu!$B36,Output!W:W)</f>
        <v>1.2500000000000001E-2</v>
      </c>
      <c r="K36" s="27" t="str">
        <f t="shared" si="6"/>
        <v>OK</v>
      </c>
      <c r="L36" s="27"/>
      <c r="M36" s="27"/>
    </row>
    <row r="37" spans="1:13" x14ac:dyDescent="0.25">
      <c r="A37" s="6">
        <v>12</v>
      </c>
      <c r="B37" s="19" t="s">
        <v>95</v>
      </c>
      <c r="C37" s="63">
        <v>0.01</v>
      </c>
      <c r="D37" s="64" t="s">
        <v>496</v>
      </c>
      <c r="E37" s="63">
        <v>4.7506650181630562E-2</v>
      </c>
      <c r="F37" s="63">
        <f>MAX(E37-0.5%,0)</f>
        <v>4.2506650181630565E-2</v>
      </c>
      <c r="G37" s="63">
        <f t="shared" si="4"/>
        <v>6.7506650181630559E-2</v>
      </c>
      <c r="H37" s="16">
        <f t="shared" si="5"/>
        <v>5</v>
      </c>
      <c r="I37" s="33">
        <f>SUMIF(Output!$E:$E,"="&amp;Menu!$B37,Output!V:V)</f>
        <v>1.8000000000000002E-2</v>
      </c>
      <c r="J37" s="33">
        <f>SUMIF(Output!$E:$E,"="&amp;Menu!$B37,Output!W:W)</f>
        <v>4.4999999999999998E-2</v>
      </c>
      <c r="K37" s="27" t="str">
        <f t="shared" si="6"/>
        <v>OK</v>
      </c>
      <c r="L37" s="27"/>
      <c r="M37" s="27"/>
    </row>
    <row r="38" spans="1:13" x14ac:dyDescent="0.25">
      <c r="A38" s="6">
        <v>13</v>
      </c>
      <c r="B38" s="19" t="s">
        <v>96</v>
      </c>
      <c r="C38" s="63">
        <v>1.2E-2</v>
      </c>
      <c r="D38" s="64" t="s">
        <v>496</v>
      </c>
      <c r="E38" s="63">
        <v>2.9745306448684766E-2</v>
      </c>
      <c r="F38" s="63">
        <f>MAX(E38-1%,0)</f>
        <v>1.9745306448684767E-2</v>
      </c>
      <c r="G38" s="63">
        <f t="shared" si="4"/>
        <v>4.9745306448684766E-2</v>
      </c>
      <c r="H38" s="16">
        <f t="shared" si="5"/>
        <v>3</v>
      </c>
      <c r="I38" s="33">
        <f>SUMIF(Output!$E:$E,"="&amp;Menu!$B38,Output!V:V)</f>
        <v>6.0000000000000001E-3</v>
      </c>
      <c r="J38" s="33">
        <f>SUMIF(Output!$E:$E,"="&amp;Menu!$B38,Output!W:W)</f>
        <v>2.75E-2</v>
      </c>
      <c r="K38" s="27" t="str">
        <f t="shared" si="6"/>
        <v>OK</v>
      </c>
      <c r="L38" s="27"/>
      <c r="M38" s="27"/>
    </row>
    <row r="39" spans="1:13" x14ac:dyDescent="0.25">
      <c r="A39" s="6">
        <v>14</v>
      </c>
      <c r="B39" s="19" t="s">
        <v>97</v>
      </c>
      <c r="C39" s="63">
        <v>0.01</v>
      </c>
      <c r="D39" s="64" t="s">
        <v>496</v>
      </c>
      <c r="E39" s="63">
        <v>2.2332719390786637E-2</v>
      </c>
      <c r="F39" s="63">
        <f t="shared" si="7"/>
        <v>2.3327193907866361E-3</v>
      </c>
      <c r="G39" s="63">
        <f t="shared" si="4"/>
        <v>4.2332719390786637E-2</v>
      </c>
      <c r="H39" s="16">
        <f t="shared" si="5"/>
        <v>3</v>
      </c>
      <c r="I39" s="33">
        <f>SUMIF(Output!$E:$E,"="&amp;Menu!$B39,Output!V:V)</f>
        <v>6.0000000000000001E-3</v>
      </c>
      <c r="J39" s="33">
        <f>SUMIF(Output!$E:$E,"="&amp;Menu!$B39,Output!W:W)</f>
        <v>2.2499999999999999E-2</v>
      </c>
      <c r="K39" s="27" t="str">
        <f t="shared" si="6"/>
        <v>OK</v>
      </c>
      <c r="L39" s="27"/>
      <c r="M39" s="27"/>
    </row>
    <row r="40" spans="1:13" x14ac:dyDescent="0.25">
      <c r="A40" s="6">
        <v>15</v>
      </c>
      <c r="B40" s="19" t="s">
        <v>98</v>
      </c>
      <c r="C40" s="63">
        <v>1.0999999999999999E-2</v>
      </c>
      <c r="D40" s="64" t="s">
        <v>496</v>
      </c>
      <c r="E40" s="63">
        <v>6.6886361525725135E-2</v>
      </c>
      <c r="F40" s="63">
        <f>MAX(E40-1%,0)</f>
        <v>5.6886361525725133E-2</v>
      </c>
      <c r="G40" s="63">
        <f t="shared" si="4"/>
        <v>8.6886361525725139E-2</v>
      </c>
      <c r="H40" s="16">
        <f t="shared" si="5"/>
        <v>7</v>
      </c>
      <c r="I40" s="33">
        <f>SUMIF(Output!$E:$E,"="&amp;Menu!$B40,Output!V:V)</f>
        <v>2.4000000000000007E-2</v>
      </c>
      <c r="J40" s="33">
        <f>SUMIF(Output!$E:$E,"="&amp;Menu!$B40,Output!W:W)</f>
        <v>8.0000000000000016E-2</v>
      </c>
      <c r="K40" s="27" t="str">
        <f t="shared" si="6"/>
        <v>OK</v>
      </c>
      <c r="L40" s="27"/>
      <c r="M40" s="27"/>
    </row>
    <row r="41" spans="1:13" x14ac:dyDescent="0.25">
      <c r="A41" s="6">
        <v>16</v>
      </c>
      <c r="B41" s="19" t="s">
        <v>99</v>
      </c>
      <c r="C41" s="63">
        <v>1.4999999999999999E-2</v>
      </c>
      <c r="D41" s="64" t="s">
        <v>496</v>
      </c>
      <c r="E41" s="63">
        <v>0.27532630312040712</v>
      </c>
      <c r="F41" s="63">
        <f>MAX(E41,0)</f>
        <v>0.27532630312040712</v>
      </c>
      <c r="G41" s="63">
        <f t="shared" si="4"/>
        <v>0.29532630312040714</v>
      </c>
      <c r="H41" s="16">
        <f t="shared" si="5"/>
        <v>19</v>
      </c>
      <c r="I41" s="33">
        <f>SUMIF(Output!$E:$E,"="&amp;Menu!$B41,Output!V:V)</f>
        <v>0.14342827530477112</v>
      </c>
      <c r="J41" s="33">
        <f>SUMIF(Output!$E:$E,"="&amp;Menu!$B41,Output!W:W)</f>
        <v>0.3625000000000001</v>
      </c>
      <c r="K41" s="27" t="str">
        <f t="shared" si="6"/>
        <v>OK</v>
      </c>
      <c r="L41" s="27"/>
      <c r="M41" s="27"/>
    </row>
    <row r="42" spans="1:13" x14ac:dyDescent="0.25">
      <c r="A42" s="6">
        <v>17</v>
      </c>
      <c r="B42" s="19" t="s">
        <v>100</v>
      </c>
      <c r="C42" s="63">
        <v>5.0000000000000001E-3</v>
      </c>
      <c r="D42" s="64" t="s">
        <v>496</v>
      </c>
      <c r="E42" s="63">
        <v>2.2952622439854489E-2</v>
      </c>
      <c r="F42" s="63">
        <f>MAX(E42-1%,0)</f>
        <v>1.2952622439854488E-2</v>
      </c>
      <c r="G42" s="63">
        <f>E42+1%</f>
        <v>3.2952622439854487E-2</v>
      </c>
      <c r="H42" s="16">
        <f t="shared" si="5"/>
        <v>5</v>
      </c>
      <c r="I42" s="33">
        <f>SUMIF(Output!$E:$E,"="&amp;Menu!$B42,Output!V:V)</f>
        <v>1.6E-2</v>
      </c>
      <c r="J42" s="33">
        <f>SUMIF(Output!$E:$E,"="&amp;Menu!$B42,Output!W:W)</f>
        <v>6.25E-2</v>
      </c>
      <c r="K42" s="27" t="str">
        <f t="shared" si="6"/>
        <v>OK</v>
      </c>
      <c r="L42" s="27"/>
      <c r="M42" s="27"/>
    </row>
    <row r="43" spans="1:13" x14ac:dyDescent="0.25">
      <c r="A43" s="6">
        <v>18</v>
      </c>
      <c r="B43" s="19" t="s">
        <v>101</v>
      </c>
      <c r="C43" s="63">
        <v>0.01</v>
      </c>
      <c r="D43" s="64" t="s">
        <v>496</v>
      </c>
      <c r="E43" s="63">
        <v>1.8591378058319619E-2</v>
      </c>
      <c r="F43" s="63">
        <f t="shared" si="7"/>
        <v>0</v>
      </c>
      <c r="G43" s="63">
        <f t="shared" si="4"/>
        <v>3.8591378058319623E-2</v>
      </c>
      <c r="H43" s="16">
        <f t="shared" si="5"/>
        <v>2</v>
      </c>
      <c r="I43" s="33">
        <f>SUMIF(Output!$E:$E,"="&amp;Menu!$B43,Output!V:V)</f>
        <v>4.0000000000000001E-3</v>
      </c>
      <c r="J43" s="33">
        <f>SUMIF(Output!$E:$E,"="&amp;Menu!$B43,Output!W:W)</f>
        <v>1.2500000000000001E-2</v>
      </c>
      <c r="K43" s="27" t="str">
        <f t="shared" si="6"/>
        <v>OK</v>
      </c>
      <c r="L43" s="27"/>
      <c r="M43" s="27"/>
    </row>
    <row r="44" spans="1:13" x14ac:dyDescent="0.25">
      <c r="A44" s="6">
        <v>19</v>
      </c>
      <c r="B44" s="19" t="s">
        <v>102</v>
      </c>
      <c r="C44" s="63">
        <v>6.0000000000000001E-3</v>
      </c>
      <c r="D44" s="64" t="s">
        <v>496</v>
      </c>
      <c r="E44" s="63">
        <v>2.6725793160866332E-2</v>
      </c>
      <c r="F44" s="63">
        <f t="shared" si="7"/>
        <v>6.7257931608663314E-3</v>
      </c>
      <c r="G44" s="63">
        <f t="shared" si="4"/>
        <v>4.6725793160866336E-2</v>
      </c>
      <c r="H44" s="16">
        <f t="shared" si="5"/>
        <v>5</v>
      </c>
      <c r="I44" s="33">
        <f>SUMIF(Output!$E:$E,"="&amp;Menu!$B44,Output!V:V)</f>
        <v>0.01</v>
      </c>
      <c r="J44" s="33">
        <f>SUMIF(Output!$E:$E,"="&amp;Menu!$B44,Output!W:W)</f>
        <v>0.04</v>
      </c>
      <c r="K44" s="27" t="str">
        <f t="shared" si="6"/>
        <v>OK</v>
      </c>
      <c r="L44" s="27"/>
      <c r="M44" s="27"/>
    </row>
    <row r="46" spans="1:13" x14ac:dyDescent="0.25">
      <c r="A46" s="37"/>
    </row>
    <row r="47" spans="1:13" x14ac:dyDescent="0.25">
      <c r="A47" s="37"/>
    </row>
    <row r="48" spans="1:13" x14ac:dyDescent="0.25">
      <c r="A48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</sheetData>
  <mergeCells count="8">
    <mergeCell ref="Q1:Q2"/>
    <mergeCell ref="Q4:Q5"/>
    <mergeCell ref="A1:B1"/>
    <mergeCell ref="F16:H16"/>
    <mergeCell ref="M1:N1"/>
    <mergeCell ref="D1:E1"/>
    <mergeCell ref="G1:H1"/>
    <mergeCell ref="J1:K1"/>
  </mergeCells>
  <phoneticPr fontId="8" type="noConversion"/>
  <conditionalFormatting sqref="K26:K44">
    <cfRule type="containsText" dxfId="9" priority="5" operator="containsText" text="KO">
      <formula>NOT(ISERROR(SEARCH("KO",K26)))</formula>
    </cfRule>
    <cfRule type="containsText" dxfId="8" priority="6" operator="containsText" text="OK">
      <formula>NOT(ISERROR(SEARCH("OK",K26)))</formula>
    </cfRule>
  </conditionalFormatting>
  <conditionalFormatting sqref="P18:P23">
    <cfRule type="containsText" dxfId="7" priority="1" operator="containsText" text="KO">
      <formula>NOT(ISERROR(SEARCH("KO",P18)))</formula>
    </cfRule>
    <cfRule type="containsText" dxfId="6" priority="2" operator="containsText" text="OK">
      <formula>NOT(ISERROR(SEARCH("OK",P18)))</formula>
    </cfRule>
  </conditionalFormatting>
  <hyperlinks>
    <hyperlink ref="B9" r:id="rId1" xr:uid="{273B3538-D438-4235-908F-E0F6AE7D7564}"/>
    <hyperlink ref="B10" r:id="rId2" xr:uid="{D8602F60-E0D2-4836-A12C-A2CB5941B50F}"/>
    <hyperlink ref="B15" r:id="rId3" xr:uid="{9AC3EEF4-E82C-436D-8865-0447E7EB5970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ench_weights">
                <anchor moveWithCells="1" sizeWithCells="1">
                  <from>
                    <xdr:col>17</xdr:col>
                    <xdr:colOff>0</xdr:colOff>
                    <xdr:row>0</xdr:row>
                    <xdr:rowOff>19050</xdr:rowOff>
                  </from>
                  <to>
                    <xdr:col>18</xdr:col>
                    <xdr:colOff>723900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sec_list">
                <anchor moveWithCells="1" sizeWithCells="1">
                  <from>
                    <xdr:col>17</xdr:col>
                    <xdr:colOff>0</xdr:colOff>
                    <xdr:row>1</xdr:row>
                    <xdr:rowOff>342900</xdr:rowOff>
                  </from>
                  <to>
                    <xdr:col>18</xdr:col>
                    <xdr:colOff>723900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optim">
                <anchor moveWithCells="1" sizeWithCells="1">
                  <from>
                    <xdr:col>17</xdr:col>
                    <xdr:colOff>0</xdr:colOff>
                    <xdr:row>3</xdr:row>
                    <xdr:rowOff>114300</xdr:rowOff>
                  </from>
                  <to>
                    <xdr:col>18</xdr:col>
                    <xdr:colOff>723900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A5DFBA-A78D-4E5C-B216-02EC87F72EFC}">
          <x14:formula1>
            <xm:f>'Liste params'!$A$2:$A$62</xm:f>
          </x14:formula1>
          <xm:sqref>D2:D4 J2:J8 G2:G6 B2</xm:sqref>
        </x14:dataValidation>
        <x14:dataValidation type="list" allowBlank="1" showInputMessage="1" showErrorMessage="1" xr:uid="{C9618A89-B2DF-4B8F-9A20-2DF00EFD9CCB}">
          <x14:formula1>
            <xm:f>'Liste params'!$C$2:$C$4</xm:f>
          </x14:formula1>
          <xm:sqref>B14</xm:sqref>
        </x14:dataValidation>
        <x14:dataValidation type="list" allowBlank="1" showInputMessage="1" showErrorMessage="1" xr:uid="{EA5B8D31-199D-4373-96FB-5105157116B0}">
          <x14:formula1>
            <xm:f>'Liste params'!$B$2:$B$4</xm:f>
          </x14:formula1>
          <xm:sqref>B13:D13</xm:sqref>
        </x14:dataValidation>
        <x14:dataValidation type="list" allowBlank="1" showInputMessage="1" showErrorMessage="1" xr:uid="{FF117511-8EE7-4D08-B729-D52DA8F06703}">
          <x14:formula1>
            <xm:f>'Liste params'!$D$2:$D$3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CF28A-F334-4295-AF44-78C741A1982D}">
  <sheetPr codeName="Feuil3"/>
  <dimension ref="A1:Z2000"/>
  <sheetViews>
    <sheetView zoomScale="85" zoomScaleNormal="85" workbookViewId="0">
      <selection activeCell="B112" sqref="B112"/>
    </sheetView>
  </sheetViews>
  <sheetFormatPr baseColWidth="10" defaultColWidth="11" defaultRowHeight="15" x14ac:dyDescent="0.25"/>
  <cols>
    <col min="1" max="1" width="14.140625" style="21" bestFit="1" customWidth="1"/>
    <col min="2" max="2" width="44.7109375" style="25" bestFit="1" customWidth="1"/>
    <col min="3" max="3" width="17" style="21" bestFit="1" customWidth="1"/>
    <col min="4" max="4" width="12.28515625" style="21" bestFit="1" customWidth="1"/>
    <col min="5" max="5" width="18" style="21" customWidth="1"/>
    <col min="6" max="6" width="18" style="25" customWidth="1"/>
    <col min="7" max="12" width="18" style="21" customWidth="1"/>
    <col min="13" max="13" width="13.7109375" style="21" bestFit="1" customWidth="1"/>
    <col min="14" max="14" width="17.85546875" style="21" bestFit="1" customWidth="1"/>
    <col min="15" max="15" width="16.42578125" style="21" bestFit="1" customWidth="1"/>
    <col min="16" max="17" width="11.140625" style="21" bestFit="1" customWidth="1"/>
    <col min="18" max="18" width="9.7109375" style="21" bestFit="1" customWidth="1"/>
    <col min="19" max="19" width="6.28515625" style="21" bestFit="1" customWidth="1"/>
    <col min="20" max="20" width="11.42578125" style="21" customWidth="1"/>
    <col min="21" max="21" width="14.28515625" style="21" bestFit="1" customWidth="1"/>
    <col min="22" max="23" width="6.140625" style="21" bestFit="1" customWidth="1"/>
    <col min="24" max="24" width="5.42578125" style="24" bestFit="1" customWidth="1"/>
    <col min="25" max="16384" width="11" style="21"/>
  </cols>
  <sheetData>
    <row r="1" spans="1:26" s="3" customFormat="1" ht="36.75" customHeight="1" x14ac:dyDescent="0.25">
      <c r="A1" s="22" t="s">
        <v>259</v>
      </c>
      <c r="B1" s="22" t="s">
        <v>260</v>
      </c>
      <c r="C1" s="22" t="s">
        <v>261</v>
      </c>
      <c r="D1" s="22" t="s">
        <v>72</v>
      </c>
      <c r="E1" s="22" t="s">
        <v>262</v>
      </c>
      <c r="F1" s="23" t="s">
        <v>263</v>
      </c>
      <c r="G1" s="22" t="s">
        <v>264</v>
      </c>
      <c r="H1" s="22" t="s">
        <v>265</v>
      </c>
      <c r="I1" s="22" t="s">
        <v>266</v>
      </c>
      <c r="J1" s="22" t="s">
        <v>267</v>
      </c>
      <c r="K1" s="22" t="s">
        <v>268</v>
      </c>
      <c r="L1" s="23" t="s">
        <v>2784</v>
      </c>
      <c r="M1" s="23" t="s">
        <v>269</v>
      </c>
      <c r="N1" s="23" t="s">
        <v>800</v>
      </c>
      <c r="O1" s="23" t="s">
        <v>801</v>
      </c>
      <c r="P1" s="23" t="s">
        <v>802</v>
      </c>
      <c r="Q1" s="23" t="s">
        <v>803</v>
      </c>
      <c r="R1" s="23" t="s">
        <v>804</v>
      </c>
      <c r="S1" s="23" t="s">
        <v>805</v>
      </c>
      <c r="T1" s="23" t="s">
        <v>806</v>
      </c>
      <c r="U1" s="23" t="s">
        <v>807</v>
      </c>
      <c r="V1" s="23" t="s">
        <v>808</v>
      </c>
      <c r="W1" s="23" t="s">
        <v>809</v>
      </c>
      <c r="X1" s="23" t="s">
        <v>810</v>
      </c>
      <c r="Y1" s="23" t="s">
        <v>2791</v>
      </c>
    </row>
    <row r="2" spans="1:26" x14ac:dyDescent="0.25">
      <c r="A2" t="s">
        <v>175</v>
      </c>
      <c r="B2" s="25" t="s">
        <v>242</v>
      </c>
      <c r="C2" s="21" t="s">
        <v>244</v>
      </c>
      <c r="D2" s="21" t="s">
        <v>73</v>
      </c>
      <c r="E2" s="21" t="s">
        <v>99</v>
      </c>
      <c r="F2" s="26">
        <v>4.9999999999999947E-2</v>
      </c>
      <c r="G2" s="24">
        <v>8.0827829999999992</v>
      </c>
      <c r="H2" s="24">
        <v>4.9693719999999999</v>
      </c>
      <c r="I2" s="24">
        <v>7.117032</v>
      </c>
      <c r="J2" s="24">
        <v>6.7230629999999998</v>
      </c>
      <c r="K2" s="24">
        <v>0.69897489999999995</v>
      </c>
      <c r="L2" s="24">
        <v>3.4694189999999998</v>
      </c>
      <c r="M2" s="24">
        <v>34.344799999999999</v>
      </c>
      <c r="N2" s="24">
        <v>8.5023676797448822</v>
      </c>
      <c r="O2" s="24">
        <v>8.0208333333333339</v>
      </c>
      <c r="P2" s="24">
        <v>7.3134328358208958</v>
      </c>
      <c r="Q2" s="24">
        <v>2.86140071379912</v>
      </c>
      <c r="R2" s="24">
        <v>7.18</v>
      </c>
      <c r="S2" s="24">
        <v>6.4463681913800599</v>
      </c>
      <c r="T2" s="21">
        <v>1</v>
      </c>
      <c r="U2" s="21" t="s">
        <v>4120</v>
      </c>
      <c r="V2" s="41">
        <v>3.0904144166385209E-2</v>
      </c>
      <c r="W2" s="41">
        <v>0.05</v>
      </c>
      <c r="X2" s="24">
        <v>1.3272061586536112</v>
      </c>
      <c r="Y2" s="21" t="s">
        <v>2890</v>
      </c>
      <c r="Z2"/>
    </row>
    <row r="3" spans="1:26" x14ac:dyDescent="0.25">
      <c r="A3" t="s">
        <v>2767</v>
      </c>
      <c r="B3" s="25" t="s">
        <v>2768</v>
      </c>
      <c r="C3" s="21" t="s">
        <v>244</v>
      </c>
      <c r="D3" s="21" t="s">
        <v>73</v>
      </c>
      <c r="E3" s="21" t="s">
        <v>99</v>
      </c>
      <c r="F3" s="26">
        <v>0.04</v>
      </c>
      <c r="G3" s="24">
        <v>4.7170480000000001</v>
      </c>
      <c r="H3" s="24">
        <v>5.965865</v>
      </c>
      <c r="I3" s="24">
        <v>4.5843350000000003</v>
      </c>
      <c r="J3" s="24">
        <v>5.0518789999999996</v>
      </c>
      <c r="K3" s="24">
        <v>1.9858540000000001E-2</v>
      </c>
      <c r="L3" s="24">
        <v>4.1455019999999996</v>
      </c>
      <c r="M3" s="24">
        <v>10.059100000000001</v>
      </c>
      <c r="N3" s="24">
        <v>9.9546175970495341</v>
      </c>
      <c r="O3" s="24">
        <v>10</v>
      </c>
      <c r="P3" s="24">
        <v>9.4626865671641802</v>
      </c>
      <c r="Q3" s="24">
        <v>1.5554144297630466</v>
      </c>
      <c r="R3" s="24">
        <v>5.58</v>
      </c>
      <c r="S3" s="24">
        <v>5.9948602056051046</v>
      </c>
      <c r="T3" s="21">
        <v>1</v>
      </c>
      <c r="U3" s="21" t="s">
        <v>4120</v>
      </c>
      <c r="V3" s="41">
        <v>2.2946803737327031E-2</v>
      </c>
      <c r="W3" s="41">
        <v>0.04</v>
      </c>
      <c r="X3" s="24">
        <v>2.6407880558285886</v>
      </c>
      <c r="Y3" s="21" t="s">
        <v>4112</v>
      </c>
      <c r="Z3"/>
    </row>
    <row r="4" spans="1:26" x14ac:dyDescent="0.25">
      <c r="A4" t="s">
        <v>798</v>
      </c>
      <c r="B4" s="25" t="s">
        <v>799</v>
      </c>
      <c r="C4" s="21" t="s">
        <v>244</v>
      </c>
      <c r="D4" s="21" t="s">
        <v>73</v>
      </c>
      <c r="E4" s="21" t="s">
        <v>99</v>
      </c>
      <c r="F4" s="26">
        <v>3.9999999999999813E-2</v>
      </c>
      <c r="G4" s="24">
        <v>7.317037</v>
      </c>
      <c r="H4" s="24">
        <v>4.2906469999999999</v>
      </c>
      <c r="I4" s="24">
        <v>6.1725789999999998</v>
      </c>
      <c r="J4" s="24">
        <v>5.6486980000000004</v>
      </c>
      <c r="K4" s="24">
        <v>0</v>
      </c>
      <c r="L4" s="24">
        <v>4.9939859999999996</v>
      </c>
      <c r="M4" s="24">
        <v>29.228000000000002</v>
      </c>
      <c r="N4" s="24">
        <v>7.8906884680890652</v>
      </c>
      <c r="O4" s="24">
        <v>5.4166666666666679</v>
      </c>
      <c r="P4" s="24">
        <v>7.8805970149253728</v>
      </c>
      <c r="Q4" s="24">
        <v>6.3260831515154123</v>
      </c>
      <c r="R4" s="24" t="e">
        <v>#N/A</v>
      </c>
      <c r="S4" s="24">
        <v>6.2856279888580326</v>
      </c>
      <c r="T4" s="21">
        <v>1</v>
      </c>
      <c r="U4" s="21" t="s">
        <v>262</v>
      </c>
      <c r="V4" s="41">
        <v>1.7819960308132893E-2</v>
      </c>
      <c r="W4" s="41">
        <v>0.04</v>
      </c>
      <c r="X4" s="24">
        <v>1.4853424628241512</v>
      </c>
      <c r="Y4" s="21" t="s">
        <v>2888</v>
      </c>
      <c r="Z4"/>
    </row>
    <row r="5" spans="1:26" x14ac:dyDescent="0.25">
      <c r="A5" t="s">
        <v>2714</v>
      </c>
      <c r="B5" s="25" t="s">
        <v>2715</v>
      </c>
      <c r="C5" s="21" t="s">
        <v>244</v>
      </c>
      <c r="D5" s="21" t="s">
        <v>73</v>
      </c>
      <c r="E5" s="21" t="s">
        <v>91</v>
      </c>
      <c r="F5" s="26">
        <v>3.4999999999999941E-2</v>
      </c>
      <c r="G5" s="24">
        <v>7.8985269999999996</v>
      </c>
      <c r="H5" s="24">
        <v>7.7293950000000002</v>
      </c>
      <c r="I5" s="24">
        <v>7.4614649999999996</v>
      </c>
      <c r="J5" s="24">
        <v>7.6560490000000003</v>
      </c>
      <c r="K5" s="24">
        <v>3.0530919999999999</v>
      </c>
      <c r="L5" s="24">
        <v>6.9764679999999997</v>
      </c>
      <c r="M5" s="24">
        <v>11.9308</v>
      </c>
      <c r="N5" s="24">
        <v>6.0574051841648497</v>
      </c>
      <c r="O5" s="24">
        <v>3.4343434343434343</v>
      </c>
      <c r="P5" s="24">
        <v>7.7234927329584515</v>
      </c>
      <c r="Q5" s="24">
        <v>6.6192566147467824</v>
      </c>
      <c r="R5" s="24">
        <v>7.89</v>
      </c>
      <c r="S5" s="24">
        <v>7.5764047372207148</v>
      </c>
      <c r="T5" s="21">
        <v>0</v>
      </c>
      <c r="U5" s="21" t="s">
        <v>2790</v>
      </c>
      <c r="V5" s="41">
        <v>0.01</v>
      </c>
      <c r="W5" s="41">
        <v>3.5000000000000003E-2</v>
      </c>
      <c r="X5" s="24">
        <v>0.35831848799133986</v>
      </c>
      <c r="Y5" s="24" t="s">
        <v>4108</v>
      </c>
      <c r="Z5"/>
    </row>
    <row r="6" spans="1:26" x14ac:dyDescent="0.25">
      <c r="A6" s="54" t="s">
        <v>788</v>
      </c>
      <c r="B6" s="72" t="s">
        <v>789</v>
      </c>
      <c r="C6" s="62" t="s">
        <v>244</v>
      </c>
      <c r="D6" s="62" t="s">
        <v>73</v>
      </c>
      <c r="E6" s="62" t="s">
        <v>89</v>
      </c>
      <c r="F6" s="67">
        <v>3.499999999999992E-2</v>
      </c>
      <c r="G6" s="68">
        <v>5.7870850000000003</v>
      </c>
      <c r="H6" s="68">
        <v>7.3323219999999996</v>
      </c>
      <c r="I6" s="68">
        <v>5.546068</v>
      </c>
      <c r="J6" s="68">
        <v>6.2435619999999998</v>
      </c>
      <c r="K6" s="68">
        <v>2.5446270000000002</v>
      </c>
      <c r="L6" s="68">
        <v>5.0963320000000003</v>
      </c>
      <c r="M6" s="68">
        <v>1.3527</v>
      </c>
      <c r="N6" s="68">
        <v>7.4023437499999991</v>
      </c>
      <c r="O6" s="68">
        <v>7.9381443298969065</v>
      </c>
      <c r="P6" s="68">
        <v>7.5129533678756486</v>
      </c>
      <c r="Q6" s="68">
        <v>1.9787628665503953</v>
      </c>
      <c r="R6" s="68">
        <v>5.67</v>
      </c>
      <c r="S6" s="68">
        <v>4.8658134608637749</v>
      </c>
      <c r="T6" s="62">
        <v>0</v>
      </c>
      <c r="U6" s="62" t="s">
        <v>2790</v>
      </c>
      <c r="V6" s="71">
        <v>0.01</v>
      </c>
      <c r="W6" s="71">
        <v>3.5000000000000003E-2</v>
      </c>
      <c r="X6" s="68">
        <v>1.2551837651533886</v>
      </c>
      <c r="Y6" s="62" t="s">
        <v>3918</v>
      </c>
      <c r="Z6"/>
    </row>
    <row r="7" spans="1:26" x14ac:dyDescent="0.25">
      <c r="A7" s="62" t="s">
        <v>156</v>
      </c>
      <c r="B7" s="66" t="s">
        <v>223</v>
      </c>
      <c r="C7" s="62" t="s">
        <v>244</v>
      </c>
      <c r="D7" s="62" t="s">
        <v>73</v>
      </c>
      <c r="E7" s="62" t="s">
        <v>98</v>
      </c>
      <c r="F7" s="67">
        <v>3.4999999999999705E-2</v>
      </c>
      <c r="G7" s="62">
        <v>5.0996629999999996</v>
      </c>
      <c r="H7" s="62">
        <v>4.7137640000000003</v>
      </c>
      <c r="I7" s="62">
        <v>5.1610050000000003</v>
      </c>
      <c r="J7" s="62">
        <v>4.9698409999999997</v>
      </c>
      <c r="K7" s="68">
        <v>2.4493200000000002</v>
      </c>
      <c r="L7" s="68">
        <v>4.3534100000000002</v>
      </c>
      <c r="M7" s="68">
        <v>15.153700000000001</v>
      </c>
      <c r="N7" s="68">
        <v>5.295609002636656</v>
      </c>
      <c r="O7" s="68">
        <v>4.2857142857142856</v>
      </c>
      <c r="P7" s="68">
        <v>8.1520692902870824</v>
      </c>
      <c r="Q7" s="68">
        <v>3.5210135589235767</v>
      </c>
      <c r="R7" s="68">
        <v>7.68</v>
      </c>
      <c r="S7" s="68">
        <v>6.1608126302918205</v>
      </c>
      <c r="T7" s="62">
        <v>1</v>
      </c>
      <c r="U7" s="62" t="s">
        <v>262</v>
      </c>
      <c r="V7" s="71">
        <v>0.01</v>
      </c>
      <c r="W7" s="71">
        <v>3.5000000000000003E-2</v>
      </c>
      <c r="X7" s="68">
        <v>1.0992351751728471</v>
      </c>
      <c r="Y7" s="68" t="s">
        <v>2882</v>
      </c>
      <c r="Z7"/>
    </row>
    <row r="8" spans="1:26" x14ac:dyDescent="0.25">
      <c r="A8" t="s">
        <v>172</v>
      </c>
      <c r="B8" s="25" t="s">
        <v>239</v>
      </c>
      <c r="C8" s="21" t="s">
        <v>244</v>
      </c>
      <c r="D8" s="21" t="s">
        <v>73</v>
      </c>
      <c r="E8" s="21" t="s">
        <v>99</v>
      </c>
      <c r="F8" s="26">
        <v>3.0091835550148802E-2</v>
      </c>
      <c r="G8" s="24">
        <v>5.768777</v>
      </c>
      <c r="H8" s="24">
        <v>6.4530859999999999</v>
      </c>
      <c r="I8" s="24">
        <v>5.093102</v>
      </c>
      <c r="J8" s="24">
        <v>5.7713679999999998</v>
      </c>
      <c r="K8" s="24">
        <v>1.9543539999999999</v>
      </c>
      <c r="L8" s="24">
        <v>9.0234609999999993</v>
      </c>
      <c r="M8" s="24">
        <v>12.948700000000001</v>
      </c>
      <c r="N8" s="24">
        <v>7.0047365433888338</v>
      </c>
      <c r="O8" s="24">
        <v>6.8750000000000009</v>
      </c>
      <c r="P8" s="24">
        <v>6.7761194029850742</v>
      </c>
      <c r="Q8" s="24">
        <v>6.7443604309047531</v>
      </c>
      <c r="R8" s="24">
        <v>8.01</v>
      </c>
      <c r="S8" s="24">
        <v>7.2023838888012657</v>
      </c>
      <c r="T8" s="21">
        <v>0</v>
      </c>
      <c r="U8" s="21" t="s">
        <v>2790</v>
      </c>
      <c r="V8" s="41">
        <v>0.01</v>
      </c>
      <c r="W8" s="41">
        <v>3.5000000000000003E-2</v>
      </c>
      <c r="X8" s="24">
        <v>1.5814026383591617</v>
      </c>
      <c r="Y8" s="21" t="s">
        <v>2860</v>
      </c>
      <c r="Z8"/>
    </row>
    <row r="9" spans="1:26" x14ac:dyDescent="0.25">
      <c r="A9" t="s">
        <v>176</v>
      </c>
      <c r="B9" s="25" t="s">
        <v>243</v>
      </c>
      <c r="C9" s="21" t="s">
        <v>244</v>
      </c>
      <c r="D9" s="21" t="s">
        <v>73</v>
      </c>
      <c r="E9" s="21" t="s">
        <v>99</v>
      </c>
      <c r="F9" s="26">
        <v>2.5757367092925986E-2</v>
      </c>
      <c r="G9" s="24">
        <v>7.736173</v>
      </c>
      <c r="H9" s="24">
        <v>7.640193</v>
      </c>
      <c r="I9" s="24">
        <v>6.7326160000000002</v>
      </c>
      <c r="J9" s="24">
        <v>7.4063119999999998</v>
      </c>
      <c r="K9" s="24">
        <v>0.59873180000000004</v>
      </c>
      <c r="L9" s="24">
        <v>3.7733989999999999</v>
      </c>
      <c r="M9" s="24">
        <v>3.3879999999999999</v>
      </c>
      <c r="N9" s="24">
        <v>5.7537494675413932</v>
      </c>
      <c r="O9" s="24">
        <v>2.8125000000000004</v>
      </c>
      <c r="P9" s="24">
        <v>8.6268656716417897</v>
      </c>
      <c r="Q9" s="24">
        <v>4.1566179444599092</v>
      </c>
      <c r="R9" s="24">
        <v>6.09</v>
      </c>
      <c r="S9" s="24">
        <v>6.6093683151552538</v>
      </c>
      <c r="T9" s="21">
        <v>1</v>
      </c>
      <c r="U9" s="21" t="s">
        <v>4120</v>
      </c>
      <c r="V9" s="41">
        <v>2.5757367092925986E-2</v>
      </c>
      <c r="W9" s="41">
        <v>0.05</v>
      </c>
      <c r="X9" s="24">
        <v>1.2251907300238494</v>
      </c>
      <c r="Y9" s="21" t="s">
        <v>2887</v>
      </c>
      <c r="Z9"/>
    </row>
    <row r="10" spans="1:26" x14ac:dyDescent="0.25">
      <c r="A10" t="s">
        <v>154</v>
      </c>
      <c r="B10" s="25" t="s">
        <v>221</v>
      </c>
      <c r="C10" s="21" t="s">
        <v>244</v>
      </c>
      <c r="D10" s="21" t="s">
        <v>73</v>
      </c>
      <c r="E10" s="21" t="s">
        <v>100</v>
      </c>
      <c r="F10" s="26">
        <v>2.3952622439854448E-2</v>
      </c>
      <c r="G10" s="24">
        <v>6.8625480000000003</v>
      </c>
      <c r="H10" s="24">
        <v>6.1167629999999997</v>
      </c>
      <c r="I10" s="24">
        <v>9.1105169999999998</v>
      </c>
      <c r="J10" s="24">
        <v>7.3132029999999997</v>
      </c>
      <c r="K10" s="24">
        <v>3.1931120000000002</v>
      </c>
      <c r="L10" s="24">
        <v>7.2851549999999996</v>
      </c>
      <c r="M10" s="24">
        <v>14.4331</v>
      </c>
      <c r="N10" s="24">
        <v>3.5033321643968609</v>
      </c>
      <c r="O10" s="24">
        <v>3.5555555555555558</v>
      </c>
      <c r="P10" s="24">
        <v>8.9473684210526301</v>
      </c>
      <c r="Q10" s="24">
        <v>4.2192859842980877</v>
      </c>
      <c r="R10" s="24">
        <v>6.35</v>
      </c>
      <c r="S10" s="24">
        <v>6.1740010013143758</v>
      </c>
      <c r="T10" s="21">
        <v>0</v>
      </c>
      <c r="U10" s="21" t="s">
        <v>2790</v>
      </c>
      <c r="V10" s="41">
        <v>0.01</v>
      </c>
      <c r="W10" s="41">
        <v>3.5000000000000003E-2</v>
      </c>
      <c r="X10" s="24">
        <v>0.94161132661236835</v>
      </c>
      <c r="Y10" s="21" t="s">
        <v>2876</v>
      </c>
      <c r="Z10"/>
    </row>
    <row r="11" spans="1:26" x14ac:dyDescent="0.25">
      <c r="A11" s="62" t="s">
        <v>174</v>
      </c>
      <c r="B11" s="66" t="s">
        <v>241</v>
      </c>
      <c r="C11" s="62" t="s">
        <v>244</v>
      </c>
      <c r="D11" s="62" t="s">
        <v>73</v>
      </c>
      <c r="E11" s="62" t="s">
        <v>85</v>
      </c>
      <c r="F11" s="67">
        <v>2.0108733429615087E-2</v>
      </c>
      <c r="G11" s="68">
        <v>4.0298600000000002</v>
      </c>
      <c r="H11" s="68">
        <v>5.6253440000000001</v>
      </c>
      <c r="I11" s="68">
        <v>4.3933280000000003</v>
      </c>
      <c r="J11" s="68">
        <v>4.7154930000000004</v>
      </c>
      <c r="K11" s="68">
        <v>2.2455379999999998</v>
      </c>
      <c r="L11" s="68">
        <v>9.641947</v>
      </c>
      <c r="M11" s="68">
        <v>84.565600000000003</v>
      </c>
      <c r="N11" s="68">
        <v>5.0748697916666661</v>
      </c>
      <c r="O11" s="68">
        <v>7.5257731958762877</v>
      </c>
      <c r="P11" s="68">
        <v>7.4611398963730577</v>
      </c>
      <c r="Q11" s="68">
        <v>4.796957406002881</v>
      </c>
      <c r="R11" s="68">
        <v>5.37</v>
      </c>
      <c r="S11" s="68">
        <v>6.2950618820947177</v>
      </c>
      <c r="T11" s="62">
        <v>1</v>
      </c>
      <c r="U11" s="62" t="s">
        <v>262</v>
      </c>
      <c r="V11" s="71">
        <v>0.01</v>
      </c>
      <c r="W11" s="71">
        <v>0.03</v>
      </c>
      <c r="X11" s="68">
        <v>0.87140204242112662</v>
      </c>
      <c r="Y11" s="68" t="s">
        <v>2883</v>
      </c>
      <c r="Z11"/>
    </row>
    <row r="12" spans="1:26" x14ac:dyDescent="0.25">
      <c r="A12" s="54" t="s">
        <v>2619</v>
      </c>
      <c r="B12" s="72" t="s">
        <v>2620</v>
      </c>
      <c r="C12" s="62" t="s">
        <v>258</v>
      </c>
      <c r="D12" s="62" t="s">
        <v>74</v>
      </c>
      <c r="E12" s="62" t="s">
        <v>95</v>
      </c>
      <c r="F12" s="67">
        <v>0.02</v>
      </c>
      <c r="G12" s="68">
        <v>5.7403570000000004</v>
      </c>
      <c r="H12" s="68">
        <v>7.2226850000000002</v>
      </c>
      <c r="I12" s="68">
        <v>5.624568</v>
      </c>
      <c r="J12" s="68">
        <v>6.0020860000000003</v>
      </c>
      <c r="K12" s="68">
        <v>6.5681139999999996</v>
      </c>
      <c r="L12" s="68">
        <v>13.69736</v>
      </c>
      <c r="M12" s="68">
        <v>526.4896</v>
      </c>
      <c r="N12" s="68">
        <v>6.3124619920251659</v>
      </c>
      <c r="O12" s="68">
        <v>3.1460674157303368</v>
      </c>
      <c r="P12" s="68">
        <v>3.3962264150943393</v>
      </c>
      <c r="Q12" s="68">
        <v>7.741482591606534</v>
      </c>
      <c r="R12" s="68">
        <v>4.75</v>
      </c>
      <c r="S12" s="68">
        <v>6.7727938494700952</v>
      </c>
      <c r="T12" s="62">
        <v>1</v>
      </c>
      <c r="U12" s="62" t="s">
        <v>262</v>
      </c>
      <c r="V12" s="71">
        <v>0.01</v>
      </c>
      <c r="W12" s="71">
        <v>0.02</v>
      </c>
      <c r="X12" s="68">
        <v>0.19548106710854174</v>
      </c>
      <c r="Y12" s="62" t="s">
        <v>2869</v>
      </c>
      <c r="Z12"/>
    </row>
    <row r="13" spans="1:26" x14ac:dyDescent="0.25">
      <c r="A13" t="s">
        <v>2543</v>
      </c>
      <c r="B13" s="25" t="s">
        <v>2544</v>
      </c>
      <c r="C13" s="21" t="s">
        <v>244</v>
      </c>
      <c r="D13" s="21" t="s">
        <v>73</v>
      </c>
      <c r="E13" s="21" t="s">
        <v>91</v>
      </c>
      <c r="F13" s="26">
        <v>0.02</v>
      </c>
      <c r="G13" s="24">
        <v>5.2445839999999997</v>
      </c>
      <c r="H13" s="24">
        <v>4.6754379999999998</v>
      </c>
      <c r="I13" s="24">
        <v>5.1348580000000004</v>
      </c>
      <c r="J13" s="24">
        <v>4.9730350000000003</v>
      </c>
      <c r="K13" s="24">
        <v>4.6389459999999998</v>
      </c>
      <c r="L13" s="24">
        <v>13.6233</v>
      </c>
      <c r="M13" s="24">
        <v>9.0185999999999993</v>
      </c>
      <c r="N13" s="24">
        <v>4.1997695338902838</v>
      </c>
      <c r="O13" s="24">
        <v>0.20202020202020204</v>
      </c>
      <c r="P13" s="24">
        <v>7.0686070807958137</v>
      </c>
      <c r="Q13" s="24">
        <v>9.046920219963722</v>
      </c>
      <c r="R13" s="24">
        <v>8.19</v>
      </c>
      <c r="S13" s="24">
        <v>7.6506307537984046</v>
      </c>
      <c r="T13" s="21">
        <v>1</v>
      </c>
      <c r="U13" s="21" t="s">
        <v>72</v>
      </c>
      <c r="V13" s="41">
        <v>2E-3</v>
      </c>
      <c r="W13" s="41">
        <v>0.02</v>
      </c>
      <c r="X13" s="24">
        <v>0.49778835085762502</v>
      </c>
      <c r="Y13" s="21" t="s">
        <v>3982</v>
      </c>
      <c r="Z13"/>
    </row>
    <row r="14" spans="1:26" x14ac:dyDescent="0.25">
      <c r="A14" t="s">
        <v>139</v>
      </c>
      <c r="B14" s="25" t="s">
        <v>208</v>
      </c>
      <c r="C14" s="21" t="s">
        <v>244</v>
      </c>
      <c r="D14" s="21" t="s">
        <v>73</v>
      </c>
      <c r="E14" s="21" t="s">
        <v>92</v>
      </c>
      <c r="F14" s="26">
        <v>1.9999999999999997E-2</v>
      </c>
      <c r="G14" s="24">
        <v>6.7534689999999999</v>
      </c>
      <c r="H14" s="24">
        <v>5.5225989999999996</v>
      </c>
      <c r="I14" s="24">
        <v>3.7690700000000001</v>
      </c>
      <c r="J14" s="24">
        <v>5.4888880000000002</v>
      </c>
      <c r="K14" s="24">
        <v>2.832881</v>
      </c>
      <c r="L14" s="24">
        <v>5.8977760000000004</v>
      </c>
      <c r="M14" s="24">
        <v>14.457100000000001</v>
      </c>
      <c r="N14" s="24">
        <v>2.3271775568181816</v>
      </c>
      <c r="O14" s="24">
        <v>1.3131313131313131</v>
      </c>
      <c r="P14" s="24">
        <v>7.8063851789644279</v>
      </c>
      <c r="Q14" s="24">
        <v>6.4261566233076719</v>
      </c>
      <c r="R14" s="24">
        <v>7.93</v>
      </c>
      <c r="S14" s="24">
        <v>6.8075485130167248</v>
      </c>
      <c r="T14" s="21">
        <v>0</v>
      </c>
      <c r="U14" s="21" t="s">
        <v>2790</v>
      </c>
      <c r="V14" s="41">
        <v>2E-3</v>
      </c>
      <c r="W14" s="41">
        <v>0.02</v>
      </c>
      <c r="X14" s="24">
        <v>0.40114391326478999</v>
      </c>
      <c r="Y14" s="21" t="s">
        <v>2853</v>
      </c>
      <c r="Z14"/>
    </row>
    <row r="15" spans="1:26" x14ac:dyDescent="0.25">
      <c r="A15" s="21" t="s">
        <v>128</v>
      </c>
      <c r="B15" s="25" t="s">
        <v>196</v>
      </c>
      <c r="C15" s="21" t="s">
        <v>244</v>
      </c>
      <c r="D15" s="21" t="s">
        <v>73</v>
      </c>
      <c r="E15" s="21" t="s">
        <v>99</v>
      </c>
      <c r="F15" s="26">
        <v>1.9999999999999987E-2</v>
      </c>
      <c r="G15" s="24">
        <v>5.829466</v>
      </c>
      <c r="H15" s="24">
        <v>4.8638500000000002</v>
      </c>
      <c r="I15" s="24">
        <v>6.878571</v>
      </c>
      <c r="J15" s="24">
        <v>5.8545129999999999</v>
      </c>
      <c r="K15" s="24">
        <v>0.80584160000000005</v>
      </c>
      <c r="L15" s="24">
        <v>4.8433710000000003</v>
      </c>
      <c r="M15" s="24">
        <v>13.088800000000001</v>
      </c>
      <c r="N15" s="24">
        <v>3.612864531402094</v>
      </c>
      <c r="O15" s="24">
        <v>8.9583333333333339</v>
      </c>
      <c r="P15" s="24">
        <v>8.2388059701492544</v>
      </c>
      <c r="Q15" s="24">
        <v>4.032769792104884</v>
      </c>
      <c r="R15" s="24">
        <v>7.77</v>
      </c>
      <c r="S15" s="24">
        <v>5.6364919367009705</v>
      </c>
      <c r="T15" s="21">
        <v>0</v>
      </c>
      <c r="U15" s="21" t="s">
        <v>2790</v>
      </c>
      <c r="V15" s="41">
        <v>2E-3</v>
      </c>
      <c r="W15" s="41">
        <v>0.02</v>
      </c>
      <c r="X15" s="24">
        <v>2.105526263198481</v>
      </c>
      <c r="Y15" s="21" t="s">
        <v>2844</v>
      </c>
      <c r="Z15"/>
    </row>
    <row r="16" spans="1:26" x14ac:dyDescent="0.25">
      <c r="A16" s="62" t="s">
        <v>157</v>
      </c>
      <c r="B16" s="66" t="s">
        <v>224</v>
      </c>
      <c r="C16" s="62" t="s">
        <v>247</v>
      </c>
      <c r="D16" s="62" t="s">
        <v>74</v>
      </c>
      <c r="E16" s="62" t="s">
        <v>85</v>
      </c>
      <c r="F16" s="67">
        <v>1.9999999999999924E-2</v>
      </c>
      <c r="G16" s="68">
        <v>5.2611869999999996</v>
      </c>
      <c r="H16" s="68">
        <v>5.9825970000000002</v>
      </c>
      <c r="I16" s="68">
        <v>4.3013700000000004</v>
      </c>
      <c r="J16" s="68">
        <v>5.1777449999999998</v>
      </c>
      <c r="K16" s="68">
        <v>10.07504</v>
      </c>
      <c r="L16" s="68">
        <v>15.63782</v>
      </c>
      <c r="M16" s="68">
        <v>9.1919000000000004</v>
      </c>
      <c r="N16" s="68">
        <v>6.8408177774690593</v>
      </c>
      <c r="O16" s="68">
        <v>3.1313131313131315</v>
      </c>
      <c r="P16" s="68">
        <v>4.5789473684210522</v>
      </c>
      <c r="Q16" s="68">
        <v>7.4641675854465266</v>
      </c>
      <c r="R16" s="68">
        <v>8.14</v>
      </c>
      <c r="S16" s="68">
        <v>6.4026080261112241</v>
      </c>
      <c r="T16" s="62">
        <v>1</v>
      </c>
      <c r="U16" s="62" t="s">
        <v>262</v>
      </c>
      <c r="V16" s="71">
        <v>5.0000000000000001E-3</v>
      </c>
      <c r="W16" s="71">
        <v>0.02</v>
      </c>
      <c r="X16" s="68">
        <v>0.42518552020767386</v>
      </c>
      <c r="Y16" s="68" t="s">
        <v>2889</v>
      </c>
      <c r="Z16"/>
    </row>
    <row r="17" spans="1:26" x14ac:dyDescent="0.25">
      <c r="A17" t="s">
        <v>135</v>
      </c>
      <c r="B17" s="25" t="s">
        <v>204</v>
      </c>
      <c r="C17" s="21" t="s">
        <v>244</v>
      </c>
      <c r="D17" s="21" t="s">
        <v>73</v>
      </c>
      <c r="E17" s="21" t="s">
        <v>91</v>
      </c>
      <c r="F17" s="26">
        <v>1.9999999999999921E-2</v>
      </c>
      <c r="G17" s="24">
        <v>6.1682980000000001</v>
      </c>
      <c r="H17" s="24">
        <v>4.6771570000000002</v>
      </c>
      <c r="I17" s="24">
        <v>5.9259250000000003</v>
      </c>
      <c r="J17" s="24">
        <v>5.4748929999999998</v>
      </c>
      <c r="K17" s="24">
        <v>4.3599290000000002</v>
      </c>
      <c r="L17" s="24">
        <v>8.9845640000000007</v>
      </c>
      <c r="M17" s="24">
        <v>4.6372999999999998</v>
      </c>
      <c r="N17" s="24">
        <v>4.5648684670614497</v>
      </c>
      <c r="O17" s="24">
        <v>0.60606060606060597</v>
      </c>
      <c r="P17" s="24">
        <v>7.5675675776816327</v>
      </c>
      <c r="Q17" s="24">
        <v>8.0655284599660249</v>
      </c>
      <c r="R17" s="24">
        <v>7.95</v>
      </c>
      <c r="S17" s="24">
        <v>7.2566321710013515</v>
      </c>
      <c r="T17" s="21">
        <v>1</v>
      </c>
      <c r="U17" s="21" t="s">
        <v>72</v>
      </c>
      <c r="V17" s="41">
        <v>2E-3</v>
      </c>
      <c r="W17" s="41">
        <v>0.02</v>
      </c>
      <c r="X17" s="24">
        <v>0.5810335467752995</v>
      </c>
      <c r="Y17" s="21" t="s">
        <v>2849</v>
      </c>
      <c r="Z17"/>
    </row>
    <row r="18" spans="1:26" s="62" customFormat="1" x14ac:dyDescent="0.25">
      <c r="A18" t="s">
        <v>2702</v>
      </c>
      <c r="B18" s="25" t="s">
        <v>2703</v>
      </c>
      <c r="C18" s="21" t="s">
        <v>247</v>
      </c>
      <c r="D18" s="21" t="s">
        <v>74</v>
      </c>
      <c r="E18" s="21" t="s">
        <v>96</v>
      </c>
      <c r="F18" s="26">
        <v>1.4999999999999999E-2</v>
      </c>
      <c r="G18" s="24">
        <v>5.6773490000000004</v>
      </c>
      <c r="H18" s="24">
        <v>4.1632530000000001</v>
      </c>
      <c r="I18" s="24">
        <v>6.4904070000000003</v>
      </c>
      <c r="J18" s="24">
        <v>5.4670370000000004</v>
      </c>
      <c r="K18" s="24">
        <v>3.9252910000000001</v>
      </c>
      <c r="L18" s="24">
        <v>6.2033579999999997</v>
      </c>
      <c r="M18" s="24">
        <v>34.522399999999998</v>
      </c>
      <c r="N18" s="24">
        <v>7.9487953641447948</v>
      </c>
      <c r="O18" s="24">
        <v>4.9473684210526319</v>
      </c>
      <c r="P18" s="24">
        <v>9.2340425531914896</v>
      </c>
      <c r="Q18" s="24">
        <v>4.004378983696613</v>
      </c>
      <c r="R18" s="24">
        <v>6.72</v>
      </c>
      <c r="S18" s="24">
        <v>7.1563770668101716</v>
      </c>
      <c r="T18" s="21">
        <v>0</v>
      </c>
      <c r="U18" s="21" t="s">
        <v>2790</v>
      </c>
      <c r="V18" s="41">
        <v>2E-3</v>
      </c>
      <c r="W18" s="41">
        <v>1.4999999999999999E-2</v>
      </c>
      <c r="X18" s="24">
        <v>0.16285696354333665</v>
      </c>
      <c r="Y18" s="21" t="s">
        <v>4074</v>
      </c>
      <c r="Z18"/>
    </row>
    <row r="19" spans="1:26" x14ac:dyDescent="0.25">
      <c r="A19" s="21" t="s">
        <v>2553</v>
      </c>
      <c r="B19" s="25" t="s">
        <v>2554</v>
      </c>
      <c r="C19" s="21" t="s">
        <v>244</v>
      </c>
      <c r="D19" s="21" t="s">
        <v>73</v>
      </c>
      <c r="E19" s="21" t="s">
        <v>92</v>
      </c>
      <c r="F19" s="26">
        <v>1.1806082977123582E-2</v>
      </c>
      <c r="G19" s="24">
        <v>4.6533519999999999</v>
      </c>
      <c r="H19" s="24">
        <v>5.734731</v>
      </c>
      <c r="I19" s="24">
        <v>4.964289</v>
      </c>
      <c r="J19" s="24">
        <v>5.0710470000000001</v>
      </c>
      <c r="K19" s="24">
        <v>2.2384759999999999</v>
      </c>
      <c r="L19" s="24">
        <v>4.8714449999999996</v>
      </c>
      <c r="M19" s="24">
        <v>66.731800000000007</v>
      </c>
      <c r="N19" s="24">
        <v>2.9285028409090907</v>
      </c>
      <c r="O19" s="24">
        <v>2.8282828282828283</v>
      </c>
      <c r="P19" s="24">
        <v>7.1884655110670836</v>
      </c>
      <c r="Q19" s="24">
        <v>4.4911069816830373</v>
      </c>
      <c r="R19" s="24">
        <v>7.49</v>
      </c>
      <c r="S19" s="24">
        <v>6.0678480842419553</v>
      </c>
      <c r="T19" s="21">
        <v>0</v>
      </c>
      <c r="U19" s="21" t="s">
        <v>2790</v>
      </c>
      <c r="V19" s="41">
        <v>0.01</v>
      </c>
      <c r="W19" s="41">
        <v>3.5000000000000003E-2</v>
      </c>
      <c r="X19" s="24">
        <v>0.89019840843871323</v>
      </c>
      <c r="Y19" s="21" t="s">
        <v>3986</v>
      </c>
      <c r="Z19"/>
    </row>
    <row r="20" spans="1:26" x14ac:dyDescent="0.25">
      <c r="A20" t="s">
        <v>351</v>
      </c>
      <c r="B20" s="25" t="s">
        <v>352</v>
      </c>
      <c r="C20" s="21" t="s">
        <v>244</v>
      </c>
      <c r="D20" s="21" t="s">
        <v>73</v>
      </c>
      <c r="E20" s="21" t="s">
        <v>91</v>
      </c>
      <c r="F20" s="26">
        <v>1.000000000000033E-2</v>
      </c>
      <c r="G20" s="24">
        <v>5.3265089999999997</v>
      </c>
      <c r="H20" s="24">
        <v>8.4724640000000004</v>
      </c>
      <c r="I20" s="24">
        <v>7.2838599999999998</v>
      </c>
      <c r="J20" s="24">
        <v>7.3678309999999998</v>
      </c>
      <c r="K20" s="24">
        <v>1.8900870000000001</v>
      </c>
      <c r="L20" s="24">
        <v>4.3064039999999997</v>
      </c>
      <c r="M20" s="24">
        <v>26.692499999999999</v>
      </c>
      <c r="N20" s="24">
        <v>7.104477418647309</v>
      </c>
      <c r="O20" s="24">
        <v>5.8585858585858581</v>
      </c>
      <c r="P20" s="24">
        <v>6.6320166460207215</v>
      </c>
      <c r="Q20" s="24">
        <v>4.3578153341202892</v>
      </c>
      <c r="R20" s="24">
        <v>7.01</v>
      </c>
      <c r="S20" s="24">
        <v>5.9806126253869172</v>
      </c>
      <c r="T20" s="21">
        <v>0</v>
      </c>
      <c r="U20" s="21" t="s">
        <v>2790</v>
      </c>
      <c r="V20" s="41">
        <v>0.01</v>
      </c>
      <c r="W20" s="41">
        <v>3.5000000000000003E-2</v>
      </c>
      <c r="X20" s="24">
        <v>0.47454286488328434</v>
      </c>
      <c r="Y20" s="21" t="s">
        <v>4041</v>
      </c>
      <c r="Z20"/>
    </row>
    <row r="21" spans="1:26" x14ac:dyDescent="0.25">
      <c r="A21" t="s">
        <v>134</v>
      </c>
      <c r="B21" s="25" t="s">
        <v>202</v>
      </c>
      <c r="C21" s="21" t="s">
        <v>244</v>
      </c>
      <c r="D21" s="21" t="s">
        <v>73</v>
      </c>
      <c r="E21" s="21" t="s">
        <v>99</v>
      </c>
      <c r="F21" s="26">
        <v>1.0000000000000184E-2</v>
      </c>
      <c r="G21" s="24">
        <v>7.7808659999999996</v>
      </c>
      <c r="H21" s="24">
        <v>7.0371810000000004</v>
      </c>
      <c r="I21" s="24">
        <v>6.76424</v>
      </c>
      <c r="J21" s="24">
        <v>7.2527720000000002</v>
      </c>
      <c r="K21" s="24">
        <v>0.59433279999999999</v>
      </c>
      <c r="L21" s="24">
        <v>6.1824830000000004</v>
      </c>
      <c r="M21" s="24">
        <v>9.6908999999999992</v>
      </c>
      <c r="N21" s="24">
        <v>5.0157861101646493</v>
      </c>
      <c r="O21" s="24">
        <v>8.9583333333333339</v>
      </c>
      <c r="P21" s="24">
        <v>8.2686567164179099</v>
      </c>
      <c r="Q21" s="24">
        <v>5.6364552660988316</v>
      </c>
      <c r="R21" s="24">
        <v>6.6</v>
      </c>
      <c r="S21" s="24">
        <v>6.3067907904489449</v>
      </c>
      <c r="T21" s="21">
        <v>1</v>
      </c>
      <c r="U21" s="21" t="s">
        <v>262</v>
      </c>
      <c r="V21" s="41">
        <v>0.01</v>
      </c>
      <c r="W21" s="41">
        <v>3.5000000000000003E-2</v>
      </c>
      <c r="X21" s="24">
        <v>1.9281064504660876</v>
      </c>
      <c r="Y21" s="21" t="s">
        <v>3915</v>
      </c>
      <c r="Z21"/>
    </row>
    <row r="22" spans="1:26" x14ac:dyDescent="0.25">
      <c r="A22" t="s">
        <v>161</v>
      </c>
      <c r="B22" s="25" t="s">
        <v>228</v>
      </c>
      <c r="C22" s="21" t="s">
        <v>244</v>
      </c>
      <c r="D22" s="21" t="s">
        <v>73</v>
      </c>
      <c r="E22" s="21" t="s">
        <v>91</v>
      </c>
      <c r="F22" s="26">
        <v>1.0000000000000092E-2</v>
      </c>
      <c r="G22" s="24">
        <v>5.8669339999999996</v>
      </c>
      <c r="H22" s="24">
        <v>5.422218</v>
      </c>
      <c r="I22" s="24">
        <v>4.7407389999999996</v>
      </c>
      <c r="J22" s="24">
        <v>5.2385700000000002</v>
      </c>
      <c r="K22" s="24">
        <v>1.7243900000000001</v>
      </c>
      <c r="L22" s="24">
        <v>5.4063759999999998</v>
      </c>
      <c r="M22" s="24">
        <v>1.6609</v>
      </c>
      <c r="N22" s="24">
        <v>8.982778968286663</v>
      </c>
      <c r="O22" s="24">
        <v>4.3434343434343434</v>
      </c>
      <c r="P22" s="24">
        <v>7.9833688233539766</v>
      </c>
      <c r="Q22" s="24">
        <v>7.1819307287018095</v>
      </c>
      <c r="R22" s="24">
        <v>7.59</v>
      </c>
      <c r="S22" s="24">
        <v>7.4721379248713964</v>
      </c>
      <c r="T22" s="21">
        <v>0</v>
      </c>
      <c r="U22" s="21" t="s">
        <v>2790</v>
      </c>
      <c r="V22" s="41">
        <v>0.01</v>
      </c>
      <c r="W22" s="41">
        <v>3.5000000000000003E-2</v>
      </c>
      <c r="X22" s="24">
        <v>0.30242839973661784</v>
      </c>
      <c r="Y22" s="21" t="s">
        <v>2894</v>
      </c>
      <c r="Z22"/>
    </row>
    <row r="23" spans="1:26" x14ac:dyDescent="0.25">
      <c r="A23" t="s">
        <v>2698</v>
      </c>
      <c r="B23" s="25" t="s">
        <v>2699</v>
      </c>
      <c r="C23" s="21" t="s">
        <v>244</v>
      </c>
      <c r="D23" s="21" t="s">
        <v>73</v>
      </c>
      <c r="E23" s="21" t="s">
        <v>91</v>
      </c>
      <c r="F23" s="26">
        <v>1.0000000000000047E-2</v>
      </c>
      <c r="G23" s="24">
        <v>6.1371060000000002</v>
      </c>
      <c r="H23" s="24">
        <v>6.8317079999999999</v>
      </c>
      <c r="I23" s="24">
        <v>4.0992920000000002</v>
      </c>
      <c r="J23" s="24">
        <v>5.5998210000000004</v>
      </c>
      <c r="K23" s="24">
        <v>3.4455149999999999</v>
      </c>
      <c r="L23" s="24">
        <v>7.4014870000000004</v>
      </c>
      <c r="M23" s="24">
        <v>14.143800000000001</v>
      </c>
      <c r="N23" s="24">
        <v>4.3283582706444754</v>
      </c>
      <c r="O23" s="24">
        <v>3.7373737373737375</v>
      </c>
      <c r="P23" s="24">
        <v>7.5051975155709041</v>
      </c>
      <c r="Q23" s="24">
        <v>4.8591644833443688</v>
      </c>
      <c r="R23" s="24">
        <v>8.3800000000000008</v>
      </c>
      <c r="S23" s="24">
        <v>7.0476196610180848</v>
      </c>
      <c r="T23" s="21">
        <v>1</v>
      </c>
      <c r="U23" s="21" t="s">
        <v>72</v>
      </c>
      <c r="V23" s="41">
        <v>0.01</v>
      </c>
      <c r="W23" s="41">
        <v>3.5000000000000003E-2</v>
      </c>
      <c r="X23" s="24">
        <v>0.48127491604504979</v>
      </c>
      <c r="Y23" s="21" t="s">
        <v>4072</v>
      </c>
      <c r="Z23"/>
    </row>
    <row r="24" spans="1:26" x14ac:dyDescent="0.25">
      <c r="A24" t="s">
        <v>1874</v>
      </c>
      <c r="B24" s="25" t="s">
        <v>1875</v>
      </c>
      <c r="C24" s="21" t="s">
        <v>248</v>
      </c>
      <c r="D24" s="21" t="s">
        <v>75</v>
      </c>
      <c r="E24" s="21" t="s">
        <v>92</v>
      </c>
      <c r="F24" s="26">
        <v>9.9999999999999343E-3</v>
      </c>
      <c r="G24" s="24">
        <v>6.9743959999999996</v>
      </c>
      <c r="H24" s="24">
        <v>7.0404640000000001</v>
      </c>
      <c r="I24" s="24">
        <v>3.0642040000000001</v>
      </c>
      <c r="J24" s="24">
        <v>5.8211589999999998</v>
      </c>
      <c r="K24" s="24">
        <v>2.6574409999999999</v>
      </c>
      <c r="L24" s="24">
        <v>15.341699999999999</v>
      </c>
      <c r="M24" s="24">
        <v>15.765599999999999</v>
      </c>
      <c r="N24" s="24">
        <v>10</v>
      </c>
      <c r="O24" s="24">
        <v>9.3684210526315788</v>
      </c>
      <c r="P24" s="24">
        <v>6.3314287391346857</v>
      </c>
      <c r="Q24" s="24">
        <v>8.6054001158343727</v>
      </c>
      <c r="R24" s="24">
        <v>6.33</v>
      </c>
      <c r="S24" s="24">
        <v>7.6238369667039372</v>
      </c>
      <c r="T24" s="21">
        <v>1</v>
      </c>
      <c r="U24" s="21" t="s">
        <v>72</v>
      </c>
      <c r="V24" s="41">
        <v>2E-3</v>
      </c>
      <c r="W24" s="41">
        <v>0.01</v>
      </c>
      <c r="X24" s="24">
        <v>0.54607680842470752</v>
      </c>
      <c r="Y24" s="21" t="s">
        <v>3591</v>
      </c>
      <c r="Z24"/>
    </row>
    <row r="25" spans="1:26" x14ac:dyDescent="0.25">
      <c r="A25" t="s">
        <v>2332</v>
      </c>
      <c r="B25" s="25" t="s">
        <v>2333</v>
      </c>
      <c r="C25" s="21" t="s">
        <v>245</v>
      </c>
      <c r="D25" s="21" t="s">
        <v>73</v>
      </c>
      <c r="E25" s="21" t="s">
        <v>92</v>
      </c>
      <c r="F25" s="26">
        <v>8.3749476268688231E-3</v>
      </c>
      <c r="G25" s="24">
        <v>3.9577770000000001</v>
      </c>
      <c r="H25" s="24">
        <v>5.2257540000000002</v>
      </c>
      <c r="I25" s="24">
        <v>6.7570569999999996</v>
      </c>
      <c r="J25" s="24">
        <v>5.1779539999999997</v>
      </c>
      <c r="K25" s="24">
        <v>1.949865</v>
      </c>
      <c r="L25" s="24">
        <v>4.8230490000000001</v>
      </c>
      <c r="M25" s="24">
        <v>17.416</v>
      </c>
      <c r="N25" s="24">
        <v>4.6472528409090916</v>
      </c>
      <c r="O25" s="24">
        <v>2.9292929292929291</v>
      </c>
      <c r="P25" s="24">
        <v>5.9835221586672631</v>
      </c>
      <c r="Q25" s="24">
        <v>3.8739930979559323</v>
      </c>
      <c r="R25" s="24">
        <v>7.22</v>
      </c>
      <c r="S25" s="24">
        <v>5.9163679263397047</v>
      </c>
      <c r="T25" s="21">
        <v>0</v>
      </c>
      <c r="U25" s="21" t="s">
        <v>2790</v>
      </c>
      <c r="V25" s="41">
        <v>2E-3</v>
      </c>
      <c r="W25" s="41">
        <v>0.02</v>
      </c>
      <c r="X25" s="24">
        <v>0.81560409651764298</v>
      </c>
      <c r="Y25" s="21" t="s">
        <v>3844</v>
      </c>
      <c r="Z25"/>
    </row>
    <row r="26" spans="1:26" x14ac:dyDescent="0.25">
      <c r="A26" t="s">
        <v>160</v>
      </c>
      <c r="B26" s="25" t="s">
        <v>227</v>
      </c>
      <c r="C26" s="21" t="s">
        <v>254</v>
      </c>
      <c r="D26" s="21" t="s">
        <v>74</v>
      </c>
      <c r="E26" s="21" t="s">
        <v>91</v>
      </c>
      <c r="F26" s="26">
        <v>8.185259083724479E-3</v>
      </c>
      <c r="G26" s="24">
        <v>5.2488440000000001</v>
      </c>
      <c r="H26" s="24">
        <v>6.4207999999999998</v>
      </c>
      <c r="I26" s="24">
        <v>4.7686760000000001</v>
      </c>
      <c r="J26" s="24">
        <v>5.5255590000000003</v>
      </c>
      <c r="K26" s="24">
        <v>4.2928490000000004</v>
      </c>
      <c r="L26" s="24">
        <v>6.9377300000000002</v>
      </c>
      <c r="M26" s="24">
        <v>1.5907</v>
      </c>
      <c r="N26" s="24">
        <v>2.2684860068259387</v>
      </c>
      <c r="O26" s="24">
        <v>1.0309278350515463</v>
      </c>
      <c r="P26" s="24">
        <v>8.6894586894586912</v>
      </c>
      <c r="Q26" s="24">
        <v>6.8726223724391478</v>
      </c>
      <c r="R26" s="24">
        <v>7.57</v>
      </c>
      <c r="S26" s="24">
        <v>7.3125495730072316</v>
      </c>
      <c r="T26" s="21">
        <v>0</v>
      </c>
      <c r="U26" s="21" t="s">
        <v>2790</v>
      </c>
      <c r="V26" s="41">
        <v>5.0000000000000001E-3</v>
      </c>
      <c r="W26" s="41">
        <v>0.03</v>
      </c>
      <c r="X26" s="24">
        <v>0.31462676742518009</v>
      </c>
      <c r="Y26" s="21" t="s">
        <v>2891</v>
      </c>
      <c r="Z26"/>
    </row>
    <row r="27" spans="1:26" x14ac:dyDescent="0.25">
      <c r="A27" t="s">
        <v>289</v>
      </c>
      <c r="B27" s="25" t="s">
        <v>290</v>
      </c>
      <c r="C27" s="21" t="s">
        <v>244</v>
      </c>
      <c r="D27" s="21" t="s">
        <v>73</v>
      </c>
      <c r="E27" s="21" t="s">
        <v>92</v>
      </c>
      <c r="F27" s="26">
        <v>7.4999999999999997E-3</v>
      </c>
      <c r="G27" s="24">
        <v>5.5698639999999999</v>
      </c>
      <c r="H27" s="24">
        <v>5.3267449999999998</v>
      </c>
      <c r="I27" s="24">
        <v>7.5230309999999996</v>
      </c>
      <c r="J27" s="24">
        <v>6.0828790000000001</v>
      </c>
      <c r="K27" s="24">
        <v>1.492821</v>
      </c>
      <c r="L27" s="24">
        <v>4.4599890000000002</v>
      </c>
      <c r="M27" s="24">
        <v>16.957599999999999</v>
      </c>
      <c r="N27" s="24">
        <v>3.7997159090909101</v>
      </c>
      <c r="O27" s="24">
        <v>5.1515151515151514</v>
      </c>
      <c r="P27" s="24">
        <v>6.5499481089600495</v>
      </c>
      <c r="Q27" s="24">
        <v>4.6026015396867539</v>
      </c>
      <c r="R27" s="24">
        <v>6.76</v>
      </c>
      <c r="S27" s="24">
        <v>5.8329866285106995</v>
      </c>
      <c r="T27" s="21">
        <v>0</v>
      </c>
      <c r="U27" s="21" t="s">
        <v>2790</v>
      </c>
      <c r="V27" s="41">
        <v>2E-3</v>
      </c>
      <c r="W27" s="41">
        <v>7.4999999999999997E-3</v>
      </c>
      <c r="X27" s="24">
        <v>1.0374189186933622</v>
      </c>
      <c r="Y27" s="21" t="s">
        <v>3457</v>
      </c>
      <c r="Z27"/>
    </row>
    <row r="28" spans="1:26" x14ac:dyDescent="0.25">
      <c r="A28" t="s">
        <v>1701</v>
      </c>
      <c r="B28" s="25" t="s">
        <v>1702</v>
      </c>
      <c r="C28" s="21" t="s">
        <v>244</v>
      </c>
      <c r="D28" s="21" t="s">
        <v>73</v>
      </c>
      <c r="E28" s="21" t="s">
        <v>101</v>
      </c>
      <c r="F28" s="26">
        <v>7.4999999999999997E-3</v>
      </c>
      <c r="G28" s="24">
        <v>5.5085059999999997</v>
      </c>
      <c r="H28" s="24">
        <v>5.6594670000000002</v>
      </c>
      <c r="I28" s="24">
        <v>7.293126</v>
      </c>
      <c r="J28" s="24">
        <v>6.2827390000000003</v>
      </c>
      <c r="K28" s="24">
        <v>1.890754</v>
      </c>
      <c r="L28" s="24">
        <v>4.5460039999999999</v>
      </c>
      <c r="M28" s="24">
        <v>27.055700000000002</v>
      </c>
      <c r="N28" s="24">
        <v>5.8572640806189336</v>
      </c>
      <c r="O28" s="24">
        <v>3.5714285714285712</v>
      </c>
      <c r="P28" s="24">
        <v>6.660249842772858</v>
      </c>
      <c r="Q28" s="24">
        <v>2.6762160721265014</v>
      </c>
      <c r="R28" s="24">
        <v>7.27</v>
      </c>
      <c r="S28" s="24">
        <v>5.8455562979853211</v>
      </c>
      <c r="T28" s="21">
        <v>1</v>
      </c>
      <c r="U28" s="21" t="s">
        <v>262</v>
      </c>
      <c r="V28" s="41">
        <v>2E-3</v>
      </c>
      <c r="W28" s="41">
        <v>7.4999999999999997E-3</v>
      </c>
      <c r="X28" s="24">
        <v>0.75261028215214032</v>
      </c>
      <c r="Y28" s="21" t="s">
        <v>3558</v>
      </c>
      <c r="Z28"/>
    </row>
    <row r="29" spans="1:26" x14ac:dyDescent="0.25">
      <c r="A29" t="s">
        <v>4534</v>
      </c>
      <c r="B29" s="25" t="s">
        <v>4535</v>
      </c>
      <c r="C29" s="21" t="s">
        <v>244</v>
      </c>
      <c r="D29" s="21" t="s">
        <v>73</v>
      </c>
      <c r="E29" s="21" t="s">
        <v>90</v>
      </c>
      <c r="F29" s="26">
        <v>7.4999999999999997E-3</v>
      </c>
      <c r="G29" s="24">
        <v>6.2408489999999999</v>
      </c>
      <c r="H29" s="24">
        <v>4.5000470000000004</v>
      </c>
      <c r="I29" s="24">
        <v>5.4316779999999998</v>
      </c>
      <c r="J29" s="24">
        <v>5.4758570000000004</v>
      </c>
      <c r="K29" s="24">
        <v>2.4548190000000001</v>
      </c>
      <c r="L29" s="24">
        <v>9.5970560000000003</v>
      </c>
      <c r="M29" s="24">
        <v>44.624600000000001</v>
      </c>
      <c r="N29" s="24">
        <v>4.268204758471521</v>
      </c>
      <c r="O29" s="24">
        <v>1.2371134020618555</v>
      </c>
      <c r="P29" s="24">
        <v>5.5601659751037342</v>
      </c>
      <c r="Q29" s="24">
        <v>10</v>
      </c>
      <c r="R29" s="24">
        <v>3.12</v>
      </c>
      <c r="S29" s="24">
        <v>6.3376942518207811</v>
      </c>
      <c r="T29" s="21">
        <v>1</v>
      </c>
      <c r="U29" s="21" t="s">
        <v>262</v>
      </c>
      <c r="V29" s="41">
        <v>2E-3</v>
      </c>
      <c r="W29" s="41">
        <v>7.4999999999999997E-3</v>
      </c>
      <c r="X29" s="24">
        <v>0.60337690236700081</v>
      </c>
      <c r="Y29" s="21" t="s">
        <v>2796</v>
      </c>
      <c r="Z29"/>
    </row>
    <row r="30" spans="1:26" x14ac:dyDescent="0.25">
      <c r="A30" s="21" t="s">
        <v>1865</v>
      </c>
      <c r="B30" s="40" t="s">
        <v>1866</v>
      </c>
      <c r="C30" s="21" t="s">
        <v>244</v>
      </c>
      <c r="D30" s="21" t="s">
        <v>73</v>
      </c>
      <c r="E30" s="21" t="s">
        <v>99</v>
      </c>
      <c r="F30" s="55">
        <v>7.4999999999999997E-3</v>
      </c>
      <c r="G30" s="24">
        <v>6.1406539999999996</v>
      </c>
      <c r="H30" s="24">
        <v>4.9091060000000004</v>
      </c>
      <c r="I30" s="24">
        <v>7.2090319999999997</v>
      </c>
      <c r="J30" s="24">
        <v>6.0917019999999997</v>
      </c>
      <c r="K30" s="24">
        <v>1.6822999999999999</v>
      </c>
      <c r="L30" s="24">
        <v>6.0286650000000002</v>
      </c>
      <c r="M30" s="53">
        <v>41.7455</v>
      </c>
      <c r="N30" s="24">
        <v>4.9427786063755805</v>
      </c>
      <c r="O30" s="24">
        <v>4.7916666666666679</v>
      </c>
      <c r="P30" s="24">
        <v>5.6119402985074629</v>
      </c>
      <c r="Q30" s="24">
        <v>7.978806876810788</v>
      </c>
      <c r="R30" s="24">
        <v>6.9200010000000001</v>
      </c>
      <c r="S30" s="24">
        <v>6.870633741776949</v>
      </c>
      <c r="T30" s="21">
        <v>1</v>
      </c>
      <c r="U30" s="21" t="s">
        <v>262</v>
      </c>
      <c r="V30" s="56">
        <v>2E-3</v>
      </c>
      <c r="W30" s="56">
        <v>7.4999999999999997E-3</v>
      </c>
      <c r="X30" s="24">
        <v>1.3205701469581186</v>
      </c>
      <c r="Y30" s="24" t="s">
        <v>3520</v>
      </c>
      <c r="Z30"/>
    </row>
    <row r="31" spans="1:26" x14ac:dyDescent="0.25">
      <c r="A31" t="s">
        <v>287</v>
      </c>
      <c r="B31" s="25" t="s">
        <v>288</v>
      </c>
      <c r="C31" s="21" t="s">
        <v>244</v>
      </c>
      <c r="D31" s="21" t="s">
        <v>73</v>
      </c>
      <c r="E31" s="21" t="s">
        <v>99</v>
      </c>
      <c r="F31" s="26">
        <v>7.4999999999999997E-3</v>
      </c>
      <c r="G31" s="24">
        <v>9.0085409999999992</v>
      </c>
      <c r="H31" s="24">
        <v>5.5019539999999996</v>
      </c>
      <c r="I31" s="24">
        <v>8.2751490000000008</v>
      </c>
      <c r="J31" s="24">
        <v>7.5952149999999996</v>
      </c>
      <c r="K31" s="24">
        <v>1.7083809999999999</v>
      </c>
      <c r="L31" s="24">
        <v>6.2265389999999998</v>
      </c>
      <c r="M31" s="24">
        <v>6.6662999999999997</v>
      </c>
      <c r="N31" s="24">
        <v>3.2596683709288365</v>
      </c>
      <c r="O31" s="24">
        <v>3.4375000000000004</v>
      </c>
      <c r="P31" s="24">
        <v>6.7164179104477615</v>
      </c>
      <c r="Q31" s="24">
        <v>8.7809380808969948</v>
      </c>
      <c r="R31" s="24">
        <v>7.15</v>
      </c>
      <c r="S31" s="24">
        <v>7.1839549539723393</v>
      </c>
      <c r="T31" s="21">
        <v>0</v>
      </c>
      <c r="U31" s="21" t="s">
        <v>2790</v>
      </c>
      <c r="V31" s="41">
        <v>2E-3</v>
      </c>
      <c r="W31" s="41">
        <v>7.4999999999999997E-3</v>
      </c>
      <c r="X31" s="24">
        <v>0.87610223286456157</v>
      </c>
      <c r="Y31" s="21" t="s">
        <v>2809</v>
      </c>
      <c r="Z31"/>
    </row>
    <row r="32" spans="1:26" x14ac:dyDescent="0.25">
      <c r="A32" t="s">
        <v>1552</v>
      </c>
      <c r="B32" s="25" t="s">
        <v>1553</v>
      </c>
      <c r="C32" s="21" t="s">
        <v>244</v>
      </c>
      <c r="D32" s="21" t="s">
        <v>73</v>
      </c>
      <c r="E32" s="21" t="s">
        <v>97</v>
      </c>
      <c r="F32" s="26">
        <v>7.4999999999999997E-3</v>
      </c>
      <c r="G32" s="24">
        <v>6.9519979999999997</v>
      </c>
      <c r="H32" s="24">
        <v>4.601559</v>
      </c>
      <c r="I32" s="24">
        <v>6.223681</v>
      </c>
      <c r="J32" s="24">
        <v>6.1905830000000002</v>
      </c>
      <c r="K32" s="24">
        <v>5.7350979999999998</v>
      </c>
      <c r="L32" s="24">
        <v>8.6253390000000003</v>
      </c>
      <c r="M32" s="24">
        <v>23.5289</v>
      </c>
      <c r="N32" s="24">
        <v>6.9114394535578461</v>
      </c>
      <c r="O32" s="24">
        <v>3.7113402061855667</v>
      </c>
      <c r="P32" s="24">
        <v>6.545454545454545</v>
      </c>
      <c r="Q32" s="24">
        <v>8.4674813878353703</v>
      </c>
      <c r="R32" s="24">
        <v>6.67</v>
      </c>
      <c r="S32" s="24">
        <v>8.0225281821487862</v>
      </c>
      <c r="T32" s="21">
        <v>1</v>
      </c>
      <c r="U32" s="21" t="s">
        <v>72</v>
      </c>
      <c r="V32" s="41">
        <v>2E-3</v>
      </c>
      <c r="W32" s="41">
        <v>7.4999999999999997E-3</v>
      </c>
      <c r="X32" s="24">
        <v>0.88184808718338947</v>
      </c>
      <c r="Y32" s="21" t="s">
        <v>3439</v>
      </c>
      <c r="Z32"/>
    </row>
    <row r="33" spans="1:26" x14ac:dyDescent="0.25">
      <c r="A33" t="s">
        <v>4537</v>
      </c>
      <c r="B33" s="25" t="s">
        <v>4457</v>
      </c>
      <c r="C33" s="21" t="s">
        <v>244</v>
      </c>
      <c r="D33" s="21" t="s">
        <v>73</v>
      </c>
      <c r="E33" s="21" t="s">
        <v>90</v>
      </c>
      <c r="F33" s="26">
        <v>7.4999999999999997E-3</v>
      </c>
      <c r="G33" s="24">
        <v>5.2446320000000002</v>
      </c>
      <c r="H33" s="24">
        <v>5.331696</v>
      </c>
      <c r="I33" s="24">
        <v>5.6676060000000001</v>
      </c>
      <c r="J33" s="24">
        <v>5.3976430000000004</v>
      </c>
      <c r="K33" s="24">
        <v>4.0097110000000002</v>
      </c>
      <c r="L33" s="24">
        <v>6.5699059999999996</v>
      </c>
      <c r="M33" s="24">
        <v>86.018699999999995</v>
      </c>
      <c r="N33" s="24">
        <v>2.984859408795963</v>
      </c>
      <c r="O33" s="24">
        <v>2.5773195876288657</v>
      </c>
      <c r="P33" s="24">
        <v>3.8174273858921164</v>
      </c>
      <c r="Q33" s="24">
        <v>5.2027288815478991</v>
      </c>
      <c r="R33" s="24">
        <v>6.4600010000000001</v>
      </c>
      <c r="S33" s="24">
        <v>5.1623732365771247</v>
      </c>
      <c r="T33" s="21">
        <v>0</v>
      </c>
      <c r="U33" s="21" t="s">
        <v>2790</v>
      </c>
      <c r="V33" s="41">
        <v>2E-3</v>
      </c>
      <c r="W33" s="41">
        <v>7.4999999999999997E-3</v>
      </c>
      <c r="X33" s="24">
        <v>0.29888035709589122</v>
      </c>
      <c r="Y33" s="21" t="s">
        <v>2806</v>
      </c>
      <c r="Z33"/>
    </row>
    <row r="34" spans="1:26" x14ac:dyDescent="0.25">
      <c r="A34" t="s">
        <v>144</v>
      </c>
      <c r="B34" s="25" t="s">
        <v>4431</v>
      </c>
      <c r="C34" s="21" t="s">
        <v>255</v>
      </c>
      <c r="D34" s="21" t="s">
        <v>75</v>
      </c>
      <c r="E34" s="21" t="s">
        <v>85</v>
      </c>
      <c r="F34" s="26">
        <v>7.4999999999999997E-3</v>
      </c>
      <c r="G34" s="24">
        <v>6.339861</v>
      </c>
      <c r="H34" s="24">
        <v>5.274788</v>
      </c>
      <c r="I34" s="24">
        <v>5.0635349999999999</v>
      </c>
      <c r="J34" s="24">
        <v>5.5203709999999999</v>
      </c>
      <c r="K34" s="24">
        <v>5.9391020000000001</v>
      </c>
      <c r="L34" s="24">
        <v>12.23976</v>
      </c>
      <c r="M34" s="24">
        <v>11.914999999999999</v>
      </c>
      <c r="N34" s="24">
        <v>5.5526320786955417</v>
      </c>
      <c r="O34" s="24">
        <v>3.225806451612903</v>
      </c>
      <c r="P34" s="24">
        <v>6.2246773480662991</v>
      </c>
      <c r="Q34" s="24">
        <v>7.3624823695345567</v>
      </c>
      <c r="R34" s="24">
        <v>6.62</v>
      </c>
      <c r="S34" s="24">
        <v>7.337970956278677</v>
      </c>
      <c r="T34" s="21">
        <v>1</v>
      </c>
      <c r="U34" s="21" t="s">
        <v>72</v>
      </c>
      <c r="V34" s="41">
        <v>2E-3</v>
      </c>
      <c r="W34" s="41">
        <v>7.4999999999999997E-3</v>
      </c>
      <c r="X34" s="24">
        <v>0.30413905205840169</v>
      </c>
      <c r="Y34" s="21" t="s">
        <v>2852</v>
      </c>
      <c r="Z34"/>
    </row>
    <row r="35" spans="1:26" x14ac:dyDescent="0.25">
      <c r="A35" t="s">
        <v>109</v>
      </c>
      <c r="B35" s="25" t="s">
        <v>178</v>
      </c>
      <c r="C35" s="21" t="s">
        <v>244</v>
      </c>
      <c r="D35" s="21" t="s">
        <v>73</v>
      </c>
      <c r="E35" s="21" t="s">
        <v>99</v>
      </c>
      <c r="F35" s="26">
        <v>7.4999999999999997E-3</v>
      </c>
      <c r="G35" s="24">
        <v>5.3187340000000001</v>
      </c>
      <c r="H35" s="24">
        <v>2.7964470000000001</v>
      </c>
      <c r="I35" s="24">
        <v>6.0146009999999999</v>
      </c>
      <c r="J35" s="24">
        <v>4.7708079999999997</v>
      </c>
      <c r="K35" s="24">
        <v>1.908982</v>
      </c>
      <c r="L35" s="24">
        <v>10.542439999999999</v>
      </c>
      <c r="M35" s="24">
        <v>9.8774999999999995</v>
      </c>
      <c r="N35" s="24">
        <v>3.0248621171951151</v>
      </c>
      <c r="O35" s="24">
        <v>7.6041666666666661</v>
      </c>
      <c r="P35" s="24">
        <v>7.0149253731343286</v>
      </c>
      <c r="Q35" s="24">
        <v>7.1237904243211272</v>
      </c>
      <c r="R35" s="24">
        <v>6.99</v>
      </c>
      <c r="S35" s="24">
        <v>6.4542816723636847</v>
      </c>
      <c r="T35" s="21">
        <v>0</v>
      </c>
      <c r="U35" s="21" t="s">
        <v>2790</v>
      </c>
      <c r="V35" s="41">
        <v>2E-3</v>
      </c>
      <c r="W35" s="41">
        <v>7.4999999999999997E-3</v>
      </c>
      <c r="X35" s="24">
        <v>1.160508045623603</v>
      </c>
      <c r="Y35" s="21" t="s">
        <v>2795</v>
      </c>
      <c r="Z35"/>
    </row>
    <row r="36" spans="1:26" x14ac:dyDescent="0.25">
      <c r="A36" t="s">
        <v>291</v>
      </c>
      <c r="B36" s="25" t="s">
        <v>292</v>
      </c>
      <c r="C36" s="21" t="s">
        <v>245</v>
      </c>
      <c r="D36" s="21" t="s">
        <v>73</v>
      </c>
      <c r="E36" s="21" t="s">
        <v>85</v>
      </c>
      <c r="F36" s="26">
        <v>7.4999999999999997E-3</v>
      </c>
      <c r="G36" s="24">
        <v>6.6167670000000003</v>
      </c>
      <c r="H36" s="24">
        <v>4.2422890000000004</v>
      </c>
      <c r="I36" s="24">
        <v>6.4293969999999998</v>
      </c>
      <c r="J36" s="24">
        <v>5.7201199999999996</v>
      </c>
      <c r="K36" s="24">
        <v>5.3467399999999996</v>
      </c>
      <c r="L36" s="24">
        <v>13.80223</v>
      </c>
      <c r="M36" s="24">
        <v>3.7018</v>
      </c>
      <c r="N36" s="24">
        <v>5.0748697916666661</v>
      </c>
      <c r="O36" s="24">
        <v>4.4329896907216488</v>
      </c>
      <c r="P36" s="24">
        <v>4.4300518134715032</v>
      </c>
      <c r="Q36" s="24">
        <v>7.6180217973285345</v>
      </c>
      <c r="R36" s="24">
        <v>7.27</v>
      </c>
      <c r="S36" s="24">
        <v>6.8072863648592161</v>
      </c>
      <c r="T36" s="21">
        <v>0</v>
      </c>
      <c r="U36" s="21" t="s">
        <v>2790</v>
      </c>
      <c r="V36" s="41">
        <v>2E-3</v>
      </c>
      <c r="W36" s="41">
        <v>7.4999999999999997E-3</v>
      </c>
      <c r="X36" s="24">
        <v>0.93209780792370234</v>
      </c>
      <c r="Y36" s="21" t="s">
        <v>3495</v>
      </c>
      <c r="Z36"/>
    </row>
    <row r="37" spans="1:26" x14ac:dyDescent="0.25">
      <c r="A37" t="s">
        <v>4411</v>
      </c>
      <c r="B37" s="25" t="s">
        <v>4481</v>
      </c>
      <c r="C37" s="21" t="s">
        <v>244</v>
      </c>
      <c r="D37" s="21" t="s">
        <v>73</v>
      </c>
      <c r="E37" s="21" t="s">
        <v>98</v>
      </c>
      <c r="F37" s="26">
        <v>7.4999999999999997E-3</v>
      </c>
      <c r="G37" s="24">
        <v>5.1654400000000003</v>
      </c>
      <c r="H37" s="24">
        <v>4.5763780000000001</v>
      </c>
      <c r="I37" s="24">
        <v>5.2136810000000002</v>
      </c>
      <c r="J37" s="24">
        <v>4.9491110000000003</v>
      </c>
      <c r="K37" s="24">
        <v>2.0266250000000001</v>
      </c>
      <c r="L37" s="24">
        <v>8.5701459999999994</v>
      </c>
      <c r="M37" s="24">
        <v>30.0291</v>
      </c>
      <c r="N37" s="24">
        <v>6.8940049652035427</v>
      </c>
      <c r="O37" s="24">
        <v>8.3673469387755102</v>
      </c>
      <c r="P37" s="24">
        <v>8.9027911411079543</v>
      </c>
      <c r="Q37" s="24">
        <v>4.8476500576857093</v>
      </c>
      <c r="R37" s="24">
        <v>7.76</v>
      </c>
      <c r="S37" s="24">
        <v>6.8840011630127673</v>
      </c>
      <c r="T37" s="21">
        <v>0</v>
      </c>
      <c r="U37" s="21" t="s">
        <v>2790</v>
      </c>
      <c r="V37" s="41">
        <v>2E-3</v>
      </c>
      <c r="W37" s="41">
        <v>7.4999999999999997E-3</v>
      </c>
      <c r="X37" s="24">
        <v>0.86212840849764472</v>
      </c>
      <c r="Y37" s="21" t="s">
        <v>4482</v>
      </c>
      <c r="Z37"/>
    </row>
    <row r="38" spans="1:26" x14ac:dyDescent="0.25">
      <c r="A38" s="62" t="s">
        <v>1210</v>
      </c>
      <c r="B38" s="66" t="s">
        <v>1211</v>
      </c>
      <c r="C38" s="62" t="s">
        <v>244</v>
      </c>
      <c r="D38" s="62" t="s">
        <v>73</v>
      </c>
      <c r="E38" s="62" t="s">
        <v>93</v>
      </c>
      <c r="F38" s="67">
        <v>7.4999999999999997E-3</v>
      </c>
      <c r="G38" s="68">
        <v>5.3941540000000003</v>
      </c>
      <c r="H38" s="68">
        <v>5.2797070000000001</v>
      </c>
      <c r="I38" s="68">
        <v>4.8116490000000001</v>
      </c>
      <c r="J38" s="68">
        <v>5.1502210000000002</v>
      </c>
      <c r="K38" s="68">
        <v>1.8428990000000001</v>
      </c>
      <c r="L38" s="68">
        <v>12.87528</v>
      </c>
      <c r="M38" s="68">
        <v>1.1532</v>
      </c>
      <c r="N38" s="68">
        <v>6.1458333333333321</v>
      </c>
      <c r="O38" s="68">
        <v>9.3814432989690726</v>
      </c>
      <c r="P38" s="68">
        <v>4.5768569948186535</v>
      </c>
      <c r="Q38" s="68">
        <v>7.7586445391138428</v>
      </c>
      <c r="R38" s="68">
        <v>4.72</v>
      </c>
      <c r="S38" s="68">
        <v>6.8360095223322332</v>
      </c>
      <c r="T38" s="62">
        <v>1</v>
      </c>
      <c r="U38" s="62" t="s">
        <v>262</v>
      </c>
      <c r="V38" s="73">
        <v>2E-3</v>
      </c>
      <c r="W38" s="74">
        <v>7.4999999999999997E-3</v>
      </c>
      <c r="X38" s="68">
        <v>0.6548769868560762</v>
      </c>
      <c r="Y38" s="68" t="s">
        <v>3237</v>
      </c>
      <c r="Z38"/>
    </row>
    <row r="39" spans="1:26" x14ac:dyDescent="0.25">
      <c r="A39" t="s">
        <v>168</v>
      </c>
      <c r="B39" s="25" t="s">
        <v>235</v>
      </c>
      <c r="C39" s="21" t="s">
        <v>244</v>
      </c>
      <c r="D39" s="21" t="s">
        <v>73</v>
      </c>
      <c r="E39" s="21" t="s">
        <v>96</v>
      </c>
      <c r="F39" s="26">
        <v>7.4999999999999997E-3</v>
      </c>
      <c r="G39" s="24">
        <v>3.3784299999999998</v>
      </c>
      <c r="H39" s="24">
        <v>6.7234670000000003</v>
      </c>
      <c r="I39" s="24">
        <v>5.1615039999999999</v>
      </c>
      <c r="J39" s="24">
        <v>5.0878009999999998</v>
      </c>
      <c r="K39" s="24">
        <v>0.67675759999999996</v>
      </c>
      <c r="L39" s="24">
        <v>11.79818</v>
      </c>
      <c r="M39" s="24">
        <v>8.2091999999999992</v>
      </c>
      <c r="N39" s="24">
        <v>5.4244101223665764</v>
      </c>
      <c r="O39" s="24">
        <v>9.1836734693877542</v>
      </c>
      <c r="P39" s="24">
        <v>7.5457170261625306</v>
      </c>
      <c r="Q39" s="24">
        <v>8.3820716832903468</v>
      </c>
      <c r="R39" s="24">
        <v>5.33</v>
      </c>
      <c r="S39" s="24">
        <v>6.8938057793623431</v>
      </c>
      <c r="T39" s="21">
        <v>1</v>
      </c>
      <c r="U39" s="21" t="s">
        <v>262</v>
      </c>
      <c r="V39" s="41">
        <v>2E-3</v>
      </c>
      <c r="W39" s="41">
        <v>7.4999999999999997E-3</v>
      </c>
      <c r="X39" s="24">
        <v>1.267986379810031</v>
      </c>
      <c r="Y39" s="21" t="s">
        <v>3100</v>
      </c>
      <c r="Z39"/>
    </row>
    <row r="40" spans="1:26" x14ac:dyDescent="0.25">
      <c r="A40" s="21" t="s">
        <v>117</v>
      </c>
      <c r="B40" s="25" t="s">
        <v>185</v>
      </c>
      <c r="C40" s="21" t="s">
        <v>245</v>
      </c>
      <c r="D40" s="21" t="s">
        <v>73</v>
      </c>
      <c r="E40" s="21" t="s">
        <v>93</v>
      </c>
      <c r="F40" s="26">
        <v>7.4999999999999954E-3</v>
      </c>
      <c r="G40" s="24">
        <v>4.4575310000000004</v>
      </c>
      <c r="H40" s="24">
        <v>5.535596</v>
      </c>
      <c r="I40" s="24">
        <v>4.4274800000000001</v>
      </c>
      <c r="J40" s="24">
        <v>4.8243359999999997</v>
      </c>
      <c r="K40" s="24">
        <v>4.7607670000000004</v>
      </c>
      <c r="L40" s="24">
        <v>12.613</v>
      </c>
      <c r="M40" s="24">
        <v>6.8982999999999999</v>
      </c>
      <c r="N40" s="24">
        <v>4.664713541666667</v>
      </c>
      <c r="O40" s="24">
        <v>5.9793814432989674</v>
      </c>
      <c r="P40" s="24">
        <v>5.0259067357512963</v>
      </c>
      <c r="Q40" s="24">
        <v>7.4487005368115309</v>
      </c>
      <c r="R40" s="24">
        <v>7.32</v>
      </c>
      <c r="S40" s="24">
        <v>6.3540467169138655</v>
      </c>
      <c r="T40" s="21">
        <v>0</v>
      </c>
      <c r="U40" s="21" t="s">
        <v>2790</v>
      </c>
      <c r="V40" s="41">
        <v>2E-3</v>
      </c>
      <c r="W40" s="41">
        <v>7.4999999999999997E-3</v>
      </c>
      <c r="X40" s="24">
        <v>0.86269775427309814</v>
      </c>
      <c r="Y40" s="21" t="s">
        <v>2817</v>
      </c>
      <c r="Z40"/>
    </row>
    <row r="41" spans="1:26" x14ac:dyDescent="0.25">
      <c r="A41" t="s">
        <v>110</v>
      </c>
      <c r="B41" s="25" t="s">
        <v>179</v>
      </c>
      <c r="C41" s="21" t="s">
        <v>244</v>
      </c>
      <c r="D41" s="21" t="s">
        <v>73</v>
      </c>
      <c r="E41" s="21" t="s">
        <v>98</v>
      </c>
      <c r="F41" s="26">
        <v>7.4999999999999902E-3</v>
      </c>
      <c r="G41" s="24">
        <v>6.1544999999999996</v>
      </c>
      <c r="H41" s="24">
        <v>4.1673689999999999</v>
      </c>
      <c r="I41" s="24">
        <v>8.0199160000000003</v>
      </c>
      <c r="J41" s="24">
        <v>6.1058139999999996</v>
      </c>
      <c r="K41" s="24">
        <v>4.6910730000000003</v>
      </c>
      <c r="L41" s="24">
        <v>8.0376019999999997</v>
      </c>
      <c r="M41" s="24">
        <v>13.2194</v>
      </c>
      <c r="N41" s="24">
        <v>0</v>
      </c>
      <c r="O41" s="24">
        <v>2.9591836734693877</v>
      </c>
      <c r="P41" s="24">
        <v>7.5168431088232657</v>
      </c>
      <c r="Q41" s="24">
        <v>7.5949655720178741</v>
      </c>
      <c r="R41" s="24">
        <v>8.06</v>
      </c>
      <c r="S41" s="24">
        <v>6.4330476720229024</v>
      </c>
      <c r="T41" s="21">
        <v>1</v>
      </c>
      <c r="U41" s="21" t="s">
        <v>262</v>
      </c>
      <c r="V41" s="41">
        <v>2E-3</v>
      </c>
      <c r="W41" s="41">
        <v>7.4999999999999997E-3</v>
      </c>
      <c r="X41" s="24">
        <v>1.2377703466930099</v>
      </c>
      <c r="Y41" s="21" t="s">
        <v>2798</v>
      </c>
      <c r="Z41"/>
    </row>
    <row r="42" spans="1:26" x14ac:dyDescent="0.25">
      <c r="A42" s="21" t="s">
        <v>4349</v>
      </c>
      <c r="B42" s="25" t="s">
        <v>4350</v>
      </c>
      <c r="C42" s="21" t="s">
        <v>244</v>
      </c>
      <c r="D42" s="21" t="s">
        <v>73</v>
      </c>
      <c r="E42" s="21" t="s">
        <v>92</v>
      </c>
      <c r="F42" s="55">
        <v>7.4999999999999832E-3</v>
      </c>
      <c r="G42" s="24">
        <v>5.7423780000000004</v>
      </c>
      <c r="H42" s="24">
        <v>3.8569969999999998</v>
      </c>
      <c r="I42" s="24">
        <v>4.4854919999999998</v>
      </c>
      <c r="J42" s="24">
        <v>4.7996980000000002</v>
      </c>
      <c r="K42" s="24">
        <v>1.2456119999999999</v>
      </c>
      <c r="L42" s="24">
        <v>5.1152850000000001</v>
      </c>
      <c r="M42" s="24">
        <v>42.2498</v>
      </c>
      <c r="N42" s="24">
        <v>4.9715909090909092</v>
      </c>
      <c r="O42" s="24">
        <v>6.4646464646464654</v>
      </c>
      <c r="P42" s="24">
        <v>7.5283213284106232</v>
      </c>
      <c r="Q42" s="24">
        <v>4.1521985664985399</v>
      </c>
      <c r="R42" s="24">
        <v>6.04</v>
      </c>
      <c r="S42" s="24">
        <v>5.420197934598197</v>
      </c>
      <c r="T42" s="21">
        <v>0</v>
      </c>
      <c r="U42" s="21" t="s">
        <v>2790</v>
      </c>
      <c r="V42" s="56">
        <v>2E-3</v>
      </c>
      <c r="W42" s="56">
        <v>7.4999999999999997E-3</v>
      </c>
      <c r="X42" s="24">
        <v>1.1944678681500742</v>
      </c>
      <c r="Y42" s="21" t="s">
        <v>4351</v>
      </c>
      <c r="Z42"/>
    </row>
    <row r="43" spans="1:26" x14ac:dyDescent="0.25">
      <c r="A43" s="21" t="s">
        <v>120</v>
      </c>
      <c r="B43" s="25" t="s">
        <v>188</v>
      </c>
      <c r="C43" s="21" t="s">
        <v>244</v>
      </c>
      <c r="D43" s="21" t="s">
        <v>73</v>
      </c>
      <c r="E43" s="21" t="s">
        <v>99</v>
      </c>
      <c r="F43" s="26">
        <v>7.4999999999999746E-3</v>
      </c>
      <c r="G43" s="24">
        <v>5.9872959999999997</v>
      </c>
      <c r="H43" s="24">
        <v>4.8628590000000003</v>
      </c>
      <c r="I43" s="24">
        <v>4.1957389999999997</v>
      </c>
      <c r="J43" s="24">
        <v>5.1124980000000004</v>
      </c>
      <c r="K43" s="24">
        <v>1.9730920000000001</v>
      </c>
      <c r="L43" s="24">
        <v>5.9354370000000003</v>
      </c>
      <c r="M43" s="24">
        <v>153.85419999999999</v>
      </c>
      <c r="N43" s="24">
        <v>2.9952646405102321</v>
      </c>
      <c r="O43" s="24">
        <v>0.3125</v>
      </c>
      <c r="P43" s="24">
        <v>6.298507462686568</v>
      </c>
      <c r="Q43" s="24">
        <v>6.4085847390363435</v>
      </c>
      <c r="R43" s="24">
        <v>8.75</v>
      </c>
      <c r="S43" s="24">
        <v>6.3561726736438278</v>
      </c>
      <c r="T43" s="21">
        <v>1</v>
      </c>
      <c r="U43" s="21" t="s">
        <v>262</v>
      </c>
      <c r="V43" s="41">
        <v>2E-3</v>
      </c>
      <c r="W43" s="41">
        <v>7.4999999999999997E-3</v>
      </c>
      <c r="X43" s="24">
        <v>1.7833053382561386</v>
      </c>
      <c r="Y43" s="21" t="s">
        <v>2823</v>
      </c>
      <c r="Z43"/>
    </row>
    <row r="44" spans="1:26" x14ac:dyDescent="0.25">
      <c r="A44" t="s">
        <v>1266</v>
      </c>
      <c r="B44" s="25" t="s">
        <v>1267</v>
      </c>
      <c r="C44" s="21" t="s">
        <v>244</v>
      </c>
      <c r="D44" s="21" t="s">
        <v>73</v>
      </c>
      <c r="E44" s="21" t="s">
        <v>98</v>
      </c>
      <c r="F44" s="26">
        <v>7.4999999999999668E-3</v>
      </c>
      <c r="G44" s="24">
        <v>7.696682</v>
      </c>
      <c r="H44" s="24">
        <v>6.5597599999999998</v>
      </c>
      <c r="I44" s="24">
        <v>6.5058879999999997</v>
      </c>
      <c r="J44" s="24">
        <v>6.7655950000000002</v>
      </c>
      <c r="K44" s="24">
        <v>2.0715110000000001</v>
      </c>
      <c r="L44" s="24">
        <v>10.975149999999999</v>
      </c>
      <c r="M44" s="24">
        <v>13.495799999999999</v>
      </c>
      <c r="N44" s="24">
        <v>0.73690806366690276</v>
      </c>
      <c r="O44" s="24">
        <v>6.9387755102040813</v>
      </c>
      <c r="P44" s="24">
        <v>7.4302213568054718</v>
      </c>
      <c r="Q44" s="24">
        <v>7.0926383942064062</v>
      </c>
      <c r="R44" s="24">
        <v>5.94</v>
      </c>
      <c r="S44" s="24">
        <v>6.23416690854922</v>
      </c>
      <c r="T44" s="21">
        <v>1</v>
      </c>
      <c r="U44" s="21" t="s">
        <v>262</v>
      </c>
      <c r="V44" s="41">
        <v>2E-3</v>
      </c>
      <c r="W44" s="41">
        <v>7.4999999999999997E-3</v>
      </c>
      <c r="X44" s="24">
        <v>1.1026735364964191</v>
      </c>
      <c r="Y44" s="21" t="s">
        <v>3284</v>
      </c>
      <c r="Z44"/>
    </row>
    <row r="45" spans="1:26" x14ac:dyDescent="0.25">
      <c r="A45" t="s">
        <v>283</v>
      </c>
      <c r="B45" s="25" t="s">
        <v>284</v>
      </c>
      <c r="C45" s="21" t="s">
        <v>245</v>
      </c>
      <c r="D45" s="21" t="s">
        <v>73</v>
      </c>
      <c r="E45" s="21" t="s">
        <v>85</v>
      </c>
      <c r="F45" s="26">
        <v>7.4999999999999616E-3</v>
      </c>
      <c r="G45" s="24">
        <v>5.1248139999999998</v>
      </c>
      <c r="H45" s="24">
        <v>7.0761729999999998</v>
      </c>
      <c r="I45" s="24">
        <v>6.6859950000000001</v>
      </c>
      <c r="J45" s="24">
        <v>6.354203</v>
      </c>
      <c r="K45" s="24">
        <v>3.8412160000000002</v>
      </c>
      <c r="L45" s="24">
        <v>11.49991</v>
      </c>
      <c r="M45" s="24">
        <v>1.9797</v>
      </c>
      <c r="N45" s="24">
        <v>5.985242187499999</v>
      </c>
      <c r="O45" s="24">
        <v>3.2989690721649478</v>
      </c>
      <c r="P45" s="24">
        <v>6.3989637305699487</v>
      </c>
      <c r="Q45" s="24">
        <v>5.6665225235732484</v>
      </c>
      <c r="R45" s="24">
        <v>6.76</v>
      </c>
      <c r="S45" s="24">
        <v>7.0741983088573308</v>
      </c>
      <c r="T45" s="21">
        <v>1</v>
      </c>
      <c r="U45" s="21" t="s">
        <v>72</v>
      </c>
      <c r="V45" s="41">
        <v>2E-3</v>
      </c>
      <c r="W45" s="41">
        <v>7.4999999999999997E-3</v>
      </c>
      <c r="X45" s="24">
        <v>0.81061110146874937</v>
      </c>
      <c r="Y45" s="21" t="s">
        <v>3294</v>
      </c>
      <c r="Z45"/>
    </row>
    <row r="46" spans="1:26" x14ac:dyDescent="0.25">
      <c r="A46" s="21" t="s">
        <v>1431</v>
      </c>
      <c r="B46" s="40" t="s">
        <v>1432</v>
      </c>
      <c r="C46" s="21" t="s">
        <v>244</v>
      </c>
      <c r="D46" s="21" t="s">
        <v>73</v>
      </c>
      <c r="E46" s="21" t="s">
        <v>99</v>
      </c>
      <c r="F46" s="55">
        <v>7.4999999999999564E-3</v>
      </c>
      <c r="G46" s="24">
        <v>7.4870660000000004</v>
      </c>
      <c r="H46" s="24">
        <v>7.1658540000000004</v>
      </c>
      <c r="I46" s="24">
        <v>6.7407690000000002</v>
      </c>
      <c r="J46" s="24">
        <v>7.1668130000000003</v>
      </c>
      <c r="K46" s="24">
        <v>3.7447710000000001</v>
      </c>
      <c r="L46" s="24">
        <v>12.748699999999999</v>
      </c>
      <c r="M46" s="24">
        <v>4.6989999999999998</v>
      </c>
      <c r="N46" s="24">
        <v>1.6811366757013946</v>
      </c>
      <c r="O46" s="24">
        <v>1.875</v>
      </c>
      <c r="P46" s="24">
        <v>5.3333337313432843</v>
      </c>
      <c r="Q46" s="24">
        <v>10</v>
      </c>
      <c r="R46" s="24">
        <v>7.89</v>
      </c>
      <c r="S46" s="24">
        <v>7.4416683641966612</v>
      </c>
      <c r="T46" s="21">
        <v>1</v>
      </c>
      <c r="U46" s="21" t="s">
        <v>72</v>
      </c>
      <c r="V46" s="56">
        <v>2E-3</v>
      </c>
      <c r="W46" s="56">
        <v>7.4999999999999997E-3</v>
      </c>
      <c r="X46" s="24">
        <v>1.0741617710139426</v>
      </c>
      <c r="Y46" s="24" t="s">
        <v>3363</v>
      </c>
      <c r="Z46"/>
    </row>
    <row r="47" spans="1:26" x14ac:dyDescent="0.25">
      <c r="A47" t="s">
        <v>573</v>
      </c>
      <c r="B47" s="25" t="s">
        <v>952</v>
      </c>
      <c r="C47" s="21" t="s">
        <v>244</v>
      </c>
      <c r="D47" s="21" t="s">
        <v>73</v>
      </c>
      <c r="E47" s="21" t="s">
        <v>87</v>
      </c>
      <c r="F47" s="26">
        <v>7.4999999999999468E-3</v>
      </c>
      <c r="G47" s="24">
        <v>4.3710709999999997</v>
      </c>
      <c r="H47" s="24">
        <v>4.791004</v>
      </c>
      <c r="I47" s="24">
        <v>7.3135199999999996</v>
      </c>
      <c r="J47" s="24">
        <v>5.4918649999999998</v>
      </c>
      <c r="K47" s="24">
        <v>2.2620619999999998</v>
      </c>
      <c r="L47" s="24">
        <v>7.9923380000000002</v>
      </c>
      <c r="M47" s="24">
        <v>760.2645</v>
      </c>
      <c r="N47" s="24">
        <v>2.5309913497412877</v>
      </c>
      <c r="O47" s="24">
        <v>5.0515463917525771</v>
      </c>
      <c r="P47" s="24">
        <v>8.3703703703703702</v>
      </c>
      <c r="Q47" s="24">
        <v>7.0024072612156658</v>
      </c>
      <c r="R47" s="24">
        <v>5.58</v>
      </c>
      <c r="S47" s="24">
        <v>6.8530970257105306</v>
      </c>
      <c r="T47" s="21">
        <v>1</v>
      </c>
      <c r="U47" s="21" t="s">
        <v>262</v>
      </c>
      <c r="V47" s="41">
        <v>2E-3</v>
      </c>
      <c r="W47" s="41">
        <v>7.4999999999999997E-3</v>
      </c>
      <c r="X47" s="24">
        <v>0.62080956557997802</v>
      </c>
      <c r="Y47" s="21" t="s">
        <v>3058</v>
      </c>
      <c r="Z47"/>
    </row>
    <row r="48" spans="1:26" x14ac:dyDescent="0.25">
      <c r="A48" t="s">
        <v>1363</v>
      </c>
      <c r="B48" s="25" t="s">
        <v>1364</v>
      </c>
      <c r="C48" s="21" t="s">
        <v>244</v>
      </c>
      <c r="D48" s="21" t="s">
        <v>73</v>
      </c>
      <c r="E48" s="21" t="s">
        <v>89</v>
      </c>
      <c r="F48" s="26">
        <v>7.4999999999999416E-3</v>
      </c>
      <c r="G48" s="24">
        <v>4.5051990000000002</v>
      </c>
      <c r="H48" s="24">
        <v>5.4513829999999999</v>
      </c>
      <c r="I48" s="24">
        <v>7.2602419999999999</v>
      </c>
      <c r="J48" s="24">
        <v>5.8006279999999997</v>
      </c>
      <c r="K48" s="24">
        <v>3.6982020000000002</v>
      </c>
      <c r="L48" s="24">
        <v>10.31954</v>
      </c>
      <c r="M48" s="24">
        <v>6.0065999999999997</v>
      </c>
      <c r="N48" s="24">
        <v>5.0358072916666661</v>
      </c>
      <c r="O48" s="24">
        <v>3.7113402061855663</v>
      </c>
      <c r="P48" s="24">
        <v>4.0155440414507773</v>
      </c>
      <c r="Q48" s="24">
        <v>6.3409377137680902</v>
      </c>
      <c r="R48" s="24">
        <v>6.56</v>
      </c>
      <c r="S48" s="24">
        <v>5.7635902623647706</v>
      </c>
      <c r="T48" s="21">
        <v>1</v>
      </c>
      <c r="U48" s="21" t="s">
        <v>262</v>
      </c>
      <c r="V48" s="41">
        <v>2E-3</v>
      </c>
      <c r="W48" s="41">
        <v>7.4999999999999997E-3</v>
      </c>
      <c r="X48" s="24">
        <v>1.1603896743485571</v>
      </c>
      <c r="Y48" s="21" t="s">
        <v>3290</v>
      </c>
      <c r="Z48"/>
    </row>
    <row r="49" spans="1:26" x14ac:dyDescent="0.25">
      <c r="A49" t="s">
        <v>820</v>
      </c>
      <c r="B49" s="25" t="s">
        <v>821</v>
      </c>
      <c r="C49" s="21" t="s">
        <v>244</v>
      </c>
      <c r="D49" s="21" t="s">
        <v>73</v>
      </c>
      <c r="E49" s="21" t="s">
        <v>87</v>
      </c>
      <c r="F49" s="26">
        <v>7.4999999999999121E-3</v>
      </c>
      <c r="G49" s="24">
        <v>5.3075049999999999</v>
      </c>
      <c r="H49" s="24">
        <v>6.7833129999999997</v>
      </c>
      <c r="I49" s="24">
        <v>6.2585090000000001</v>
      </c>
      <c r="J49" s="24">
        <v>6.1164430000000003</v>
      </c>
      <c r="K49" s="24">
        <v>4.8982729999999997</v>
      </c>
      <c r="L49" s="24">
        <v>8.9720589999999998</v>
      </c>
      <c r="M49" s="24">
        <v>573.91930000000002</v>
      </c>
      <c r="N49" s="24">
        <v>3.2592971724843576</v>
      </c>
      <c r="O49" s="24">
        <v>3.2989690721649478</v>
      </c>
      <c r="P49" s="24">
        <v>5.8888888888888893</v>
      </c>
      <c r="Q49" s="24">
        <v>7.5873950566345041</v>
      </c>
      <c r="R49" s="24">
        <v>8.42</v>
      </c>
      <c r="S49" s="24">
        <v>7.2926599265150189</v>
      </c>
      <c r="T49" s="21">
        <v>0</v>
      </c>
      <c r="U49" s="21" t="s">
        <v>2790</v>
      </c>
      <c r="V49" s="41">
        <v>2E-3</v>
      </c>
      <c r="W49" s="41">
        <v>7.4999999999999997E-3</v>
      </c>
      <c r="X49" s="24">
        <v>0.88857804499589355</v>
      </c>
      <c r="Y49" s="21" t="s">
        <v>2810</v>
      </c>
      <c r="Z49"/>
    </row>
    <row r="50" spans="1:26" x14ac:dyDescent="0.25">
      <c r="A50" t="s">
        <v>765</v>
      </c>
      <c r="B50" s="25" t="s">
        <v>766</v>
      </c>
      <c r="C50" s="21" t="s">
        <v>244</v>
      </c>
      <c r="D50" s="21" t="s">
        <v>73</v>
      </c>
      <c r="E50" s="21" t="s">
        <v>90</v>
      </c>
      <c r="F50" s="26">
        <v>7.4999999999998965E-3</v>
      </c>
      <c r="G50" s="24">
        <v>5.976871</v>
      </c>
      <c r="H50" s="24">
        <v>4.4203539999999997</v>
      </c>
      <c r="I50" s="24">
        <v>6.3996500000000003</v>
      </c>
      <c r="J50" s="24">
        <v>5.6367500000000001</v>
      </c>
      <c r="K50" s="24">
        <v>3.3489230000000001</v>
      </c>
      <c r="L50" s="24">
        <v>5.2940329999999998</v>
      </c>
      <c r="M50" s="24">
        <v>63.437600000000003</v>
      </c>
      <c r="N50" s="24">
        <v>3.8908911319394375</v>
      </c>
      <c r="O50" s="24">
        <v>3.4020618556701026</v>
      </c>
      <c r="P50" s="24">
        <v>4.1078838174273855</v>
      </c>
      <c r="Q50" s="24">
        <v>5.3502052855120326</v>
      </c>
      <c r="R50" s="24">
        <v>6.67</v>
      </c>
      <c r="S50" s="24">
        <v>5.2589959982838561</v>
      </c>
      <c r="T50" s="21">
        <v>0</v>
      </c>
      <c r="U50" s="21" t="s">
        <v>2790</v>
      </c>
      <c r="V50" s="41">
        <v>2E-3</v>
      </c>
      <c r="W50" s="41">
        <v>7.4999999999999997E-3</v>
      </c>
      <c r="X50" s="24">
        <v>7.7194945614716182E-2</v>
      </c>
      <c r="Y50" s="21" t="s">
        <v>3698</v>
      </c>
      <c r="Z50"/>
    </row>
    <row r="51" spans="1:26" x14ac:dyDescent="0.25">
      <c r="A51" t="s">
        <v>747</v>
      </c>
      <c r="B51" s="25" t="s">
        <v>748</v>
      </c>
      <c r="C51" s="21" t="s">
        <v>244</v>
      </c>
      <c r="D51" s="21" t="s">
        <v>73</v>
      </c>
      <c r="E51" s="21" t="s">
        <v>97</v>
      </c>
      <c r="F51" s="26">
        <v>7.4999999999998922E-3</v>
      </c>
      <c r="G51" s="24">
        <v>6.7360280000000001</v>
      </c>
      <c r="H51" s="24">
        <v>3.6207980000000002</v>
      </c>
      <c r="I51" s="24">
        <v>5.6591389999999997</v>
      </c>
      <c r="J51" s="24">
        <v>5.682226</v>
      </c>
      <c r="K51" s="24">
        <v>5.2470439999999998</v>
      </c>
      <c r="L51" s="24">
        <v>4.4611340000000004</v>
      </c>
      <c r="M51" s="24">
        <v>43.764000000000003</v>
      </c>
      <c r="N51" s="24">
        <v>1.3118809716368032</v>
      </c>
      <c r="O51" s="24">
        <v>7.9381443298969065</v>
      </c>
      <c r="P51" s="24">
        <v>9.0000000000000018</v>
      </c>
      <c r="Q51" s="24">
        <v>5.243714004775951</v>
      </c>
      <c r="R51" s="24">
        <v>6.32</v>
      </c>
      <c r="S51" s="24">
        <v>6.1138952822072055</v>
      </c>
      <c r="T51" s="21">
        <v>0</v>
      </c>
      <c r="U51" s="21" t="s">
        <v>2790</v>
      </c>
      <c r="V51" s="41">
        <v>2E-3</v>
      </c>
      <c r="W51" s="41">
        <v>7.4999999999999997E-3</v>
      </c>
      <c r="X51" s="24">
        <v>1.0385860489982526</v>
      </c>
      <c r="Y51" s="21" t="s">
        <v>2820</v>
      </c>
      <c r="Z51"/>
    </row>
    <row r="52" spans="1:26" x14ac:dyDescent="0.25">
      <c r="A52" t="s">
        <v>119</v>
      </c>
      <c r="B52" s="25" t="s">
        <v>187</v>
      </c>
      <c r="C52" s="21" t="s">
        <v>244</v>
      </c>
      <c r="D52" s="21" t="s">
        <v>73</v>
      </c>
      <c r="E52" s="21" t="s">
        <v>92</v>
      </c>
      <c r="F52" s="26">
        <v>7.4999999999998696E-3</v>
      </c>
      <c r="G52" s="24">
        <v>5.4387340000000002</v>
      </c>
      <c r="H52" s="24">
        <v>4.2758789999999998</v>
      </c>
      <c r="I52" s="24">
        <v>4.0361710000000004</v>
      </c>
      <c r="J52" s="24">
        <v>4.6691079999999996</v>
      </c>
      <c r="K52" s="24">
        <v>3.0402070000000001</v>
      </c>
      <c r="L52" s="24">
        <v>8.5398870000000002</v>
      </c>
      <c r="M52" s="24">
        <v>13.4786</v>
      </c>
      <c r="N52" s="24">
        <v>2.0549232954545458</v>
      </c>
      <c r="O52" s="24">
        <v>9.6969696969696955</v>
      </c>
      <c r="P52" s="24">
        <v>7.7754891955695618</v>
      </c>
      <c r="Q52" s="24">
        <v>8.3157239182373246</v>
      </c>
      <c r="R52" s="24">
        <v>7.52</v>
      </c>
      <c r="S52" s="24">
        <v>7.4268690335368053</v>
      </c>
      <c r="T52" s="21">
        <v>0</v>
      </c>
      <c r="U52" s="21" t="s">
        <v>2790</v>
      </c>
      <c r="V52" s="41">
        <v>2E-3</v>
      </c>
      <c r="W52" s="41">
        <v>7.4999999999999997E-3</v>
      </c>
      <c r="X52" s="24">
        <v>1.0790100129408151</v>
      </c>
      <c r="Y52" s="21" t="s">
        <v>2822</v>
      </c>
      <c r="Z52"/>
    </row>
    <row r="53" spans="1:26" x14ac:dyDescent="0.25">
      <c r="A53" t="s">
        <v>1766</v>
      </c>
      <c r="B53" s="25" t="s">
        <v>1767</v>
      </c>
      <c r="C53" s="21" t="s">
        <v>244</v>
      </c>
      <c r="D53" s="21" t="s">
        <v>73</v>
      </c>
      <c r="E53" s="21" t="s">
        <v>93</v>
      </c>
      <c r="F53" s="26">
        <v>7.4999999999998653E-3</v>
      </c>
      <c r="G53" s="24">
        <v>6.7812999999999999</v>
      </c>
      <c r="H53" s="24">
        <v>2.99112</v>
      </c>
      <c r="I53" s="24">
        <v>6.6090559999999998</v>
      </c>
      <c r="J53" s="24">
        <v>5.3944510000000001</v>
      </c>
      <c r="K53" s="24">
        <v>2.2798609999999999</v>
      </c>
      <c r="L53" s="24">
        <v>8.0299320000000005</v>
      </c>
      <c r="M53" s="24">
        <v>0.52480000000000004</v>
      </c>
      <c r="N53" s="24">
        <v>1.8912760416666665</v>
      </c>
      <c r="O53" s="24">
        <v>6.4948453608247414</v>
      </c>
      <c r="P53" s="24">
        <v>7.9274611398963746</v>
      </c>
      <c r="Q53" s="24">
        <v>5.207346223866125</v>
      </c>
      <c r="R53" s="24">
        <v>5.41</v>
      </c>
      <c r="S53" s="24">
        <v>5.084644699432312</v>
      </c>
      <c r="T53" s="21">
        <v>0</v>
      </c>
      <c r="U53" s="21" t="s">
        <v>2790</v>
      </c>
      <c r="V53" s="41">
        <v>2E-3</v>
      </c>
      <c r="W53" s="41">
        <v>7.4999999999999997E-3</v>
      </c>
      <c r="X53" s="24">
        <v>0.64669735059930478</v>
      </c>
      <c r="Y53" s="21" t="s">
        <v>3564</v>
      </c>
      <c r="Z53"/>
    </row>
    <row r="54" spans="1:26" x14ac:dyDescent="0.25">
      <c r="A54" t="s">
        <v>554</v>
      </c>
      <c r="B54" s="25" t="s">
        <v>899</v>
      </c>
      <c r="C54" s="21" t="s">
        <v>244</v>
      </c>
      <c r="D54" s="21" t="s">
        <v>73</v>
      </c>
      <c r="E54" s="21" t="s">
        <v>97</v>
      </c>
      <c r="F54" s="26">
        <v>7.499999999999854E-3</v>
      </c>
      <c r="G54" s="24">
        <v>6.1279409999999999</v>
      </c>
      <c r="H54" s="24">
        <v>7.4081099999999998</v>
      </c>
      <c r="I54" s="24">
        <v>6.1881009999999996</v>
      </c>
      <c r="J54" s="24">
        <v>6.4080389999999996</v>
      </c>
      <c r="K54" s="24">
        <v>4.2398550000000004</v>
      </c>
      <c r="L54" s="24">
        <v>5.1817589999999996</v>
      </c>
      <c r="M54" s="24">
        <v>100.0239</v>
      </c>
      <c r="N54" s="24">
        <v>2.9345440702072496</v>
      </c>
      <c r="O54" s="24">
        <v>8.4536082474226806</v>
      </c>
      <c r="P54" s="24">
        <v>7.7272727272727284</v>
      </c>
      <c r="Q54" s="24">
        <v>10</v>
      </c>
      <c r="R54" s="24">
        <v>5.18</v>
      </c>
      <c r="S54" s="24">
        <v>7.3110482572766111</v>
      </c>
      <c r="T54" s="21">
        <v>1</v>
      </c>
      <c r="U54" s="21" t="s">
        <v>72</v>
      </c>
      <c r="V54" s="41">
        <v>2E-3</v>
      </c>
      <c r="W54" s="41">
        <v>7.4999999999999997E-3</v>
      </c>
      <c r="X54" s="24">
        <v>1.1893542948950675</v>
      </c>
      <c r="Y54" s="21" t="s">
        <v>3004</v>
      </c>
      <c r="Z54"/>
    </row>
    <row r="55" spans="1:26" x14ac:dyDescent="0.25">
      <c r="A55" t="s">
        <v>655</v>
      </c>
      <c r="B55" s="25" t="s">
        <v>656</v>
      </c>
      <c r="C55" s="21" t="s">
        <v>244</v>
      </c>
      <c r="D55" s="21" t="s">
        <v>73</v>
      </c>
      <c r="E55" s="21" t="s">
        <v>95</v>
      </c>
      <c r="F55" s="26">
        <v>7.4999999999998514E-3</v>
      </c>
      <c r="G55" s="24">
        <v>6.5523389999999999</v>
      </c>
      <c r="H55" s="24">
        <v>6.820449</v>
      </c>
      <c r="I55" s="24">
        <v>4.8777860000000004</v>
      </c>
      <c r="J55" s="24">
        <v>6.1035950000000003</v>
      </c>
      <c r="K55" s="24">
        <v>4.9882730000000004</v>
      </c>
      <c r="L55" s="24">
        <v>7.2756980000000002</v>
      </c>
      <c r="M55" s="24">
        <v>446.923</v>
      </c>
      <c r="N55" s="24">
        <v>7.0449103565921938</v>
      </c>
      <c r="O55" s="24">
        <v>9.3814432989690708</v>
      </c>
      <c r="P55" s="24">
        <v>4.2140468227424748</v>
      </c>
      <c r="Q55" s="24">
        <v>3.9290202884672922</v>
      </c>
      <c r="R55" s="24">
        <v>7.54</v>
      </c>
      <c r="S55" s="24">
        <v>5.6193048200109796</v>
      </c>
      <c r="T55" s="21">
        <v>1</v>
      </c>
      <c r="U55" s="21" t="s">
        <v>262</v>
      </c>
      <c r="V55" s="41">
        <v>2E-3</v>
      </c>
      <c r="W55" s="41">
        <v>7.4999999999999997E-3</v>
      </c>
      <c r="X55" s="24">
        <v>0.77839396054517163</v>
      </c>
      <c r="Y55" s="21" t="s">
        <v>3367</v>
      </c>
      <c r="Z55"/>
    </row>
    <row r="56" spans="1:26" x14ac:dyDescent="0.25">
      <c r="A56" s="21" t="s">
        <v>458</v>
      </c>
      <c r="B56" s="25" t="s">
        <v>849</v>
      </c>
      <c r="C56" s="21" t="s">
        <v>244</v>
      </c>
      <c r="D56" s="21" t="s">
        <v>73</v>
      </c>
      <c r="E56" s="21" t="s">
        <v>89</v>
      </c>
      <c r="F56" s="26">
        <v>7.4999999999997985E-3</v>
      </c>
      <c r="G56" s="24">
        <v>5.0347600000000003</v>
      </c>
      <c r="H56" s="24">
        <v>5.2732929999999998</v>
      </c>
      <c r="I56" s="24">
        <v>5.2857820000000002</v>
      </c>
      <c r="J56" s="24">
        <v>5.2061039999999998</v>
      </c>
      <c r="K56" s="24">
        <v>2.4705080000000001</v>
      </c>
      <c r="L56" s="24">
        <v>18.53905</v>
      </c>
      <c r="M56" s="24">
        <v>2.2869999999999999</v>
      </c>
      <c r="N56" s="24">
        <v>7.5021705729166666</v>
      </c>
      <c r="O56" s="24">
        <v>6.288659793814432</v>
      </c>
      <c r="P56" s="24">
        <v>5.4404145077720214</v>
      </c>
      <c r="Q56" s="24">
        <v>9.3762847609373203</v>
      </c>
      <c r="R56" s="24">
        <v>5.0199999999999996</v>
      </c>
      <c r="S56" s="24">
        <v>7.0672542860237488</v>
      </c>
      <c r="T56" s="21">
        <v>1</v>
      </c>
      <c r="U56" s="21" t="s">
        <v>72</v>
      </c>
      <c r="V56" s="41">
        <v>2E-3</v>
      </c>
      <c r="W56" s="41">
        <v>7.4999999999999997E-3</v>
      </c>
      <c r="X56" s="24">
        <v>1.2700107698239822</v>
      </c>
      <c r="Y56" s="21" t="s">
        <v>2949</v>
      </c>
      <c r="Z56"/>
    </row>
    <row r="57" spans="1:26" x14ac:dyDescent="0.25">
      <c r="A57" t="s">
        <v>114</v>
      </c>
      <c r="B57" s="25" t="s">
        <v>183</v>
      </c>
      <c r="C57" s="21" t="s">
        <v>244</v>
      </c>
      <c r="D57" s="21" t="s">
        <v>73</v>
      </c>
      <c r="E57" s="21" t="s">
        <v>94</v>
      </c>
      <c r="F57" s="26">
        <v>7.4999999999997907E-3</v>
      </c>
      <c r="G57" s="24">
        <v>7.4902540000000002</v>
      </c>
      <c r="H57" s="24">
        <v>3.7362229999999998</v>
      </c>
      <c r="I57" s="24">
        <v>7.1940470000000003</v>
      </c>
      <c r="J57" s="24">
        <v>5.8701590000000001</v>
      </c>
      <c r="K57" s="24">
        <v>3.0957880000000002</v>
      </c>
      <c r="L57" s="24">
        <v>9.2484579999999994</v>
      </c>
      <c r="M57" s="24">
        <v>4.0467000000000004</v>
      </c>
      <c r="N57" s="24">
        <v>3.4037159465736404</v>
      </c>
      <c r="O57" s="24">
        <v>2.1428571428571428</v>
      </c>
      <c r="P57" s="24">
        <v>6.390760332591956</v>
      </c>
      <c r="Q57" s="24">
        <v>7.5809914237276521</v>
      </c>
      <c r="R57" s="24">
        <v>7.39</v>
      </c>
      <c r="S57" s="24">
        <v>6.9349741770793134</v>
      </c>
      <c r="T57" s="21">
        <v>1</v>
      </c>
      <c r="U57" s="21" t="s">
        <v>72</v>
      </c>
      <c r="V57" s="41">
        <v>2E-3</v>
      </c>
      <c r="W57" s="41">
        <v>7.4999999999999997E-3</v>
      </c>
      <c r="X57" s="24">
        <v>0.77430356810074474</v>
      </c>
      <c r="Y57" s="21" t="s">
        <v>2802</v>
      </c>
      <c r="Z57"/>
    </row>
    <row r="58" spans="1:26" x14ac:dyDescent="0.25">
      <c r="A58" t="s">
        <v>280</v>
      </c>
      <c r="B58" s="25" t="s">
        <v>1019</v>
      </c>
      <c r="C58" s="21" t="s">
        <v>244</v>
      </c>
      <c r="D58" s="21" t="s">
        <v>73</v>
      </c>
      <c r="E58" s="21" t="s">
        <v>92</v>
      </c>
      <c r="F58" s="26">
        <v>7.4999999999997447E-3</v>
      </c>
      <c r="G58" s="24">
        <v>7.2404909999999996</v>
      </c>
      <c r="H58" s="24">
        <v>7.3285479999999996</v>
      </c>
      <c r="I58" s="24">
        <v>8.0148689999999991</v>
      </c>
      <c r="J58" s="24">
        <v>7.5279699999999998</v>
      </c>
      <c r="K58" s="24">
        <v>5.4142580000000002</v>
      </c>
      <c r="L58" s="24">
        <v>6.9453110000000002</v>
      </c>
      <c r="M58" s="24">
        <v>164.20269999999999</v>
      </c>
      <c r="N58" s="24">
        <v>5.1065326704545466</v>
      </c>
      <c r="O58" s="24">
        <v>2.9292929292929291</v>
      </c>
      <c r="P58" s="24">
        <v>6.9721936273030138</v>
      </c>
      <c r="Q58" s="24">
        <v>4.6427756835678267</v>
      </c>
      <c r="R58" s="24">
        <v>8.2100000000000009</v>
      </c>
      <c r="S58" s="24">
        <v>7.1282234756541136</v>
      </c>
      <c r="T58" s="21">
        <v>1</v>
      </c>
      <c r="U58" s="21" t="s">
        <v>72</v>
      </c>
      <c r="V58" s="41">
        <v>2E-3</v>
      </c>
      <c r="W58" s="41">
        <v>7.4999999999999997E-3</v>
      </c>
      <c r="X58" s="24">
        <v>0.9408093891400382</v>
      </c>
      <c r="Y58" s="21" t="s">
        <v>3119</v>
      </c>
      <c r="Z58"/>
    </row>
    <row r="59" spans="1:26" x14ac:dyDescent="0.25">
      <c r="A59" t="s">
        <v>667</v>
      </c>
      <c r="B59" s="25" t="s">
        <v>668</v>
      </c>
      <c r="C59" s="21" t="s">
        <v>244</v>
      </c>
      <c r="D59" s="21" t="s">
        <v>73</v>
      </c>
      <c r="E59" s="21" t="s">
        <v>95</v>
      </c>
      <c r="F59" s="26">
        <v>6.8080935343041559E-3</v>
      </c>
      <c r="G59" s="24">
        <v>5.9366680000000001</v>
      </c>
      <c r="H59" s="24">
        <v>6.4671320000000003</v>
      </c>
      <c r="I59" s="24">
        <v>6.3070950000000003</v>
      </c>
      <c r="J59" s="24">
        <v>6.1538890000000004</v>
      </c>
      <c r="K59" s="24">
        <v>2.3962680000000001</v>
      </c>
      <c r="L59" s="24">
        <v>13.231619999999999</v>
      </c>
      <c r="M59" s="24">
        <v>270.21730000000002</v>
      </c>
      <c r="N59" s="24">
        <v>5.0688607743197132</v>
      </c>
      <c r="O59" s="24">
        <v>8.144329896907216</v>
      </c>
      <c r="P59" s="24">
        <v>6.7892976588628766</v>
      </c>
      <c r="Q59" s="24">
        <v>9.9848369142378353</v>
      </c>
      <c r="R59" s="24">
        <v>4.04</v>
      </c>
      <c r="S59" s="24">
        <v>6.7252519911565543</v>
      </c>
      <c r="T59" s="21">
        <v>1</v>
      </c>
      <c r="U59" s="21" t="s">
        <v>262</v>
      </c>
      <c r="V59" s="41">
        <v>2E-3</v>
      </c>
      <c r="W59" s="41">
        <v>7.4999999999999997E-3</v>
      </c>
      <c r="X59" s="24">
        <v>0.83820121727082519</v>
      </c>
      <c r="Y59" s="21" t="s">
        <v>2825</v>
      </c>
      <c r="Z59"/>
    </row>
    <row r="60" spans="1:26" x14ac:dyDescent="0.25">
      <c r="A60" t="s">
        <v>2657</v>
      </c>
      <c r="B60" s="25" t="s">
        <v>2658</v>
      </c>
      <c r="C60" s="21" t="s">
        <v>254</v>
      </c>
      <c r="D60" s="21" t="s">
        <v>74</v>
      </c>
      <c r="E60" s="21" t="s">
        <v>92</v>
      </c>
      <c r="F60" s="26">
        <v>6.4850741977608853E-3</v>
      </c>
      <c r="G60" s="24">
        <v>7.1162210000000004</v>
      </c>
      <c r="H60" s="24">
        <v>6.8650169999999999</v>
      </c>
      <c r="I60" s="24">
        <v>7.008013</v>
      </c>
      <c r="J60" s="24">
        <v>7.0083979999999997</v>
      </c>
      <c r="K60" s="24">
        <v>2.1645029999999998</v>
      </c>
      <c r="L60" s="24">
        <v>4.973935</v>
      </c>
      <c r="M60" s="24">
        <v>22.0381</v>
      </c>
      <c r="N60" s="24">
        <v>7.8000014814814822</v>
      </c>
      <c r="O60" s="24">
        <v>7.4489795918367339</v>
      </c>
      <c r="P60" s="24">
        <v>6.6849315068493151</v>
      </c>
      <c r="Q60" s="24">
        <v>3.6829261699692144</v>
      </c>
      <c r="R60" s="24">
        <v>5.77</v>
      </c>
      <c r="S60" s="24">
        <v>5.7949830464149059</v>
      </c>
      <c r="T60" s="21">
        <v>0</v>
      </c>
      <c r="U60" s="21" t="s">
        <v>2790</v>
      </c>
      <c r="V60" s="41">
        <v>2E-3</v>
      </c>
      <c r="W60" s="41">
        <v>1.4999999999999999E-2</v>
      </c>
      <c r="X60" s="24">
        <v>0.59096174414072689</v>
      </c>
      <c r="Y60" s="21" t="s">
        <v>4049</v>
      </c>
      <c r="Z60"/>
    </row>
    <row r="61" spans="1:26" x14ac:dyDescent="0.25">
      <c r="A61" t="s">
        <v>2764</v>
      </c>
      <c r="B61" s="25" t="s">
        <v>2765</v>
      </c>
      <c r="C61" s="21" t="s">
        <v>254</v>
      </c>
      <c r="D61" s="21" t="s">
        <v>74</v>
      </c>
      <c r="E61" s="21" t="s">
        <v>91</v>
      </c>
      <c r="F61" s="26">
        <v>5.0000000000000001E-3</v>
      </c>
      <c r="G61" s="24">
        <v>5.2189670000000001</v>
      </c>
      <c r="H61" s="24">
        <v>5.4668789999999996</v>
      </c>
      <c r="I61" s="24">
        <v>5.0660860000000003</v>
      </c>
      <c r="J61" s="24">
        <v>5.2569790000000003</v>
      </c>
      <c r="K61" s="24">
        <v>3.8594889999999999</v>
      </c>
      <c r="L61" s="24">
        <v>7.205171</v>
      </c>
      <c r="M61" s="24" t="e">
        <v>#N/A</v>
      </c>
      <c r="N61" s="24">
        <v>6.3708764505119468</v>
      </c>
      <c r="O61" s="24">
        <v>7.3195876288659791</v>
      </c>
      <c r="P61" s="24">
        <v>6.752136752136753</v>
      </c>
      <c r="Q61" s="24">
        <v>6.6405763586231439</v>
      </c>
      <c r="R61" s="24">
        <v>7.7000010000000003</v>
      </c>
      <c r="S61" s="24">
        <v>7.3568307413970295</v>
      </c>
      <c r="T61" s="21">
        <v>1</v>
      </c>
      <c r="U61" s="21" t="s">
        <v>72</v>
      </c>
      <c r="V61" s="41">
        <v>5.0000000000000001E-3</v>
      </c>
      <c r="W61" s="41">
        <v>0.03</v>
      </c>
      <c r="X61" s="24">
        <v>0.23304974630995789</v>
      </c>
      <c r="Y61" s="21" t="s">
        <v>4110</v>
      </c>
      <c r="Z61"/>
    </row>
    <row r="62" spans="1:26" x14ac:dyDescent="0.25">
      <c r="A62" t="s">
        <v>145</v>
      </c>
      <c r="B62" s="25" t="s">
        <v>213</v>
      </c>
      <c r="C62" s="21" t="s">
        <v>246</v>
      </c>
      <c r="D62" s="21" t="s">
        <v>74</v>
      </c>
      <c r="E62" s="21" t="s">
        <v>92</v>
      </c>
      <c r="F62" s="26">
        <v>5.0000000000000001E-3</v>
      </c>
      <c r="G62" s="24">
        <v>5.4637479999999998</v>
      </c>
      <c r="H62" s="24">
        <v>6.1992779999999996</v>
      </c>
      <c r="I62" s="24">
        <v>6.2430260000000004</v>
      </c>
      <c r="J62" s="24">
        <v>5.9181900000000001</v>
      </c>
      <c r="K62" s="24">
        <v>5.7783870000000004</v>
      </c>
      <c r="L62" s="24">
        <v>8.4743630000000003</v>
      </c>
      <c r="M62" s="24">
        <v>32.866</v>
      </c>
      <c r="N62" s="24">
        <v>1.3950622222222226</v>
      </c>
      <c r="O62" s="24">
        <v>8.9795918367346932</v>
      </c>
      <c r="P62" s="24">
        <v>6.4109589041095898</v>
      </c>
      <c r="Q62" s="24">
        <v>6.9170924759988122</v>
      </c>
      <c r="R62" s="24">
        <v>6.39</v>
      </c>
      <c r="S62" s="24">
        <v>6.6867581178378863</v>
      </c>
      <c r="T62" s="21">
        <v>0</v>
      </c>
      <c r="U62" s="21" t="s">
        <v>2790</v>
      </c>
      <c r="V62" s="41">
        <v>2E-3</v>
      </c>
      <c r="W62" s="41">
        <v>5.0000000000000001E-3</v>
      </c>
      <c r="X62" s="24">
        <v>0.45775587237595983</v>
      </c>
      <c r="Y62" s="21" t="s">
        <v>2858</v>
      </c>
      <c r="Z62"/>
    </row>
    <row r="63" spans="1:26" x14ac:dyDescent="0.25">
      <c r="A63" t="s">
        <v>2645</v>
      </c>
      <c r="B63" s="25" t="s">
        <v>2646</v>
      </c>
      <c r="C63" s="21" t="s">
        <v>258</v>
      </c>
      <c r="D63" s="21" t="s">
        <v>74</v>
      </c>
      <c r="E63" s="21" t="s">
        <v>102</v>
      </c>
      <c r="F63" s="26">
        <v>5.0000000000000001E-3</v>
      </c>
      <c r="G63" s="24">
        <v>4.2010969999999999</v>
      </c>
      <c r="H63" s="24">
        <v>7.3222050000000003</v>
      </c>
      <c r="I63" s="24">
        <v>7.3139450000000004</v>
      </c>
      <c r="J63" s="24">
        <v>5.4478879999999998</v>
      </c>
      <c r="K63" s="24">
        <v>7.58256</v>
      </c>
      <c r="L63" s="24">
        <v>9.8945640000000008</v>
      </c>
      <c r="M63" s="24">
        <v>821.21320000000003</v>
      </c>
      <c r="N63" s="24">
        <v>9.0550382241579292</v>
      </c>
      <c r="O63" s="24">
        <v>6.9230769230769234</v>
      </c>
      <c r="P63" s="24">
        <v>5.9146341463414629</v>
      </c>
      <c r="Q63" s="24">
        <v>6.7818684651607208</v>
      </c>
      <c r="R63" s="24">
        <v>6.87</v>
      </c>
      <c r="S63" s="24">
        <v>7.6992403050070752</v>
      </c>
      <c r="T63" s="21">
        <v>1</v>
      </c>
      <c r="U63" s="21" t="s">
        <v>72</v>
      </c>
      <c r="V63" s="41">
        <v>2E-3</v>
      </c>
      <c r="W63" s="41">
        <v>5.0000000000000001E-3</v>
      </c>
      <c r="X63" s="24">
        <v>0.31301424712763687</v>
      </c>
      <c r="Y63" s="21" t="s">
        <v>4044</v>
      </c>
      <c r="Z63"/>
    </row>
    <row r="64" spans="1:26" x14ac:dyDescent="0.25">
      <c r="A64" t="s">
        <v>2373</v>
      </c>
      <c r="B64" s="25" t="s">
        <v>2374</v>
      </c>
      <c r="C64" s="21" t="s">
        <v>256</v>
      </c>
      <c r="D64" s="21" t="s">
        <v>74</v>
      </c>
      <c r="E64" s="21" t="s">
        <v>92</v>
      </c>
      <c r="F64" s="26">
        <v>5.0000000000000001E-3</v>
      </c>
      <c r="G64" s="24">
        <v>7.3450119999999997</v>
      </c>
      <c r="H64" s="24">
        <v>7.9158369999999998</v>
      </c>
      <c r="I64" s="24">
        <v>7.0024879999999996</v>
      </c>
      <c r="J64" s="24">
        <v>7.4135030000000004</v>
      </c>
      <c r="K64" s="24">
        <v>4.9908739999999998</v>
      </c>
      <c r="L64" s="24">
        <v>7.0128430000000002</v>
      </c>
      <c r="M64" s="24">
        <v>60.317599999999999</v>
      </c>
      <c r="N64" s="24">
        <v>5.5506177777777772</v>
      </c>
      <c r="O64" s="24">
        <v>7.9591836734693864</v>
      </c>
      <c r="P64" s="24">
        <v>6.0000000000000009</v>
      </c>
      <c r="Q64" s="24">
        <v>4.9452480568650641</v>
      </c>
      <c r="R64" s="24">
        <v>6.82</v>
      </c>
      <c r="S64" s="24">
        <v>6.7780590286542841</v>
      </c>
      <c r="T64" s="21">
        <v>0</v>
      </c>
      <c r="U64" s="21" t="s">
        <v>2790</v>
      </c>
      <c r="V64" s="41">
        <v>2E-3</v>
      </c>
      <c r="W64" s="41">
        <v>5.0000000000000001E-3</v>
      </c>
      <c r="X64" s="24">
        <v>0.24670711358362779</v>
      </c>
      <c r="Y64" s="21" t="s">
        <v>3870</v>
      </c>
      <c r="Z64"/>
    </row>
    <row r="65" spans="1:26" x14ac:dyDescent="0.25">
      <c r="A65" t="s">
        <v>2401</v>
      </c>
      <c r="B65" s="25" t="s">
        <v>2402</v>
      </c>
      <c r="C65" s="21" t="s">
        <v>256</v>
      </c>
      <c r="D65" s="21" t="s">
        <v>74</v>
      </c>
      <c r="E65" s="21" t="s">
        <v>99</v>
      </c>
      <c r="F65" s="26">
        <v>5.0000000000000001E-3</v>
      </c>
      <c r="G65" s="24">
        <v>7.7694070000000002</v>
      </c>
      <c r="H65" s="24">
        <v>6.2146679999999996</v>
      </c>
      <c r="I65" s="24">
        <v>7.7211319999999999</v>
      </c>
      <c r="J65" s="24">
        <v>7.1282009999999998</v>
      </c>
      <c r="K65" s="24">
        <v>2.3663889999999999</v>
      </c>
      <c r="L65" s="24">
        <v>4.4574160000000003</v>
      </c>
      <c r="M65" s="24">
        <v>19.1328</v>
      </c>
      <c r="N65" s="24">
        <v>5.7803469848338374</v>
      </c>
      <c r="O65" s="24">
        <v>0.98901098901098905</v>
      </c>
      <c r="P65" s="24">
        <v>4.9075626828613581</v>
      </c>
      <c r="Q65" s="24">
        <v>7.3480140762800676</v>
      </c>
      <c r="R65" s="24">
        <v>6.65</v>
      </c>
      <c r="S65" s="24">
        <v>6.8047220024161517</v>
      </c>
      <c r="T65" s="21">
        <v>1</v>
      </c>
      <c r="U65" s="21" t="s">
        <v>262</v>
      </c>
      <c r="V65" s="41">
        <v>2E-3</v>
      </c>
      <c r="W65" s="41">
        <v>5.0000000000000001E-3</v>
      </c>
      <c r="X65" s="24">
        <v>0.52320976585777845</v>
      </c>
      <c r="Y65" s="21" t="s">
        <v>3927</v>
      </c>
      <c r="Z65"/>
    </row>
    <row r="66" spans="1:26" x14ac:dyDescent="0.25">
      <c r="A66" t="s">
        <v>309</v>
      </c>
      <c r="B66" s="25" t="s">
        <v>828</v>
      </c>
      <c r="C66" s="21" t="s">
        <v>248</v>
      </c>
      <c r="D66" s="21" t="s">
        <v>75</v>
      </c>
      <c r="E66" s="21" t="s">
        <v>92</v>
      </c>
      <c r="F66" s="26">
        <v>5.0000000000000001E-3</v>
      </c>
      <c r="G66" s="24">
        <v>7.3369869999999997</v>
      </c>
      <c r="H66" s="24">
        <v>7.0379550000000002</v>
      </c>
      <c r="I66" s="24">
        <v>6.3642469999999998</v>
      </c>
      <c r="J66" s="24">
        <v>6.9554549999999997</v>
      </c>
      <c r="K66" s="24">
        <v>3.742213</v>
      </c>
      <c r="L66" s="24">
        <v>11.08042</v>
      </c>
      <c r="M66" s="24">
        <v>31.023599999999998</v>
      </c>
      <c r="N66" s="24">
        <v>9.1826564186761015</v>
      </c>
      <c r="O66" s="24">
        <v>8.1052631578947363</v>
      </c>
      <c r="P66" s="24">
        <v>7.8400000987428511</v>
      </c>
      <c r="Q66" s="24">
        <v>7.7385331388991441</v>
      </c>
      <c r="R66" s="24">
        <v>6.72</v>
      </c>
      <c r="S66" s="24">
        <v>7.8654032848388518</v>
      </c>
      <c r="T66" s="21">
        <v>0</v>
      </c>
      <c r="U66" s="21" t="s">
        <v>2790</v>
      </c>
      <c r="V66" s="41">
        <v>2E-3</v>
      </c>
      <c r="W66" s="41">
        <v>5.0000000000000001E-3</v>
      </c>
      <c r="X66" s="24">
        <v>0.17880963059870073</v>
      </c>
      <c r="Y66" s="21" t="s">
        <v>2842</v>
      </c>
      <c r="Z66"/>
    </row>
    <row r="67" spans="1:26" x14ac:dyDescent="0.25">
      <c r="A67" s="21" t="s">
        <v>1922</v>
      </c>
      <c r="B67" s="25" t="s">
        <v>1923</v>
      </c>
      <c r="C67" s="21" t="s">
        <v>248</v>
      </c>
      <c r="D67" s="21" t="s">
        <v>75</v>
      </c>
      <c r="E67" s="21" t="s">
        <v>96</v>
      </c>
      <c r="F67" s="26">
        <v>5.0000000000000001E-3</v>
      </c>
      <c r="G67" s="24">
        <v>5.661168</v>
      </c>
      <c r="H67" s="24">
        <v>6.2688509999999997</v>
      </c>
      <c r="I67" s="24">
        <v>7.0683540000000002</v>
      </c>
      <c r="J67" s="24">
        <v>6.3455789999999999</v>
      </c>
      <c r="K67" s="24">
        <v>3.213635</v>
      </c>
      <c r="L67" s="24">
        <v>11.88153</v>
      </c>
      <c r="M67" s="24">
        <v>13.819000000000001</v>
      </c>
      <c r="N67" s="24">
        <v>0.9845104218698042</v>
      </c>
      <c r="O67" s="24">
        <v>6.236559139784946</v>
      </c>
      <c r="P67" s="24">
        <v>4.3939393939393936</v>
      </c>
      <c r="Q67" s="24">
        <v>6.7783895939855734</v>
      </c>
      <c r="R67" s="24">
        <v>5.51</v>
      </c>
      <c r="S67" s="24">
        <v>6.0676186284415472</v>
      </c>
      <c r="T67" s="21">
        <v>1</v>
      </c>
      <c r="U67" s="21" t="s">
        <v>262</v>
      </c>
      <c r="V67" s="41">
        <v>2E-3</v>
      </c>
      <c r="W67" s="41">
        <v>5.0000000000000001E-3</v>
      </c>
      <c r="X67" s="24">
        <v>0.15585135009387832</v>
      </c>
      <c r="Y67" s="21" t="s">
        <v>3651</v>
      </c>
      <c r="Z67"/>
    </row>
    <row r="68" spans="1:26" x14ac:dyDescent="0.25">
      <c r="A68" t="s">
        <v>2145</v>
      </c>
      <c r="B68" s="25" t="s">
        <v>2146</v>
      </c>
      <c r="C68" s="21" t="s">
        <v>250</v>
      </c>
      <c r="D68" s="21" t="s">
        <v>76</v>
      </c>
      <c r="E68" s="21" t="s">
        <v>98</v>
      </c>
      <c r="F68" s="26">
        <v>5.0000000000000001E-3</v>
      </c>
      <c r="G68" s="24">
        <v>7.1700499999999998</v>
      </c>
      <c r="H68" s="24">
        <v>4.6174929999999996</v>
      </c>
      <c r="I68" s="24">
        <v>5.9075470000000001</v>
      </c>
      <c r="J68" s="24">
        <v>5.6440260000000002</v>
      </c>
      <c r="K68" s="24">
        <v>3.9754149999999999</v>
      </c>
      <c r="L68" s="24">
        <v>4.2891940000000002</v>
      </c>
      <c r="M68" s="24">
        <v>41.793700000000001</v>
      </c>
      <c r="N68" s="24">
        <v>10</v>
      </c>
      <c r="O68" s="24">
        <v>7.4626865671641784</v>
      </c>
      <c r="P68" s="24">
        <v>10</v>
      </c>
      <c r="Q68" s="24">
        <v>4.8321459159397309</v>
      </c>
      <c r="R68" s="24">
        <v>7.16</v>
      </c>
      <c r="S68" s="24">
        <v>7.7741214908802538</v>
      </c>
      <c r="T68" s="21">
        <v>0</v>
      </c>
      <c r="U68" s="21" t="s">
        <v>2790</v>
      </c>
      <c r="V68" s="41">
        <v>2E-3</v>
      </c>
      <c r="W68" s="41">
        <v>5.0000000000000001E-3</v>
      </c>
      <c r="X68" s="24">
        <v>0.3769904533882022</v>
      </c>
      <c r="Y68" s="21" t="s">
        <v>3740</v>
      </c>
      <c r="Z68"/>
    </row>
    <row r="69" spans="1:26" x14ac:dyDescent="0.25">
      <c r="A69" t="s">
        <v>141</v>
      </c>
      <c r="B69" s="25" t="s">
        <v>210</v>
      </c>
      <c r="C69" s="21" t="s">
        <v>254</v>
      </c>
      <c r="D69" s="21" t="s">
        <v>74</v>
      </c>
      <c r="E69" s="21" t="s">
        <v>92</v>
      </c>
      <c r="F69" s="26">
        <v>5.0000000000000001E-3</v>
      </c>
      <c r="G69" s="24">
        <v>7.0840259999999997</v>
      </c>
      <c r="H69" s="24">
        <v>3.9215499999999999</v>
      </c>
      <c r="I69" s="24">
        <v>3.145734</v>
      </c>
      <c r="J69" s="24">
        <v>4.9537959999999996</v>
      </c>
      <c r="K69" s="24">
        <v>3.114849</v>
      </c>
      <c r="L69" s="24">
        <v>3.4368859999999999</v>
      </c>
      <c r="M69" s="24">
        <v>7.5857000000000001</v>
      </c>
      <c r="N69" s="24">
        <v>6.5432103703703701</v>
      </c>
      <c r="O69" s="24">
        <v>2.6530612244897962</v>
      </c>
      <c r="P69" s="24">
        <v>7.1506849315068504</v>
      </c>
      <c r="Q69" s="24">
        <v>3.4114147427911967</v>
      </c>
      <c r="R69" s="24">
        <v>6.34</v>
      </c>
      <c r="S69" s="24">
        <v>5.0332765671157205</v>
      </c>
      <c r="T69" s="21">
        <v>0</v>
      </c>
      <c r="U69" s="21" t="s">
        <v>2790</v>
      </c>
      <c r="V69" s="41">
        <v>2E-3</v>
      </c>
      <c r="W69" s="41">
        <v>5.0000000000000001E-3</v>
      </c>
      <c r="X69" s="24">
        <v>0.39366040176172762</v>
      </c>
      <c r="Y69" s="21" t="s">
        <v>3966</v>
      </c>
      <c r="Z69"/>
    </row>
    <row r="70" spans="1:26" x14ac:dyDescent="0.25">
      <c r="A70" t="s">
        <v>1823</v>
      </c>
      <c r="B70" s="25" t="s">
        <v>1824</v>
      </c>
      <c r="C70" s="21" t="s">
        <v>248</v>
      </c>
      <c r="D70" s="21" t="s">
        <v>75</v>
      </c>
      <c r="E70" s="21" t="s">
        <v>93</v>
      </c>
      <c r="F70" s="26">
        <v>5.0000000000000001E-3</v>
      </c>
      <c r="G70" s="24">
        <v>3.832687</v>
      </c>
      <c r="H70" s="24">
        <v>4.6274819999999997</v>
      </c>
      <c r="I70" s="24">
        <v>5.4530269999999996</v>
      </c>
      <c r="J70" s="24">
        <v>4.6779840000000004</v>
      </c>
      <c r="K70" s="24">
        <v>3.2499189999999998</v>
      </c>
      <c r="L70" s="24">
        <v>17.085979999999999</v>
      </c>
      <c r="M70" s="24">
        <v>5.1395999999999997</v>
      </c>
      <c r="N70" s="24">
        <v>7.3397134098578309</v>
      </c>
      <c r="O70" s="24">
        <v>9.89247311827957</v>
      </c>
      <c r="P70" s="24">
        <v>4.0147337016574589</v>
      </c>
      <c r="Q70" s="24">
        <v>10</v>
      </c>
      <c r="R70" s="24">
        <v>5.21</v>
      </c>
      <c r="S70" s="24">
        <v>6.586317005975971</v>
      </c>
      <c r="T70" s="21">
        <v>0</v>
      </c>
      <c r="U70" s="21" t="s">
        <v>2790</v>
      </c>
      <c r="V70" s="41">
        <v>2E-3</v>
      </c>
      <c r="W70" s="41">
        <v>5.0000000000000001E-3</v>
      </c>
      <c r="X70" s="24">
        <v>0.28450691419825092</v>
      </c>
      <c r="Y70" s="21" t="s">
        <v>3592</v>
      </c>
      <c r="Z70"/>
    </row>
    <row r="71" spans="1:26" x14ac:dyDescent="0.25">
      <c r="A71" s="21" t="s">
        <v>1869</v>
      </c>
      <c r="B71" s="25" t="s">
        <v>1870</v>
      </c>
      <c r="C71" s="21" t="s">
        <v>248</v>
      </c>
      <c r="D71" s="21" t="s">
        <v>75</v>
      </c>
      <c r="E71" s="21" t="s">
        <v>95</v>
      </c>
      <c r="F71" s="26">
        <v>5.0000000000000001E-3</v>
      </c>
      <c r="G71" s="24">
        <v>4.8500240000000003</v>
      </c>
      <c r="H71" s="24">
        <v>6.5636590000000004</v>
      </c>
      <c r="I71" s="24">
        <v>5.3321199999999997</v>
      </c>
      <c r="J71" s="24">
        <v>5.3373799999999996</v>
      </c>
      <c r="K71" s="24">
        <v>3.3563679999999998</v>
      </c>
      <c r="L71" s="24">
        <v>13.77657</v>
      </c>
      <c r="M71" s="24">
        <v>700.51509999999996</v>
      </c>
      <c r="N71" s="24">
        <v>7.8497962962962955</v>
      </c>
      <c r="O71" s="24">
        <v>0</v>
      </c>
      <c r="P71" s="24">
        <v>10</v>
      </c>
      <c r="Q71" s="24">
        <v>6.2017567207878654</v>
      </c>
      <c r="R71" s="24">
        <v>4.16</v>
      </c>
      <c r="S71" s="24">
        <v>7.1506976698180287</v>
      </c>
      <c r="T71" s="21">
        <v>1</v>
      </c>
      <c r="U71" s="21" t="s">
        <v>72</v>
      </c>
      <c r="V71" s="41">
        <v>2E-3</v>
      </c>
      <c r="W71" s="41">
        <v>5.0000000000000001E-3</v>
      </c>
      <c r="X71" s="24">
        <v>0.17243652150313918</v>
      </c>
      <c r="Y71" s="21" t="s">
        <v>3587</v>
      </c>
      <c r="Z71"/>
    </row>
    <row r="72" spans="1:26" x14ac:dyDescent="0.25">
      <c r="A72" t="s">
        <v>2444</v>
      </c>
      <c r="B72" s="25" t="s">
        <v>2445</v>
      </c>
      <c r="C72" s="21" t="s">
        <v>248</v>
      </c>
      <c r="D72" s="21" t="s">
        <v>75</v>
      </c>
      <c r="E72" s="21" t="s">
        <v>99</v>
      </c>
      <c r="F72" s="26">
        <v>5.0000000000000001E-3</v>
      </c>
      <c r="G72" s="24">
        <v>5.0828889999999998</v>
      </c>
      <c r="H72" s="24">
        <v>6.1668989999999999</v>
      </c>
      <c r="I72" s="24">
        <v>5.7491099999999999</v>
      </c>
      <c r="J72" s="24">
        <v>5.607958</v>
      </c>
      <c r="K72" s="24">
        <v>3.3406889999999998</v>
      </c>
      <c r="L72" s="24">
        <v>8.0115160000000003</v>
      </c>
      <c r="M72" s="24">
        <v>37.147100000000002</v>
      </c>
      <c r="N72" s="24">
        <v>5.3931575866241044</v>
      </c>
      <c r="O72" s="24">
        <v>5.4444444444444438</v>
      </c>
      <c r="P72" s="24">
        <v>3.7219730941704037</v>
      </c>
      <c r="Q72" s="24">
        <v>8.4097480011903389</v>
      </c>
      <c r="R72" s="24">
        <v>6.49</v>
      </c>
      <c r="S72" s="24">
        <v>7.2762552214517031</v>
      </c>
      <c r="T72" s="21">
        <v>0</v>
      </c>
      <c r="U72" s="21" t="s">
        <v>2790</v>
      </c>
      <c r="V72" s="41">
        <v>2E-3</v>
      </c>
      <c r="W72" s="41">
        <v>5.0000000000000001E-3</v>
      </c>
      <c r="X72" s="24">
        <v>0.32252072494412454</v>
      </c>
      <c r="Y72" s="21" t="s">
        <v>3914</v>
      </c>
      <c r="Z72"/>
    </row>
    <row r="73" spans="1:26" x14ac:dyDescent="0.25">
      <c r="A73" t="s">
        <v>148</v>
      </c>
      <c r="B73" s="25" t="s">
        <v>4538</v>
      </c>
      <c r="C73" s="21" t="s">
        <v>250</v>
      </c>
      <c r="D73" s="21" t="s">
        <v>76</v>
      </c>
      <c r="E73" s="21" t="s">
        <v>86</v>
      </c>
      <c r="F73" s="26">
        <v>5.0000000000000001E-3</v>
      </c>
      <c r="G73" s="24">
        <v>6.0981839999999998</v>
      </c>
      <c r="H73" s="24">
        <v>7.2244060000000001</v>
      </c>
      <c r="I73" s="24">
        <v>5.9457690000000003</v>
      </c>
      <c r="J73" s="24">
        <v>6.4227860000000003</v>
      </c>
      <c r="K73" s="24">
        <v>8.9683639999999993</v>
      </c>
      <c r="L73" s="24">
        <v>14.29161</v>
      </c>
      <c r="M73" s="24">
        <v>118.40049999999999</v>
      </c>
      <c r="N73" s="24">
        <v>9.6680505673112993</v>
      </c>
      <c r="O73" s="24">
        <v>10</v>
      </c>
      <c r="P73" s="24">
        <v>7.807017543859649</v>
      </c>
      <c r="Q73" s="24">
        <v>9.3311539918031183</v>
      </c>
      <c r="R73" s="24">
        <v>8.57</v>
      </c>
      <c r="S73" s="24">
        <v>8.4744708279997223</v>
      </c>
      <c r="T73" s="21">
        <v>1</v>
      </c>
      <c r="U73" s="21" t="s">
        <v>72</v>
      </c>
      <c r="V73" s="41">
        <v>2E-3</v>
      </c>
      <c r="W73" s="41">
        <v>5.0000000000000001E-3</v>
      </c>
      <c r="X73" s="24">
        <v>0.84553982665983796</v>
      </c>
      <c r="Y73" s="21" t="s">
        <v>2862</v>
      </c>
      <c r="Z73"/>
    </row>
    <row r="74" spans="1:26" x14ac:dyDescent="0.25">
      <c r="A74" t="s">
        <v>2515</v>
      </c>
      <c r="B74" s="25" t="s">
        <v>2516</v>
      </c>
      <c r="C74" s="21" t="s">
        <v>249</v>
      </c>
      <c r="D74" s="21" t="s">
        <v>74</v>
      </c>
      <c r="E74" s="21" t="s">
        <v>102</v>
      </c>
      <c r="F74" s="26">
        <v>5.0000000000000001E-3</v>
      </c>
      <c r="G74" s="24">
        <v>4.7545190000000002</v>
      </c>
      <c r="H74" s="24">
        <v>6.4151910000000001</v>
      </c>
      <c r="I74" s="24">
        <v>4.5692110000000001</v>
      </c>
      <c r="J74" s="24">
        <v>5.0495919999999996</v>
      </c>
      <c r="K74" s="24">
        <v>7.691414</v>
      </c>
      <c r="L74" s="24">
        <v>11.062580000000001</v>
      </c>
      <c r="M74" s="24">
        <v>681.77120000000002</v>
      </c>
      <c r="N74" s="24">
        <v>5.2294487359857769</v>
      </c>
      <c r="O74" s="24">
        <v>4.615384615384615</v>
      </c>
      <c r="P74" s="24">
        <v>3.7500000000000004</v>
      </c>
      <c r="Q74" s="24">
        <v>8.9222549062224257</v>
      </c>
      <c r="R74" s="24">
        <v>7.84</v>
      </c>
      <c r="S74" s="24">
        <v>7.0004158233883906</v>
      </c>
      <c r="T74" s="21">
        <v>1</v>
      </c>
      <c r="U74" s="21" t="s">
        <v>72</v>
      </c>
      <c r="V74" s="41">
        <v>2E-3</v>
      </c>
      <c r="W74" s="41">
        <v>5.0000000000000001E-3</v>
      </c>
      <c r="X74" s="24">
        <v>9.5524309950573788E-2</v>
      </c>
      <c r="Y74" s="21" t="s">
        <v>3964</v>
      </c>
      <c r="Z74"/>
    </row>
    <row r="75" spans="1:26" x14ac:dyDescent="0.25">
      <c r="A75" t="s">
        <v>2463</v>
      </c>
      <c r="B75" s="25" t="s">
        <v>2464</v>
      </c>
      <c r="C75" s="21" t="s">
        <v>249</v>
      </c>
      <c r="D75" s="21" t="s">
        <v>74</v>
      </c>
      <c r="E75" s="21" t="s">
        <v>100</v>
      </c>
      <c r="F75" s="26">
        <v>5.0000000000000001E-3</v>
      </c>
      <c r="G75" s="24">
        <v>5.1567749999999997</v>
      </c>
      <c r="H75" s="24">
        <v>5.3460660000000004</v>
      </c>
      <c r="I75" s="24">
        <v>5.1606259999999997</v>
      </c>
      <c r="J75" s="24">
        <v>5.2211559999999997</v>
      </c>
      <c r="K75" s="24">
        <v>6.8693770000000001</v>
      </c>
      <c r="L75" s="24">
        <v>10.87157</v>
      </c>
      <c r="M75" s="24">
        <v>34.255099999999999</v>
      </c>
      <c r="N75" s="24">
        <v>4.279265981297983</v>
      </c>
      <c r="O75" s="24">
        <v>8.8888888888888893</v>
      </c>
      <c r="P75" s="24">
        <v>4.3173431734317349</v>
      </c>
      <c r="Q75" s="24">
        <v>9.2333594887363617</v>
      </c>
      <c r="R75" s="24">
        <v>6.82</v>
      </c>
      <c r="S75" s="24">
        <v>6.5512309216332376</v>
      </c>
      <c r="T75" s="21">
        <v>1</v>
      </c>
      <c r="U75" s="21" t="s">
        <v>262</v>
      </c>
      <c r="V75" s="41">
        <v>2E-3</v>
      </c>
      <c r="W75" s="41">
        <v>5.0000000000000001E-3</v>
      </c>
      <c r="X75" s="24">
        <v>-0.16972671163295908</v>
      </c>
      <c r="Y75" s="21" t="s">
        <v>3928</v>
      </c>
      <c r="Z75"/>
    </row>
    <row r="76" spans="1:26" x14ac:dyDescent="0.25">
      <c r="A76" t="s">
        <v>295</v>
      </c>
      <c r="B76" s="25" t="s">
        <v>296</v>
      </c>
      <c r="C76" s="21" t="s">
        <v>250</v>
      </c>
      <c r="D76" s="21" t="s">
        <v>76</v>
      </c>
      <c r="E76" s="21" t="s">
        <v>92</v>
      </c>
      <c r="F76" s="26">
        <v>5.0000000000000001E-3</v>
      </c>
      <c r="G76" s="24">
        <v>5.2199059999999999</v>
      </c>
      <c r="H76" s="24">
        <v>6.4635569999999998</v>
      </c>
      <c r="I76" s="24">
        <v>6.0896819999999998</v>
      </c>
      <c r="J76" s="24">
        <v>5.8539339999999997</v>
      </c>
      <c r="K76" s="24">
        <v>2.8894280000000001</v>
      </c>
      <c r="L76" s="24">
        <v>5.7072750000000001</v>
      </c>
      <c r="M76" s="24">
        <v>27.595099999999999</v>
      </c>
      <c r="N76" s="24">
        <v>6.5486729256977707</v>
      </c>
      <c r="O76" s="24">
        <v>5.7575757575757578</v>
      </c>
      <c r="P76" s="24">
        <v>6.3730569948186533</v>
      </c>
      <c r="Q76" s="24">
        <v>6.8687439991068446</v>
      </c>
      <c r="R76" s="24">
        <v>5.37</v>
      </c>
      <c r="S76" s="24">
        <v>6.8715713045740481</v>
      </c>
      <c r="T76" s="21">
        <v>1</v>
      </c>
      <c r="U76" s="21" t="s">
        <v>72</v>
      </c>
      <c r="V76" s="41">
        <v>2E-3</v>
      </c>
      <c r="W76" s="41">
        <v>5.0000000000000001E-3</v>
      </c>
      <c r="X76" s="24">
        <v>0.4611075266063509</v>
      </c>
      <c r="Y76" s="21" t="s">
        <v>2830</v>
      </c>
      <c r="Z76"/>
    </row>
    <row r="77" spans="1:26" x14ac:dyDescent="0.25">
      <c r="A77" t="s">
        <v>2488</v>
      </c>
      <c r="B77" s="25" t="s">
        <v>2489</v>
      </c>
      <c r="C77" s="21" t="s">
        <v>298</v>
      </c>
      <c r="D77" s="21" t="s">
        <v>74</v>
      </c>
      <c r="E77" s="21" t="s">
        <v>98</v>
      </c>
      <c r="F77" s="26">
        <v>5.0000000000000001E-3</v>
      </c>
      <c r="G77" s="24">
        <v>4.3790199999999997</v>
      </c>
      <c r="H77" s="24">
        <v>6.1035209999999998</v>
      </c>
      <c r="I77" s="24">
        <v>7.3383260000000003</v>
      </c>
      <c r="J77" s="24">
        <v>6.252542</v>
      </c>
      <c r="K77" s="24">
        <v>4.0720689999999999</v>
      </c>
      <c r="L77" s="24">
        <v>9.6619309999999992</v>
      </c>
      <c r="M77" s="24">
        <v>45.978200000000001</v>
      </c>
      <c r="N77" s="24">
        <v>5.6629067761601206</v>
      </c>
      <c r="O77" s="24">
        <v>3.5789473684210527</v>
      </c>
      <c r="P77" s="24">
        <v>6.0851063829787231</v>
      </c>
      <c r="Q77" s="24">
        <v>9.0621565228697563</v>
      </c>
      <c r="R77" s="24">
        <v>6.46</v>
      </c>
      <c r="S77" s="24">
        <v>7.4565003601520932</v>
      </c>
      <c r="T77" s="21">
        <v>1</v>
      </c>
      <c r="U77" s="21" t="s">
        <v>72</v>
      </c>
      <c r="V77" s="41">
        <v>2E-3</v>
      </c>
      <c r="W77" s="41">
        <v>5.0000000000000001E-3</v>
      </c>
      <c r="X77" s="24">
        <v>-1.7881086929901892E-2</v>
      </c>
      <c r="Y77" s="21" t="s">
        <v>3945</v>
      </c>
      <c r="Z77"/>
    </row>
    <row r="78" spans="1:26" s="62" customFormat="1" x14ac:dyDescent="0.25">
      <c r="A78" t="s">
        <v>2254</v>
      </c>
      <c r="B78" s="25" t="s">
        <v>2255</v>
      </c>
      <c r="C78" s="21" t="s">
        <v>249</v>
      </c>
      <c r="D78" s="21" t="s">
        <v>74</v>
      </c>
      <c r="E78" s="21" t="s">
        <v>94</v>
      </c>
      <c r="F78" s="26">
        <v>5.0000000000000001E-3</v>
      </c>
      <c r="G78" s="24">
        <v>8.3552330000000001</v>
      </c>
      <c r="H78" s="24">
        <v>6.3738729999999997</v>
      </c>
      <c r="I78" s="24">
        <v>5.5533320000000002</v>
      </c>
      <c r="J78" s="24">
        <v>6.441929</v>
      </c>
      <c r="K78" s="24">
        <v>3.5108809999999999</v>
      </c>
      <c r="L78" s="24">
        <v>8.6556519999999999</v>
      </c>
      <c r="M78" s="24">
        <v>3.8748999999999998</v>
      </c>
      <c r="N78" s="24">
        <v>6.6258218311329165</v>
      </c>
      <c r="O78" s="24">
        <v>9.1919191919191903</v>
      </c>
      <c r="P78" s="24">
        <v>4.6884272997032648</v>
      </c>
      <c r="Q78" s="24">
        <v>5.4631534218989906</v>
      </c>
      <c r="R78" s="24">
        <v>4.68</v>
      </c>
      <c r="S78" s="24">
        <v>6.3766207417178142</v>
      </c>
      <c r="T78" s="21">
        <v>1</v>
      </c>
      <c r="U78" s="21" t="s">
        <v>262</v>
      </c>
      <c r="V78" s="41">
        <v>2E-3</v>
      </c>
      <c r="W78" s="41">
        <v>5.0000000000000001E-3</v>
      </c>
      <c r="X78" s="24">
        <v>0.42692458409733081</v>
      </c>
      <c r="Y78" s="21" t="s">
        <v>3802</v>
      </c>
      <c r="Z78"/>
    </row>
    <row r="79" spans="1:26" x14ac:dyDescent="0.25">
      <c r="A79" s="21" t="s">
        <v>332</v>
      </c>
      <c r="B79" s="25" t="s">
        <v>333</v>
      </c>
      <c r="C79" s="21" t="s">
        <v>258</v>
      </c>
      <c r="D79" s="21" t="s">
        <v>74</v>
      </c>
      <c r="E79" s="21" t="s">
        <v>85</v>
      </c>
      <c r="F79" s="26">
        <v>4.9999999999999992E-3</v>
      </c>
      <c r="G79" s="24">
        <v>4.5872950000000001</v>
      </c>
      <c r="H79" s="24">
        <v>5.8313110000000004</v>
      </c>
      <c r="I79" s="24">
        <v>6.0407489999999999</v>
      </c>
      <c r="J79" s="24">
        <v>5.531409</v>
      </c>
      <c r="K79" s="24">
        <v>6.0931800000000003</v>
      </c>
      <c r="L79" s="24">
        <v>20.60108</v>
      </c>
      <c r="M79" s="24">
        <v>13.2736</v>
      </c>
      <c r="N79" s="24">
        <v>6.7525006812088257</v>
      </c>
      <c r="O79" s="24">
        <v>10</v>
      </c>
      <c r="P79" s="24">
        <v>6.8157894736842106</v>
      </c>
      <c r="Q79" s="24">
        <v>7.8886449834619619</v>
      </c>
      <c r="R79" s="24">
        <v>6.47</v>
      </c>
      <c r="S79" s="24">
        <v>6.9856113303177274</v>
      </c>
      <c r="T79" s="21">
        <v>0</v>
      </c>
      <c r="U79" s="21" t="s">
        <v>2790</v>
      </c>
      <c r="V79" s="41">
        <v>2E-3</v>
      </c>
      <c r="W79" s="41">
        <v>5.0000000000000001E-3</v>
      </c>
      <c r="X79" s="24">
        <v>0.40263296021557676</v>
      </c>
      <c r="Y79" s="21" t="s">
        <v>3959</v>
      </c>
      <c r="Z79"/>
    </row>
    <row r="80" spans="1:26" x14ac:dyDescent="0.25">
      <c r="A80" t="s">
        <v>142</v>
      </c>
      <c r="B80" s="25" t="s">
        <v>211</v>
      </c>
      <c r="C80" s="21" t="s">
        <v>248</v>
      </c>
      <c r="D80" s="21" t="s">
        <v>75</v>
      </c>
      <c r="E80" s="21" t="s">
        <v>91</v>
      </c>
      <c r="F80" s="26">
        <v>4.9999999999999802E-3</v>
      </c>
      <c r="G80" s="24">
        <v>5.2488440000000001</v>
      </c>
      <c r="H80" s="24">
        <v>6.4207999999999998</v>
      </c>
      <c r="I80" s="24">
        <v>4.7686760000000001</v>
      </c>
      <c r="J80" s="24">
        <v>5.5255590000000003</v>
      </c>
      <c r="K80" s="24">
        <v>1.558511</v>
      </c>
      <c r="L80" s="24">
        <v>3.7200709999999999</v>
      </c>
      <c r="M80" s="24">
        <v>1.5907</v>
      </c>
      <c r="N80" s="24">
        <v>7.0227849307226355</v>
      </c>
      <c r="O80" s="24">
        <v>9.8717948717948723</v>
      </c>
      <c r="P80" s="24">
        <v>9.8031496062992129</v>
      </c>
      <c r="Q80" s="24">
        <v>2.7103905629763352</v>
      </c>
      <c r="R80" s="24">
        <v>6.56</v>
      </c>
      <c r="S80" s="24">
        <v>5.7516403535871463</v>
      </c>
      <c r="T80" s="21">
        <v>0</v>
      </c>
      <c r="U80" s="21" t="s">
        <v>2790</v>
      </c>
      <c r="V80" s="41">
        <v>2E-3</v>
      </c>
      <c r="W80" s="41">
        <v>5.0000000000000001E-3</v>
      </c>
      <c r="X80" s="24">
        <v>6.4035435931765763E-2</v>
      </c>
      <c r="Y80" s="21" t="s">
        <v>2864</v>
      </c>
      <c r="Z80"/>
    </row>
    <row r="81" spans="1:26" x14ac:dyDescent="0.25">
      <c r="A81" t="s">
        <v>2313</v>
      </c>
      <c r="B81" s="25" t="s">
        <v>2314</v>
      </c>
      <c r="C81" s="21" t="s">
        <v>249</v>
      </c>
      <c r="D81" s="21" t="s">
        <v>74</v>
      </c>
      <c r="E81" s="21" t="s">
        <v>103</v>
      </c>
      <c r="F81" s="26">
        <v>4.9999999999999602E-3</v>
      </c>
      <c r="G81" s="24">
        <v>6.1269119999999999</v>
      </c>
      <c r="H81" s="24">
        <v>6.4289550000000002</v>
      </c>
      <c r="I81" s="24">
        <v>6.5230779999999999</v>
      </c>
      <c r="J81" s="24">
        <v>6.3363750000000003</v>
      </c>
      <c r="K81" s="24">
        <v>4.5184160000000002</v>
      </c>
      <c r="L81" s="24">
        <v>10.464589999999999</v>
      </c>
      <c r="M81" s="24">
        <v>97.852099999999993</v>
      </c>
      <c r="N81" s="24">
        <v>5.9972759157371867</v>
      </c>
      <c r="O81" s="24">
        <v>6.9696969696969706</v>
      </c>
      <c r="P81" s="24">
        <v>5.4005934718100885</v>
      </c>
      <c r="Q81" s="24">
        <v>7.6072893466887814</v>
      </c>
      <c r="R81" s="24">
        <v>7.3</v>
      </c>
      <c r="S81" s="24">
        <v>6.9726346180185796</v>
      </c>
      <c r="T81" s="21">
        <v>1</v>
      </c>
      <c r="U81" s="21" t="s">
        <v>72</v>
      </c>
      <c r="V81" s="41">
        <v>2E-3</v>
      </c>
      <c r="W81" s="41">
        <v>5.0000000000000001E-3</v>
      </c>
      <c r="X81" s="24">
        <v>0.4346613538065458</v>
      </c>
      <c r="Y81" s="21" t="s">
        <v>3832</v>
      </c>
      <c r="Z81"/>
    </row>
    <row r="82" spans="1:26" x14ac:dyDescent="0.25">
      <c r="A82" t="s">
        <v>344</v>
      </c>
      <c r="B82" s="25" t="s">
        <v>345</v>
      </c>
      <c r="C82" s="21" t="s">
        <v>255</v>
      </c>
      <c r="D82" s="21" t="s">
        <v>75</v>
      </c>
      <c r="E82" s="21" t="s">
        <v>85</v>
      </c>
      <c r="F82" s="26">
        <v>4.9999999999999559E-3</v>
      </c>
      <c r="G82" s="24">
        <v>7.7207210000000002</v>
      </c>
      <c r="H82" s="24">
        <v>5.936744</v>
      </c>
      <c r="I82" s="24">
        <v>5.907146</v>
      </c>
      <c r="J82" s="24">
        <v>6.4615780000000003</v>
      </c>
      <c r="K82" s="24">
        <v>6.2101550000000003</v>
      </c>
      <c r="L82" s="24">
        <v>12.25536</v>
      </c>
      <c r="M82" s="24">
        <v>9.7157</v>
      </c>
      <c r="N82" s="24">
        <v>3.3863636680078302</v>
      </c>
      <c r="O82" s="24">
        <v>5.806451612903226</v>
      </c>
      <c r="P82" s="24">
        <v>5.5801104972375697</v>
      </c>
      <c r="Q82" s="24">
        <v>7.099200752233191</v>
      </c>
      <c r="R82" s="24">
        <v>6.79</v>
      </c>
      <c r="S82" s="24">
        <v>6.9952361180606539</v>
      </c>
      <c r="T82" s="21">
        <v>1</v>
      </c>
      <c r="U82" s="21" t="s">
        <v>262</v>
      </c>
      <c r="V82" s="41">
        <v>2E-3</v>
      </c>
      <c r="W82" s="41">
        <v>5.0000000000000001E-3</v>
      </c>
      <c r="X82" s="24">
        <v>0.29788362335897611</v>
      </c>
      <c r="Y82" s="21" t="s">
        <v>3995</v>
      </c>
      <c r="Z82"/>
    </row>
    <row r="83" spans="1:26" x14ac:dyDescent="0.25">
      <c r="A83" t="s">
        <v>2307</v>
      </c>
      <c r="B83" s="25" t="s">
        <v>2308</v>
      </c>
      <c r="C83" s="21" t="s">
        <v>247</v>
      </c>
      <c r="D83" s="21" t="s">
        <v>74</v>
      </c>
      <c r="E83" s="21" t="s">
        <v>98</v>
      </c>
      <c r="F83" s="26">
        <v>4.9999999999999446E-3</v>
      </c>
      <c r="G83" s="24">
        <v>6.4336019999999996</v>
      </c>
      <c r="H83" s="24">
        <v>3.5691890000000002</v>
      </c>
      <c r="I83" s="24">
        <v>7.6132850000000003</v>
      </c>
      <c r="J83" s="24">
        <v>5.7597100000000001</v>
      </c>
      <c r="K83" s="24">
        <v>3.9086940000000001</v>
      </c>
      <c r="L83" s="24">
        <v>9.993525</v>
      </c>
      <c r="M83" s="24">
        <v>26.302900000000001</v>
      </c>
      <c r="N83" s="24">
        <v>6.4142033778849967</v>
      </c>
      <c r="O83" s="24">
        <v>8.4210526315789469</v>
      </c>
      <c r="P83" s="24">
        <v>5.0212765957446814</v>
      </c>
      <c r="Q83" s="24">
        <v>8.6837653674554929</v>
      </c>
      <c r="R83" s="24">
        <v>6.3600009999999996</v>
      </c>
      <c r="S83" s="24">
        <v>7.3322303531207442</v>
      </c>
      <c r="T83" s="21">
        <v>1</v>
      </c>
      <c r="U83" s="21" t="s">
        <v>72</v>
      </c>
      <c r="V83" s="41">
        <v>2E-3</v>
      </c>
      <c r="W83" s="41">
        <v>5.0000000000000001E-3</v>
      </c>
      <c r="X83" s="24">
        <v>9.042196808045265E-2</v>
      </c>
      <c r="Y83" s="21" t="s">
        <v>3863</v>
      </c>
      <c r="Z83"/>
    </row>
    <row r="84" spans="1:26" x14ac:dyDescent="0.25">
      <c r="A84" t="s">
        <v>150</v>
      </c>
      <c r="B84" s="25" t="s">
        <v>217</v>
      </c>
      <c r="C84" s="21" t="s">
        <v>258</v>
      </c>
      <c r="D84" s="21" t="s">
        <v>74</v>
      </c>
      <c r="E84" s="21" t="s">
        <v>103</v>
      </c>
      <c r="F84" s="26">
        <v>4.9999999999999429E-3</v>
      </c>
      <c r="G84" s="24">
        <v>5.0200139999999998</v>
      </c>
      <c r="H84" s="24">
        <v>6.7645460000000002</v>
      </c>
      <c r="I84" s="24">
        <v>5.4689439999999996</v>
      </c>
      <c r="J84" s="24">
        <v>5.6780530000000002</v>
      </c>
      <c r="K84" s="24">
        <v>6.1214930000000001</v>
      </c>
      <c r="L84" s="24">
        <v>26.108039999999999</v>
      </c>
      <c r="M84" s="24">
        <v>27.273299999999999</v>
      </c>
      <c r="N84" s="24">
        <v>3.7168145014668754</v>
      </c>
      <c r="O84" s="24">
        <v>8.8888888888888893</v>
      </c>
      <c r="P84" s="24">
        <v>7.1810089020771519</v>
      </c>
      <c r="Q84" s="24">
        <v>9.7106671180630872</v>
      </c>
      <c r="R84" s="24">
        <v>5.75</v>
      </c>
      <c r="S84" s="24">
        <v>7.1212633974221289</v>
      </c>
      <c r="T84" s="21">
        <v>1</v>
      </c>
      <c r="U84" s="21" t="s">
        <v>72</v>
      </c>
      <c r="V84" s="41">
        <v>2E-3</v>
      </c>
      <c r="W84" s="41">
        <v>5.0000000000000001E-3</v>
      </c>
      <c r="X84" s="24">
        <v>0.71927118456179406</v>
      </c>
      <c r="Y84" s="21" t="s">
        <v>2863</v>
      </c>
      <c r="Z84"/>
    </row>
    <row r="85" spans="1:26" x14ac:dyDescent="0.25">
      <c r="A85" t="s">
        <v>2601</v>
      </c>
      <c r="B85" s="25" t="s">
        <v>2602</v>
      </c>
      <c r="C85" s="21" t="s">
        <v>247</v>
      </c>
      <c r="D85" s="21" t="s">
        <v>74</v>
      </c>
      <c r="E85" s="21" t="s">
        <v>102</v>
      </c>
      <c r="F85" s="26">
        <v>4.9999999999999082E-3</v>
      </c>
      <c r="G85" s="24">
        <v>5.8005550000000001</v>
      </c>
      <c r="H85" s="24">
        <v>4.1992380000000002</v>
      </c>
      <c r="I85" s="24">
        <v>4.6271329999999997</v>
      </c>
      <c r="J85" s="24">
        <v>5.2456069999999997</v>
      </c>
      <c r="K85" s="24">
        <v>5.3552059999999999</v>
      </c>
      <c r="L85" s="24">
        <v>6.4567949999999996</v>
      </c>
      <c r="M85" s="24">
        <v>465.4264</v>
      </c>
      <c r="N85" s="24">
        <v>7.9428158431556337</v>
      </c>
      <c r="O85" s="24">
        <v>8.2417582417582427</v>
      </c>
      <c r="P85" s="24">
        <v>2.2256097560975614</v>
      </c>
      <c r="Q85" s="24">
        <v>4.6721242045121611</v>
      </c>
      <c r="R85" s="24">
        <v>6.02</v>
      </c>
      <c r="S85" s="24">
        <v>5.6072496564001675</v>
      </c>
      <c r="T85" s="21">
        <v>1</v>
      </c>
      <c r="U85" s="21" t="s">
        <v>262</v>
      </c>
      <c r="V85" s="41">
        <v>2E-3</v>
      </c>
      <c r="W85" s="41">
        <v>5.0000000000000001E-3</v>
      </c>
      <c r="X85" s="24">
        <v>-4.5918537648136318E-2</v>
      </c>
      <c r="Y85" s="21" t="s">
        <v>4016</v>
      </c>
      <c r="Z85"/>
    </row>
    <row r="86" spans="1:26" s="62" customFormat="1" x14ac:dyDescent="0.25">
      <c r="A86" t="s">
        <v>136</v>
      </c>
      <c r="B86" s="25" t="s">
        <v>205</v>
      </c>
      <c r="C86" s="21" t="s">
        <v>246</v>
      </c>
      <c r="D86" s="21" t="s">
        <v>74</v>
      </c>
      <c r="E86" s="21" t="s">
        <v>85</v>
      </c>
      <c r="F86" s="26">
        <v>4.9999999999998813E-3</v>
      </c>
      <c r="G86" s="24">
        <v>6.3221639999999999</v>
      </c>
      <c r="H86" s="24">
        <v>5.6891210000000001</v>
      </c>
      <c r="I86" s="24">
        <v>6.4483430000000004</v>
      </c>
      <c r="J86" s="24">
        <v>6.1447620000000001</v>
      </c>
      <c r="K86" s="24">
        <v>8.8701109999999996</v>
      </c>
      <c r="L86" s="24">
        <v>12.552989999999999</v>
      </c>
      <c r="M86" s="24">
        <v>1.2385999999999999</v>
      </c>
      <c r="N86" s="24">
        <v>7.5814009432986538</v>
      </c>
      <c r="O86" s="24">
        <v>5.3535353535353538</v>
      </c>
      <c r="P86" s="24">
        <v>6.094736842105263</v>
      </c>
      <c r="Q86" s="24">
        <v>7.0328015435501658</v>
      </c>
      <c r="R86" s="24">
        <v>8.1199999999999992</v>
      </c>
      <c r="S86" s="24">
        <v>7.0248268323516783</v>
      </c>
      <c r="T86" s="21">
        <v>0</v>
      </c>
      <c r="U86" s="21" t="s">
        <v>2790</v>
      </c>
      <c r="V86" s="41">
        <v>2E-3</v>
      </c>
      <c r="W86" s="41">
        <v>5.0000000000000001E-3</v>
      </c>
      <c r="X86" s="24">
        <v>0.24352672171591022</v>
      </c>
      <c r="Y86" s="21" t="s">
        <v>2851</v>
      </c>
      <c r="Z86"/>
    </row>
    <row r="87" spans="1:26" x14ac:dyDescent="0.25">
      <c r="A87" t="s">
        <v>2485</v>
      </c>
      <c r="B87" s="25" t="s">
        <v>2486</v>
      </c>
      <c r="C87" s="21" t="s">
        <v>254</v>
      </c>
      <c r="D87" s="21" t="s">
        <v>74</v>
      </c>
      <c r="E87" s="21" t="s">
        <v>93</v>
      </c>
      <c r="F87" s="26">
        <v>4.9999999999998553E-3</v>
      </c>
      <c r="G87" s="24">
        <v>5.811903</v>
      </c>
      <c r="H87" s="24">
        <v>6.1538620000000002</v>
      </c>
      <c r="I87" s="24">
        <v>6.6151730000000004</v>
      </c>
      <c r="J87" s="24">
        <v>6.2127330000000001</v>
      </c>
      <c r="K87" s="24">
        <v>5.7237080000000002</v>
      </c>
      <c r="L87" s="24">
        <v>11.551080000000001</v>
      </c>
      <c r="M87" s="24">
        <v>0.24657000000000001</v>
      </c>
      <c r="N87" s="24">
        <v>8.69333932269328</v>
      </c>
      <c r="O87" s="24">
        <v>5.2525252525252526</v>
      </c>
      <c r="P87" s="24">
        <v>5.973684210526315</v>
      </c>
      <c r="Q87" s="24">
        <v>4.6651047409040798</v>
      </c>
      <c r="R87" s="24">
        <v>5.79</v>
      </c>
      <c r="S87" s="24">
        <v>6.2911856574700131</v>
      </c>
      <c r="T87" s="21">
        <v>0</v>
      </c>
      <c r="U87" s="21" t="s">
        <v>2790</v>
      </c>
      <c r="V87" s="41">
        <v>2E-3</v>
      </c>
      <c r="W87" s="41">
        <v>5.0000000000000001E-3</v>
      </c>
      <c r="X87" s="24">
        <v>0.35895026047257467</v>
      </c>
      <c r="Y87" s="21" t="s">
        <v>3943</v>
      </c>
      <c r="Z87"/>
    </row>
    <row r="88" spans="1:26" x14ac:dyDescent="0.25">
      <c r="A88" t="s">
        <v>2680</v>
      </c>
      <c r="B88" s="25" t="s">
        <v>2681</v>
      </c>
      <c r="C88" s="21" t="s">
        <v>249</v>
      </c>
      <c r="D88" s="21" t="s">
        <v>74</v>
      </c>
      <c r="E88" s="21" t="s">
        <v>88</v>
      </c>
      <c r="F88" s="26">
        <v>4.3376431398393419E-3</v>
      </c>
      <c r="G88" s="24">
        <v>5.340217</v>
      </c>
      <c r="H88" s="24">
        <v>3.7930250000000001</v>
      </c>
      <c r="I88" s="24">
        <v>5.6091990000000003</v>
      </c>
      <c r="J88" s="24">
        <v>4.9567540000000001</v>
      </c>
      <c r="K88" s="24">
        <v>4.1835969999999998</v>
      </c>
      <c r="L88" s="24">
        <v>7.6852390000000002</v>
      </c>
      <c r="M88" s="24">
        <v>45.8033</v>
      </c>
      <c r="N88" s="24">
        <v>7.8271614814814825</v>
      </c>
      <c r="O88" s="24">
        <v>3.9795918367346932</v>
      </c>
      <c r="P88" s="24">
        <v>4.4657534246575343</v>
      </c>
      <c r="Q88" s="24">
        <v>7.8521394609733726</v>
      </c>
      <c r="R88" s="24">
        <v>7.86</v>
      </c>
      <c r="S88" s="24">
        <v>7.4038332714220578</v>
      </c>
      <c r="T88" s="21">
        <v>1</v>
      </c>
      <c r="U88" s="21" t="s">
        <v>72</v>
      </c>
      <c r="V88" s="41">
        <v>2E-3</v>
      </c>
      <c r="W88" s="41">
        <v>1.4999999999999999E-2</v>
      </c>
      <c r="X88" s="24">
        <v>0.30818080249354979</v>
      </c>
      <c r="Y88" s="21" t="s">
        <v>4062</v>
      </c>
      <c r="Z88"/>
    </row>
    <row r="89" spans="1:26" x14ac:dyDescent="0.25">
      <c r="A89" t="s">
        <v>487</v>
      </c>
      <c r="B89" s="25" t="s">
        <v>715</v>
      </c>
      <c r="C89" s="21" t="s">
        <v>244</v>
      </c>
      <c r="D89" s="21" t="s">
        <v>73</v>
      </c>
      <c r="E89" s="21" t="s">
        <v>92</v>
      </c>
      <c r="F89" s="26">
        <v>3.9227197867994249E-3</v>
      </c>
      <c r="G89" s="24">
        <v>4.9524049999999997</v>
      </c>
      <c r="H89" s="24">
        <v>7.475727</v>
      </c>
      <c r="I89" s="24">
        <v>6.4714770000000001</v>
      </c>
      <c r="J89" s="24">
        <v>6.1651230000000004</v>
      </c>
      <c r="K89" s="24">
        <v>1.4051070000000001</v>
      </c>
      <c r="L89" s="24">
        <v>9.6719460000000002</v>
      </c>
      <c r="M89" s="24">
        <v>520.7056</v>
      </c>
      <c r="N89" s="24">
        <v>6.2192230113636358</v>
      </c>
      <c r="O89" s="24">
        <v>8.6868686868686869</v>
      </c>
      <c r="P89" s="24">
        <v>9.134912464943719</v>
      </c>
      <c r="Q89" s="24">
        <v>6.1267140960976905</v>
      </c>
      <c r="R89" s="24">
        <v>7.42</v>
      </c>
      <c r="S89" s="24">
        <v>7.6795879194557291</v>
      </c>
      <c r="T89" s="21">
        <v>1</v>
      </c>
      <c r="U89" s="21" t="s">
        <v>72</v>
      </c>
      <c r="V89" s="41">
        <v>2E-3</v>
      </c>
      <c r="W89" s="41">
        <v>7.4999999999999997E-3</v>
      </c>
      <c r="X89" s="24">
        <v>1.3779176652061413</v>
      </c>
      <c r="Y89" s="21" t="s">
        <v>2963</v>
      </c>
      <c r="Z89"/>
    </row>
    <row r="90" spans="1:26" x14ac:dyDescent="0.25">
      <c r="A90" t="s">
        <v>658</v>
      </c>
      <c r="B90" s="25" t="s">
        <v>659</v>
      </c>
      <c r="C90" s="21" t="s">
        <v>248</v>
      </c>
      <c r="D90" s="21" t="s">
        <v>75</v>
      </c>
      <c r="E90" s="21" t="s">
        <v>91</v>
      </c>
      <c r="F90" s="26">
        <v>3.7515336595109693E-3</v>
      </c>
      <c r="G90" s="24">
        <v>6.9168010000000004</v>
      </c>
      <c r="H90" s="24">
        <v>6.7681370000000003</v>
      </c>
      <c r="I90" s="24">
        <v>5.2818209999999999</v>
      </c>
      <c r="J90" s="24">
        <v>6.2033430000000003</v>
      </c>
      <c r="K90" s="24">
        <v>1.987579</v>
      </c>
      <c r="L90" s="24">
        <v>8.1263620000000003</v>
      </c>
      <c r="M90" s="24">
        <v>38.559699999999999</v>
      </c>
      <c r="N90" s="24">
        <v>3.8784812606184804</v>
      </c>
      <c r="O90" s="24">
        <v>7.051282051282052</v>
      </c>
      <c r="P90" s="24">
        <v>7.6377952755905509</v>
      </c>
      <c r="Q90" s="24">
        <v>7.7619908957074033</v>
      </c>
      <c r="R90" s="24">
        <v>6.55</v>
      </c>
      <c r="S90" s="24">
        <v>7.2311189623232579</v>
      </c>
      <c r="T90" s="21">
        <v>1</v>
      </c>
      <c r="U90" s="21" t="s">
        <v>72</v>
      </c>
      <c r="V90" s="41">
        <v>2E-3</v>
      </c>
      <c r="W90" s="41">
        <v>5.0000000000000001E-3</v>
      </c>
      <c r="X90" s="24">
        <v>0.10502145117008896</v>
      </c>
      <c r="Y90" s="21" t="s">
        <v>2827</v>
      </c>
      <c r="Z90"/>
    </row>
    <row r="91" spans="1:26" x14ac:dyDescent="0.25">
      <c r="A91" t="s">
        <v>2330</v>
      </c>
      <c r="B91" s="25" t="s">
        <v>2331</v>
      </c>
      <c r="C91" s="21" t="s">
        <v>305</v>
      </c>
      <c r="D91" s="21" t="s">
        <v>74</v>
      </c>
      <c r="E91" s="21" t="s">
        <v>90</v>
      </c>
      <c r="F91" s="26">
        <v>3.717062436534844E-3</v>
      </c>
      <c r="G91" s="24">
        <v>5.8027160000000002</v>
      </c>
      <c r="H91" s="24">
        <v>5.1547749999999999</v>
      </c>
      <c r="I91" s="24">
        <v>4.0347289999999996</v>
      </c>
      <c r="J91" s="24">
        <v>5.0779379999999996</v>
      </c>
      <c r="K91" s="24">
        <v>2.8960560000000002</v>
      </c>
      <c r="L91" s="24">
        <v>6.3991379999999998</v>
      </c>
      <c r="M91" s="24">
        <v>88.708799999999997</v>
      </c>
      <c r="N91" s="24">
        <v>3.4989328557715851</v>
      </c>
      <c r="O91" s="24">
        <v>2.6315789473684208</v>
      </c>
      <c r="P91" s="24">
        <v>7.914893617021276</v>
      </c>
      <c r="Q91" s="24">
        <v>4.924259192396975</v>
      </c>
      <c r="R91" s="24">
        <v>4.24</v>
      </c>
      <c r="S91" s="24">
        <v>5.9615984996046585</v>
      </c>
      <c r="T91" s="21">
        <v>1</v>
      </c>
      <c r="U91" s="21" t="s">
        <v>262</v>
      </c>
      <c r="V91" s="41">
        <v>2E-3</v>
      </c>
      <c r="W91" s="41">
        <v>5.0000000000000001E-3</v>
      </c>
      <c r="X91" s="24">
        <v>6.0157506613690737E-2</v>
      </c>
      <c r="Y91" s="21" t="s">
        <v>3843</v>
      </c>
      <c r="Z91"/>
    </row>
    <row r="92" spans="1:26" x14ac:dyDescent="0.25">
      <c r="A92" t="s">
        <v>336</v>
      </c>
      <c r="B92" s="25" t="s">
        <v>337</v>
      </c>
      <c r="C92" s="21" t="s">
        <v>250</v>
      </c>
      <c r="D92" s="21" t="s">
        <v>76</v>
      </c>
      <c r="E92" s="21" t="s">
        <v>95</v>
      </c>
      <c r="F92" s="26">
        <v>3.1985566473261141E-3</v>
      </c>
      <c r="G92" s="24">
        <v>7.809869</v>
      </c>
      <c r="H92" s="24">
        <v>6.4277839999999999</v>
      </c>
      <c r="I92" s="24">
        <v>5.421672</v>
      </c>
      <c r="J92" s="24">
        <v>6.8169930000000001</v>
      </c>
      <c r="K92" s="24">
        <v>5.7461880000000001</v>
      </c>
      <c r="L92" s="24">
        <v>6.6507860000000001</v>
      </c>
      <c r="M92" s="24">
        <v>1934.45</v>
      </c>
      <c r="N92" s="24">
        <v>8.7601889429219479</v>
      </c>
      <c r="O92" s="24">
        <v>0</v>
      </c>
      <c r="P92" s="24">
        <v>10</v>
      </c>
      <c r="Q92" s="24">
        <v>10</v>
      </c>
      <c r="R92" s="24">
        <v>6.41</v>
      </c>
      <c r="S92" s="24">
        <v>7.9584726747716257</v>
      </c>
      <c r="T92" s="21">
        <v>1</v>
      </c>
      <c r="U92" s="21" t="s">
        <v>72</v>
      </c>
      <c r="V92" s="41">
        <v>2E-3</v>
      </c>
      <c r="W92" s="41">
        <v>5.0000000000000001E-3</v>
      </c>
      <c r="X92" s="24">
        <v>0.49382470425965674</v>
      </c>
      <c r="Y92" s="21" t="s">
        <v>3965</v>
      </c>
      <c r="Z92"/>
    </row>
    <row r="93" spans="1:26" x14ac:dyDescent="0.25">
      <c r="A93" s="21" t="s">
        <v>2456</v>
      </c>
      <c r="B93" s="40" t="s">
        <v>2457</v>
      </c>
      <c r="C93" s="21" t="s">
        <v>249</v>
      </c>
      <c r="D93" s="21" t="s">
        <v>74</v>
      </c>
      <c r="E93" s="21" t="s">
        <v>99</v>
      </c>
      <c r="F93" s="55">
        <v>3.0682856562720255E-3</v>
      </c>
      <c r="G93" s="24">
        <v>7.1617819999999996</v>
      </c>
      <c r="H93" s="24">
        <v>6.105092</v>
      </c>
      <c r="I93" s="24">
        <v>7.3414349999999997</v>
      </c>
      <c r="J93" s="24">
        <v>6.8694360000000003</v>
      </c>
      <c r="K93" s="24">
        <v>1.7092480000000001</v>
      </c>
      <c r="L93" s="24">
        <v>6.4199099999999998</v>
      </c>
      <c r="M93" s="24">
        <v>5.5373000000000001</v>
      </c>
      <c r="N93" s="24">
        <v>6.426694992473986</v>
      </c>
      <c r="O93" s="24">
        <v>7.4725274725274735</v>
      </c>
      <c r="P93" s="24">
        <v>3.2436970247863552</v>
      </c>
      <c r="Q93" s="24">
        <v>9.4065235326785697</v>
      </c>
      <c r="R93" s="24">
        <v>6.98</v>
      </c>
      <c r="S93" s="24">
        <v>7.0974097389390431</v>
      </c>
      <c r="T93" s="21">
        <v>1</v>
      </c>
      <c r="U93" s="21" t="s">
        <v>72</v>
      </c>
      <c r="V93" s="41">
        <v>2E-3</v>
      </c>
      <c r="W93" s="41">
        <v>5.0000000000000001E-3</v>
      </c>
      <c r="X93" s="24">
        <v>0.69072325007634927</v>
      </c>
      <c r="Y93" s="24" t="s">
        <v>3887</v>
      </c>
      <c r="Z93"/>
    </row>
    <row r="94" spans="1:26" x14ac:dyDescent="0.25">
      <c r="A94" s="21" t="s">
        <v>271</v>
      </c>
      <c r="B94" s="40" t="s">
        <v>932</v>
      </c>
      <c r="C94" s="21" t="s">
        <v>244</v>
      </c>
      <c r="D94" s="21" t="s">
        <v>73</v>
      </c>
      <c r="E94" s="21" t="s">
        <v>99</v>
      </c>
      <c r="F94" s="55">
        <v>2.9088148210604705E-3</v>
      </c>
      <c r="G94" s="24">
        <v>8.2735219999999998</v>
      </c>
      <c r="H94" s="24">
        <v>6.569369</v>
      </c>
      <c r="I94" s="24">
        <v>7.9017210000000002</v>
      </c>
      <c r="J94" s="24">
        <v>7.6507360000000002</v>
      </c>
      <c r="K94" s="24">
        <v>1.2054720000000001</v>
      </c>
      <c r="L94" s="24">
        <v>7.4313140000000004</v>
      </c>
      <c r="M94" s="24">
        <v>10.5504</v>
      </c>
      <c r="N94" s="24">
        <v>3.2202054633153478</v>
      </c>
      <c r="O94" s="24">
        <v>6.7708333333333339</v>
      </c>
      <c r="P94" s="24">
        <v>4.477611940298508</v>
      </c>
      <c r="Q94" s="24">
        <v>7.6301470908688298</v>
      </c>
      <c r="R94" s="24">
        <v>7.33</v>
      </c>
      <c r="S94" s="24">
        <v>6.3754850551321747</v>
      </c>
      <c r="T94" s="21">
        <v>1</v>
      </c>
      <c r="U94" s="21" t="s">
        <v>262</v>
      </c>
      <c r="V94" s="56">
        <v>2E-3</v>
      </c>
      <c r="W94" s="56">
        <v>7.4999999999999997E-3</v>
      </c>
      <c r="X94" s="24">
        <v>0.81258496807050928</v>
      </c>
      <c r="Y94" s="24" t="s">
        <v>3038</v>
      </c>
      <c r="Z94"/>
    </row>
    <row r="95" spans="1:26" x14ac:dyDescent="0.25">
      <c r="A95" t="s">
        <v>4275</v>
      </c>
      <c r="B95" s="25" t="s">
        <v>4276</v>
      </c>
      <c r="C95" s="21" t="s">
        <v>244</v>
      </c>
      <c r="D95" s="21" t="s">
        <v>73</v>
      </c>
      <c r="E95" s="21" t="s">
        <v>89</v>
      </c>
      <c r="F95" s="26">
        <v>2.5253679203297609E-3</v>
      </c>
      <c r="G95" s="24">
        <v>4.8123430000000003</v>
      </c>
      <c r="H95" s="24">
        <v>5.1346299999999996</v>
      </c>
      <c r="I95" s="24">
        <v>4.6670170000000004</v>
      </c>
      <c r="J95" s="24">
        <v>4.8654310000000001</v>
      </c>
      <c r="K95" s="24">
        <v>0</v>
      </c>
      <c r="L95" s="24">
        <v>13.748480000000001</v>
      </c>
      <c r="M95" s="24">
        <v>5.3034999999999999E-2</v>
      </c>
      <c r="N95" s="24">
        <v>6.3671874999999991</v>
      </c>
      <c r="O95" s="24">
        <v>5.8762886597938131</v>
      </c>
      <c r="P95" s="24">
        <v>5.5699481865284985</v>
      </c>
      <c r="Q95" s="24">
        <v>5.7738549836297901</v>
      </c>
      <c r="R95" s="24">
        <v>2.42</v>
      </c>
      <c r="S95" s="24">
        <v>6.3740814716898768</v>
      </c>
      <c r="T95" s="21">
        <v>1</v>
      </c>
      <c r="U95" s="21" t="s">
        <v>262</v>
      </c>
      <c r="V95" s="41">
        <v>2E-3</v>
      </c>
      <c r="W95" s="41">
        <v>7.4999999999999997E-3</v>
      </c>
      <c r="X95" s="24">
        <v>1.0640323727445864</v>
      </c>
      <c r="Y95" s="21" t="s">
        <v>4277</v>
      </c>
      <c r="Z95"/>
    </row>
    <row r="96" spans="1:26" s="62" customFormat="1" x14ac:dyDescent="0.25">
      <c r="A96" t="s">
        <v>116</v>
      </c>
      <c r="B96" s="25" t="s">
        <v>4141</v>
      </c>
      <c r="C96" s="21" t="s">
        <v>244</v>
      </c>
      <c r="D96" s="21" t="s">
        <v>73</v>
      </c>
      <c r="E96" s="21" t="s">
        <v>99</v>
      </c>
      <c r="F96" s="26">
        <v>2.0000000000001258E-3</v>
      </c>
      <c r="G96" s="24">
        <v>5.0645090000000001</v>
      </c>
      <c r="H96" s="24">
        <v>5.0915270000000001</v>
      </c>
      <c r="I96" s="24">
        <v>4.639939</v>
      </c>
      <c r="J96" s="24">
        <v>4.9452429999999996</v>
      </c>
      <c r="K96" s="24">
        <v>1.0155890000000001</v>
      </c>
      <c r="L96" s="24">
        <v>4.7232919999999998</v>
      </c>
      <c r="M96" s="24">
        <v>0.86611000000000005</v>
      </c>
      <c r="N96" s="24">
        <v>4.6665358852830217</v>
      </c>
      <c r="O96" s="24">
        <v>3.125</v>
      </c>
      <c r="P96" s="24">
        <v>6.298507462686568</v>
      </c>
      <c r="Q96" s="24">
        <v>5.9793457102561103</v>
      </c>
      <c r="R96" s="24">
        <v>7.3</v>
      </c>
      <c r="S96" s="24">
        <v>6.4006250486779885</v>
      </c>
      <c r="T96" s="21">
        <v>1</v>
      </c>
      <c r="U96" s="21" t="s">
        <v>262</v>
      </c>
      <c r="V96" s="41">
        <v>2E-3</v>
      </c>
      <c r="W96" s="41">
        <v>7.4999999999999997E-3</v>
      </c>
      <c r="X96" s="24">
        <v>1.0374107829125954</v>
      </c>
      <c r="Y96" s="21" t="s">
        <v>2804</v>
      </c>
      <c r="Z96"/>
    </row>
    <row r="97" spans="1:26" x14ac:dyDescent="0.25">
      <c r="A97" s="21" t="s">
        <v>4539</v>
      </c>
      <c r="B97" s="25" t="s">
        <v>4540</v>
      </c>
      <c r="C97" s="21" t="s">
        <v>244</v>
      </c>
      <c r="D97" s="21" t="s">
        <v>73</v>
      </c>
      <c r="E97" s="21" t="s">
        <v>98</v>
      </c>
      <c r="F97" s="26">
        <v>2.0000000000001202E-3</v>
      </c>
      <c r="G97" s="24">
        <v>7.6022910000000001</v>
      </c>
      <c r="H97" s="24">
        <v>4.8680659999999998</v>
      </c>
      <c r="I97" s="24">
        <v>7.3490200000000003</v>
      </c>
      <c r="J97" s="24">
        <v>6.407292</v>
      </c>
      <c r="K97" s="24">
        <v>1.4085639999999999</v>
      </c>
      <c r="L97" s="24">
        <v>7.3828459999999998</v>
      </c>
      <c r="M97" s="24">
        <v>17.271699999999999</v>
      </c>
      <c r="N97" s="24">
        <v>6.7440898216367966</v>
      </c>
      <c r="O97" s="24">
        <v>9.1836734693877542</v>
      </c>
      <c r="P97" s="24">
        <v>9.6535129919288281</v>
      </c>
      <c r="Q97" s="24">
        <v>4.3602408752029582</v>
      </c>
      <c r="R97" s="24">
        <v>7.64</v>
      </c>
      <c r="S97" s="24">
        <v>6.5006533307460996</v>
      </c>
      <c r="T97" s="21">
        <v>0</v>
      </c>
      <c r="U97" s="21" t="s">
        <v>2790</v>
      </c>
      <c r="V97" s="41">
        <v>2E-3</v>
      </c>
      <c r="W97" s="41">
        <v>7.4999999999999997E-3</v>
      </c>
      <c r="X97" s="24">
        <v>1.564039329131379</v>
      </c>
      <c r="Y97" s="21" t="s">
        <v>4541</v>
      </c>
      <c r="Z97"/>
    </row>
    <row r="98" spans="1:26" x14ac:dyDescent="0.25">
      <c r="A98" t="s">
        <v>781</v>
      </c>
      <c r="B98" s="25" t="s">
        <v>782</v>
      </c>
      <c r="C98" s="21" t="s">
        <v>244</v>
      </c>
      <c r="D98" s="21" t="s">
        <v>73</v>
      </c>
      <c r="E98" s="21" t="s">
        <v>102</v>
      </c>
      <c r="F98" s="26">
        <v>2.0000000000001154E-3</v>
      </c>
      <c r="G98" s="24">
        <v>5.0737740000000002</v>
      </c>
      <c r="H98" s="24">
        <v>4.632117</v>
      </c>
      <c r="I98" s="24">
        <v>7.4027079999999996</v>
      </c>
      <c r="J98" s="24">
        <v>5.6399569999999999</v>
      </c>
      <c r="K98" s="24">
        <v>1.443683</v>
      </c>
      <c r="L98" s="24">
        <v>3.9465370000000002</v>
      </c>
      <c r="M98" s="24">
        <v>1092.9670000000001</v>
      </c>
      <c r="N98" s="24">
        <v>9.7157895036011048</v>
      </c>
      <c r="O98" s="24">
        <v>9.4845360824742269</v>
      </c>
      <c r="P98" s="24">
        <v>8.0952380952380949</v>
      </c>
      <c r="Q98" s="24">
        <v>0.66551239091210357</v>
      </c>
      <c r="R98" s="24">
        <v>3.81</v>
      </c>
      <c r="S98" s="24">
        <v>5.2371971462821101</v>
      </c>
      <c r="T98" s="21">
        <v>1</v>
      </c>
      <c r="U98" s="21" t="s">
        <v>262</v>
      </c>
      <c r="V98" s="41">
        <v>2E-3</v>
      </c>
      <c r="W98" s="41">
        <v>0.02</v>
      </c>
      <c r="X98" s="24">
        <v>0.28322165577476238</v>
      </c>
      <c r="Y98" s="21" t="s">
        <v>2845</v>
      </c>
      <c r="Z98"/>
    </row>
    <row r="99" spans="1:26" x14ac:dyDescent="0.25">
      <c r="A99" s="21" t="s">
        <v>2582</v>
      </c>
      <c r="B99" s="25" t="s">
        <v>2583</v>
      </c>
      <c r="C99" s="21" t="s">
        <v>254</v>
      </c>
      <c r="D99" s="21" t="s">
        <v>74</v>
      </c>
      <c r="E99" s="21" t="s">
        <v>88</v>
      </c>
      <c r="F99" s="26">
        <v>2.0000000000000981E-3</v>
      </c>
      <c r="G99" s="24">
        <v>4.5202559999999998</v>
      </c>
      <c r="H99" s="24">
        <v>4.7715110000000003</v>
      </c>
      <c r="I99" s="24">
        <v>6.8248199999999999</v>
      </c>
      <c r="J99" s="24">
        <v>5.3721949999999996</v>
      </c>
      <c r="K99" s="24">
        <v>3.5848879999999999</v>
      </c>
      <c r="L99" s="24">
        <v>8.2378509999999991</v>
      </c>
      <c r="M99" s="24">
        <v>4885.2139999999999</v>
      </c>
      <c r="N99" s="24">
        <v>7.0839511111111122</v>
      </c>
      <c r="O99" s="24">
        <v>7.1428571428571423</v>
      </c>
      <c r="P99" s="24">
        <v>4.10958904109589</v>
      </c>
      <c r="Q99" s="24">
        <v>7.3707853074296512</v>
      </c>
      <c r="R99" s="24">
        <v>6.71</v>
      </c>
      <c r="S99" s="24">
        <v>6.8540127145520682</v>
      </c>
      <c r="T99" s="21">
        <v>1</v>
      </c>
      <c r="U99" s="21" t="s">
        <v>72</v>
      </c>
      <c r="V99" s="41">
        <v>2E-3</v>
      </c>
      <c r="W99" s="41">
        <v>5.0000000000000001E-3</v>
      </c>
      <c r="X99" s="24">
        <v>0.62134548916365462</v>
      </c>
      <c r="Y99" s="21" t="s">
        <v>4004</v>
      </c>
      <c r="Z99"/>
    </row>
    <row r="100" spans="1:26" x14ac:dyDescent="0.25">
      <c r="A100" t="s">
        <v>2706</v>
      </c>
      <c r="B100" s="25" t="s">
        <v>2707</v>
      </c>
      <c r="C100" s="21" t="s">
        <v>257</v>
      </c>
      <c r="D100" s="21" t="s">
        <v>74</v>
      </c>
      <c r="E100" s="21" t="s">
        <v>100</v>
      </c>
      <c r="F100" s="26">
        <v>2.0000000000000846E-3</v>
      </c>
      <c r="G100" s="24">
        <v>7.0242209999999998</v>
      </c>
      <c r="H100" s="24">
        <v>7.0608659999999999</v>
      </c>
      <c r="I100" s="24">
        <v>5.5409059999999997</v>
      </c>
      <c r="J100" s="24">
        <v>6.5419980000000004</v>
      </c>
      <c r="K100" s="24">
        <v>3.9115709999999999</v>
      </c>
      <c r="L100" s="24">
        <v>8.1844570000000001</v>
      </c>
      <c r="M100" s="24">
        <v>43.461799999999997</v>
      </c>
      <c r="N100" s="24">
        <v>10</v>
      </c>
      <c r="O100" s="24">
        <v>7.7777777777777777</v>
      </c>
      <c r="P100" s="24">
        <v>4.7601476014760147</v>
      </c>
      <c r="Q100" s="24">
        <v>7.0040836524430725</v>
      </c>
      <c r="R100" s="24">
        <v>4.4800000000000004</v>
      </c>
      <c r="S100" s="24">
        <v>6.5741869641909512</v>
      </c>
      <c r="T100" s="21">
        <v>1</v>
      </c>
      <c r="U100" s="21" t="s">
        <v>262</v>
      </c>
      <c r="V100" s="41">
        <v>2E-3</v>
      </c>
      <c r="W100" s="41">
        <v>1.4999999999999999E-2</v>
      </c>
      <c r="X100" s="24">
        <v>6.4322373793158583E-2</v>
      </c>
      <c r="Y100" s="21" t="s">
        <v>4076</v>
      </c>
      <c r="Z100"/>
    </row>
    <row r="101" spans="1:26" x14ac:dyDescent="0.25">
      <c r="A101" t="s">
        <v>127</v>
      </c>
      <c r="B101" s="25" t="s">
        <v>195</v>
      </c>
      <c r="C101" s="21" t="s">
        <v>249</v>
      </c>
      <c r="D101" s="21" t="s">
        <v>74</v>
      </c>
      <c r="E101" s="21" t="s">
        <v>102</v>
      </c>
      <c r="F101" s="26">
        <v>2.0000000000000729E-3</v>
      </c>
      <c r="G101" s="24">
        <v>4.9319290000000002</v>
      </c>
      <c r="H101" s="24">
        <v>5.6637170000000001</v>
      </c>
      <c r="I101" s="24">
        <v>4.785863</v>
      </c>
      <c r="J101" s="24">
        <v>5.0490729999999999</v>
      </c>
      <c r="K101" s="24">
        <v>4.8101430000000001</v>
      </c>
      <c r="L101" s="24">
        <v>7.3516170000000001</v>
      </c>
      <c r="M101" s="24">
        <v>1074.3489999999999</v>
      </c>
      <c r="N101" s="24">
        <v>8.5947100160280208</v>
      </c>
      <c r="O101" s="24">
        <v>3.9560439560439562</v>
      </c>
      <c r="P101" s="24">
        <v>4.8780487804878057</v>
      </c>
      <c r="Q101" s="24">
        <v>5.5180797794571967</v>
      </c>
      <c r="R101" s="24">
        <v>7.12</v>
      </c>
      <c r="S101" s="24">
        <v>6.4075727124453747</v>
      </c>
      <c r="T101" s="21">
        <v>0</v>
      </c>
      <c r="U101" s="21" t="s">
        <v>2790</v>
      </c>
      <c r="V101" s="41">
        <v>2E-3</v>
      </c>
      <c r="W101" s="41">
        <v>5.0000000000000001E-3</v>
      </c>
      <c r="X101" s="24">
        <v>0.3030611959095979</v>
      </c>
      <c r="Y101" s="21" t="s">
        <v>3819</v>
      </c>
      <c r="Z101"/>
    </row>
    <row r="102" spans="1:26" x14ac:dyDescent="0.25">
      <c r="A102" t="s">
        <v>2204</v>
      </c>
      <c r="B102" s="25" t="s">
        <v>2205</v>
      </c>
      <c r="C102" s="21" t="s">
        <v>250</v>
      </c>
      <c r="D102" s="21" t="s">
        <v>76</v>
      </c>
      <c r="E102" s="21" t="s">
        <v>101</v>
      </c>
      <c r="F102" s="26">
        <v>2.0000000000000551E-3</v>
      </c>
      <c r="G102" s="24">
        <v>5.1114759999999997</v>
      </c>
      <c r="H102" s="24">
        <v>5.7590180000000002</v>
      </c>
      <c r="I102" s="24">
        <v>3.9799950000000002</v>
      </c>
      <c r="J102" s="24">
        <v>4.9179009999999996</v>
      </c>
      <c r="K102" s="24">
        <v>1.7018800000000001</v>
      </c>
      <c r="L102" s="24">
        <v>5.2901870000000004</v>
      </c>
      <c r="M102" s="24">
        <v>5.9733999999999998</v>
      </c>
      <c r="N102" s="24">
        <v>9.5445544554455441</v>
      </c>
      <c r="O102" s="24">
        <v>9.0277777777777786</v>
      </c>
      <c r="P102" s="24">
        <v>6.6037735849056602</v>
      </c>
      <c r="Q102" s="24">
        <v>3.7815676719805831</v>
      </c>
      <c r="R102" s="24">
        <v>4.51</v>
      </c>
      <c r="S102" s="24">
        <v>6.7139400989393634</v>
      </c>
      <c r="T102" s="21">
        <v>1</v>
      </c>
      <c r="U102" s="21" t="s">
        <v>262</v>
      </c>
      <c r="V102" s="41">
        <v>2E-3</v>
      </c>
      <c r="W102" s="41">
        <v>5.0000000000000001E-3</v>
      </c>
      <c r="X102" s="24">
        <v>0.2477380998562026</v>
      </c>
      <c r="Y102" s="21" t="s">
        <v>2838</v>
      </c>
      <c r="Z102"/>
    </row>
    <row r="103" spans="1:26" x14ac:dyDescent="0.25">
      <c r="A103" t="s">
        <v>2101</v>
      </c>
      <c r="B103" s="25" t="s">
        <v>2102</v>
      </c>
      <c r="C103" s="21" t="s">
        <v>248</v>
      </c>
      <c r="D103" s="21" t="s">
        <v>75</v>
      </c>
      <c r="E103" s="21" t="s">
        <v>91</v>
      </c>
      <c r="F103" s="26">
        <v>2.0000000000000113E-3</v>
      </c>
      <c r="G103" s="24">
        <v>4.3755750000000004</v>
      </c>
      <c r="H103" s="24">
        <v>4.1652769999999997</v>
      </c>
      <c r="I103" s="24">
        <v>6.1699890000000002</v>
      </c>
      <c r="J103" s="24">
        <v>5.0092220000000003</v>
      </c>
      <c r="K103" s="24">
        <v>1.89011</v>
      </c>
      <c r="L103" s="24">
        <v>8.3685849999999995</v>
      </c>
      <c r="M103" s="24">
        <v>68.605999999999995</v>
      </c>
      <c r="N103" s="24">
        <v>5.7848102973241398</v>
      </c>
      <c r="O103" s="24">
        <v>9.615384615384615</v>
      </c>
      <c r="P103" s="24">
        <v>5.3149606299212593</v>
      </c>
      <c r="Q103" s="24">
        <v>9.8520481134359876</v>
      </c>
      <c r="R103" s="24">
        <v>6.17</v>
      </c>
      <c r="S103" s="24">
        <v>7.0061569720875738</v>
      </c>
      <c r="T103" s="21">
        <v>1</v>
      </c>
      <c r="U103" s="21" t="s">
        <v>72</v>
      </c>
      <c r="V103" s="41">
        <v>2E-3</v>
      </c>
      <c r="W103" s="41">
        <v>5.0000000000000001E-3</v>
      </c>
      <c r="X103" s="24">
        <v>0.20131782874923881</v>
      </c>
      <c r="Y103" s="21" t="s">
        <v>2837</v>
      </c>
      <c r="Z103"/>
    </row>
    <row r="104" spans="1:26" x14ac:dyDescent="0.25">
      <c r="A104" s="21" t="s">
        <v>2244</v>
      </c>
      <c r="B104" s="40" t="s">
        <v>2245</v>
      </c>
      <c r="C104" s="21" t="s">
        <v>247</v>
      </c>
      <c r="D104" s="21" t="s">
        <v>74</v>
      </c>
      <c r="E104" s="21" t="s">
        <v>89</v>
      </c>
      <c r="F104" s="26">
        <v>2.0000000000000074E-3</v>
      </c>
      <c r="G104" s="24">
        <v>6.2352569999999998</v>
      </c>
      <c r="H104" s="24">
        <v>9.2881459999999993</v>
      </c>
      <c r="I104" s="24">
        <v>4.7636390000000004</v>
      </c>
      <c r="J104" s="24">
        <v>6.7887019999999998</v>
      </c>
      <c r="K104" s="24">
        <v>2.1092460000000002</v>
      </c>
      <c r="L104" s="24">
        <v>25.2986</v>
      </c>
      <c r="M104" s="24">
        <v>0.20957999999999999</v>
      </c>
      <c r="N104" s="24">
        <v>4.5222383079155817</v>
      </c>
      <c r="O104" s="24">
        <v>9.7979797979797958</v>
      </c>
      <c r="P104" s="24">
        <v>10</v>
      </c>
      <c r="Q104" s="24">
        <v>5.0923373759647186</v>
      </c>
      <c r="R104" s="24">
        <v>2.93</v>
      </c>
      <c r="S104" s="24">
        <v>6.484654723667914</v>
      </c>
      <c r="T104" s="21">
        <v>0</v>
      </c>
      <c r="U104" s="21" t="s">
        <v>2790</v>
      </c>
      <c r="V104" s="41">
        <v>2E-3</v>
      </c>
      <c r="W104" s="41">
        <v>5.0000000000000001E-3</v>
      </c>
      <c r="X104" s="24">
        <v>0.49044122865825363</v>
      </c>
      <c r="Y104" s="24" t="s">
        <v>2843</v>
      </c>
      <c r="Z104"/>
    </row>
    <row r="105" spans="1:26" x14ac:dyDescent="0.25">
      <c r="A105" s="21" t="s">
        <v>2676</v>
      </c>
      <c r="B105" s="25" t="s">
        <v>2677</v>
      </c>
      <c r="C105" s="21" t="s">
        <v>247</v>
      </c>
      <c r="D105" s="21" t="s">
        <v>74</v>
      </c>
      <c r="E105" s="21" t="s">
        <v>91</v>
      </c>
      <c r="F105" s="26">
        <v>2.0000000000000044E-3</v>
      </c>
      <c r="G105" s="24">
        <v>6.9484899999999996</v>
      </c>
      <c r="H105" s="24">
        <v>6.5632859999999997</v>
      </c>
      <c r="I105" s="24">
        <v>6.2114739999999999</v>
      </c>
      <c r="J105" s="24">
        <v>6.4996020000000003</v>
      </c>
      <c r="K105" s="24">
        <v>3.6463610000000002</v>
      </c>
      <c r="L105" s="24">
        <v>10.81964</v>
      </c>
      <c r="M105" s="24">
        <v>27.1754</v>
      </c>
      <c r="N105" s="24">
        <v>1.6860068259385665</v>
      </c>
      <c r="O105" s="24">
        <v>9.1752577319587623</v>
      </c>
      <c r="P105" s="24">
        <v>7.435897435897437</v>
      </c>
      <c r="Q105" s="24">
        <v>8.4750025200865728</v>
      </c>
      <c r="R105" s="24">
        <v>5.97</v>
      </c>
      <c r="S105" s="24">
        <v>7.5381718152258319</v>
      </c>
      <c r="T105" s="21">
        <v>0</v>
      </c>
      <c r="U105" s="21" t="s">
        <v>2790</v>
      </c>
      <c r="V105" s="41">
        <v>2E-3</v>
      </c>
      <c r="W105" s="41">
        <v>1.4999999999999999E-2</v>
      </c>
      <c r="X105" s="24">
        <v>0.18588216027914514</v>
      </c>
      <c r="Y105" s="21" t="s">
        <v>4060</v>
      </c>
      <c r="Z105"/>
    </row>
    <row r="106" spans="1:26" x14ac:dyDescent="0.25">
      <c r="A106" s="21" t="s">
        <v>123</v>
      </c>
      <c r="B106" s="40" t="s">
        <v>191</v>
      </c>
      <c r="C106" s="21" t="s">
        <v>244</v>
      </c>
      <c r="D106" s="21" t="s">
        <v>73</v>
      </c>
      <c r="E106" s="21" t="s">
        <v>99</v>
      </c>
      <c r="F106" s="55">
        <v>2E-3</v>
      </c>
      <c r="G106" s="21">
        <v>4.7320130000000002</v>
      </c>
      <c r="H106" s="21">
        <v>4.0172189999999999</v>
      </c>
      <c r="I106" s="21">
        <v>7.1809260000000004</v>
      </c>
      <c r="J106" s="21">
        <v>5.2522489999999999</v>
      </c>
      <c r="K106" s="21">
        <v>0.80899200000000004</v>
      </c>
      <c r="L106" s="21">
        <v>4.7405679999999997</v>
      </c>
      <c r="M106" s="21">
        <v>12.6395</v>
      </c>
      <c r="N106" s="21">
        <v>3.9443574541718585</v>
      </c>
      <c r="O106" s="21">
        <v>7.2916666666666679</v>
      </c>
      <c r="P106" s="21">
        <v>8</v>
      </c>
      <c r="Q106" s="21">
        <v>3.7829572928282156</v>
      </c>
      <c r="R106" s="21">
        <v>7.41</v>
      </c>
      <c r="S106" s="21">
        <v>5.7399727509978415</v>
      </c>
      <c r="T106" s="21">
        <v>0</v>
      </c>
      <c r="U106" s="21" t="s">
        <v>2790</v>
      </c>
      <c r="V106" s="41">
        <v>2E-3</v>
      </c>
      <c r="W106" s="41">
        <v>0.02</v>
      </c>
      <c r="X106" s="21">
        <v>2.0944607439755694</v>
      </c>
      <c r="Y106" s="21" t="s">
        <v>2835</v>
      </c>
      <c r="Z106"/>
    </row>
    <row r="107" spans="1:26" x14ac:dyDescent="0.25">
      <c r="A107" t="s">
        <v>1256</v>
      </c>
      <c r="B107" s="25" t="s">
        <v>1257</v>
      </c>
      <c r="C107" s="21" t="s">
        <v>245</v>
      </c>
      <c r="D107" s="21" t="s">
        <v>73</v>
      </c>
      <c r="E107" s="21" t="s">
        <v>100</v>
      </c>
      <c r="F107" s="26">
        <v>2E-3</v>
      </c>
      <c r="G107" s="24">
        <v>6.5071519999999996</v>
      </c>
      <c r="H107" s="24">
        <v>6.3342239999999999</v>
      </c>
      <c r="I107" s="24">
        <v>3.8479619999999999</v>
      </c>
      <c r="J107" s="24">
        <v>5.5631130000000004</v>
      </c>
      <c r="K107" s="24">
        <v>3.7030180000000001</v>
      </c>
      <c r="L107" s="24">
        <v>7.9418949999999997</v>
      </c>
      <c r="M107" s="24">
        <v>13.135400000000001</v>
      </c>
      <c r="N107" s="24">
        <v>9.0031863805745367</v>
      </c>
      <c r="O107" s="24">
        <v>3.7777777777777772</v>
      </c>
      <c r="P107" s="24">
        <v>5.01547987616099</v>
      </c>
      <c r="Q107" s="24">
        <v>4.6412140956270438</v>
      </c>
      <c r="R107" s="24">
        <v>7.25</v>
      </c>
      <c r="S107" s="24">
        <v>6.5722684574365413</v>
      </c>
      <c r="T107" s="21">
        <v>1</v>
      </c>
      <c r="U107" s="21" t="s">
        <v>262</v>
      </c>
      <c r="V107" s="41">
        <v>2E-3</v>
      </c>
      <c r="W107" s="41">
        <v>7.4999999999999997E-3</v>
      </c>
      <c r="X107" s="24">
        <v>0.62960047584827261</v>
      </c>
      <c r="Y107" s="21" t="s">
        <v>3272</v>
      </c>
      <c r="Z107"/>
    </row>
    <row r="108" spans="1:26" x14ac:dyDescent="0.25">
      <c r="A108" s="21" t="s">
        <v>2342</v>
      </c>
      <c r="B108" s="25" t="s">
        <v>4386</v>
      </c>
      <c r="C108" s="21" t="s">
        <v>244</v>
      </c>
      <c r="D108" s="21" t="s">
        <v>73</v>
      </c>
      <c r="E108" s="21" t="s">
        <v>91</v>
      </c>
      <c r="F108" s="26">
        <v>2E-3</v>
      </c>
      <c r="G108" s="24">
        <v>7.3872140000000002</v>
      </c>
      <c r="H108" s="24">
        <v>7.8885699999999996</v>
      </c>
      <c r="I108" s="24">
        <v>6.5856620000000001</v>
      </c>
      <c r="J108" s="24">
        <v>7.2671359999999998</v>
      </c>
      <c r="K108" s="24">
        <v>1.861246</v>
      </c>
      <c r="L108" s="24">
        <v>9.7403169999999992</v>
      </c>
      <c r="M108" s="24">
        <v>0.73492000000000002</v>
      </c>
      <c r="N108" s="24">
        <v>9.2376570160590568</v>
      </c>
      <c r="O108" s="24">
        <v>8.1818181818181817</v>
      </c>
      <c r="P108" s="24">
        <v>5.4885663389248807</v>
      </c>
      <c r="Q108" s="24">
        <v>9.3614142170270345</v>
      </c>
      <c r="R108" s="24">
        <v>8.18</v>
      </c>
      <c r="S108" s="24">
        <v>7.4043772226646478</v>
      </c>
      <c r="T108" s="21">
        <v>1</v>
      </c>
      <c r="U108" s="21" t="s">
        <v>72</v>
      </c>
      <c r="V108" s="41">
        <v>2E-3</v>
      </c>
      <c r="W108" s="41">
        <v>0.02</v>
      </c>
      <c r="X108" s="24">
        <v>0.71749912911735392</v>
      </c>
      <c r="Y108" s="21" t="s">
        <v>3850</v>
      </c>
      <c r="Z108"/>
    </row>
    <row r="109" spans="1:26" x14ac:dyDescent="0.25">
      <c r="A109" t="s">
        <v>1128</v>
      </c>
      <c r="B109" s="25" t="s">
        <v>1129</v>
      </c>
      <c r="C109" s="21" t="s">
        <v>244</v>
      </c>
      <c r="D109" s="21" t="s">
        <v>73</v>
      </c>
      <c r="E109" s="21" t="s">
        <v>91</v>
      </c>
      <c r="F109" s="26">
        <v>2E-3</v>
      </c>
      <c r="G109" s="24">
        <v>6.1208619999999998</v>
      </c>
      <c r="H109" s="24">
        <v>5.187468</v>
      </c>
      <c r="I109" s="24">
        <v>6.1060610000000004</v>
      </c>
      <c r="J109" s="24">
        <v>5.7415839999999996</v>
      </c>
      <c r="K109" s="24">
        <v>1.8233889999999999</v>
      </c>
      <c r="L109" s="24">
        <v>7.8196469999999998</v>
      </c>
      <c r="M109" s="24">
        <v>1.2747999999999999</v>
      </c>
      <c r="N109" s="24">
        <v>9.2307683829374625</v>
      </c>
      <c r="O109" s="24">
        <v>9.7979797979797958</v>
      </c>
      <c r="P109" s="24">
        <v>6.7775459593449234</v>
      </c>
      <c r="Q109" s="24">
        <v>9.0565168571675354</v>
      </c>
      <c r="R109" s="24">
        <v>6.44</v>
      </c>
      <c r="S109" s="24">
        <v>7.8972640837112307</v>
      </c>
      <c r="T109" s="21">
        <v>1</v>
      </c>
      <c r="U109" s="21" t="s">
        <v>72</v>
      </c>
      <c r="V109" s="41">
        <v>2E-3</v>
      </c>
      <c r="W109" s="41">
        <v>7.4999999999999997E-3</v>
      </c>
      <c r="X109" s="24">
        <v>0.45035470842405956</v>
      </c>
      <c r="Y109" s="21" t="s">
        <v>3235</v>
      </c>
      <c r="Z109"/>
    </row>
    <row r="110" spans="1:26" s="62" customFormat="1" x14ac:dyDescent="0.25">
      <c r="A110" t="s">
        <v>2537</v>
      </c>
      <c r="B110" s="25" t="s">
        <v>2538</v>
      </c>
      <c r="C110" s="21" t="s">
        <v>249</v>
      </c>
      <c r="D110" s="21" t="s">
        <v>74</v>
      </c>
      <c r="E110" s="21" t="s">
        <v>99</v>
      </c>
      <c r="F110" s="26">
        <v>2E-3</v>
      </c>
      <c r="G110" s="24">
        <v>5.0170009999999996</v>
      </c>
      <c r="H110" s="24">
        <v>5.7191150000000004</v>
      </c>
      <c r="I110" s="24">
        <v>6.1132559999999998</v>
      </c>
      <c r="J110" s="24">
        <v>5.5565119999999997</v>
      </c>
      <c r="K110" s="24">
        <v>0.62937449999999995</v>
      </c>
      <c r="L110" s="24">
        <v>6.5600750000000003</v>
      </c>
      <c r="M110" s="24">
        <v>112.413</v>
      </c>
      <c r="N110" s="24">
        <v>1.8759856807116504</v>
      </c>
      <c r="O110" s="24">
        <v>0</v>
      </c>
      <c r="P110" s="24">
        <v>8.7394957135795437</v>
      </c>
      <c r="Q110" s="24">
        <v>10</v>
      </c>
      <c r="R110" s="24">
        <v>3.17</v>
      </c>
      <c r="S110" s="24">
        <v>6.8368601049999063</v>
      </c>
      <c r="T110" s="21">
        <v>1</v>
      </c>
      <c r="U110" s="21" t="s">
        <v>72</v>
      </c>
      <c r="V110" s="41">
        <v>2E-3</v>
      </c>
      <c r="W110" s="41">
        <v>5.0000000000000001E-3</v>
      </c>
      <c r="X110" s="24">
        <v>0.97347416613637505</v>
      </c>
      <c r="Y110" s="21" t="s">
        <v>2850</v>
      </c>
      <c r="Z110"/>
    </row>
    <row r="111" spans="1:26" s="62" customFormat="1" x14ac:dyDescent="0.25">
      <c r="A111" t="s">
        <v>2506</v>
      </c>
      <c r="B111" s="25" t="s">
        <v>4381</v>
      </c>
      <c r="C111" s="21" t="s">
        <v>244</v>
      </c>
      <c r="D111" s="21" t="s">
        <v>73</v>
      </c>
      <c r="E111" s="21" t="s">
        <v>88</v>
      </c>
      <c r="F111" s="26">
        <v>2E-3</v>
      </c>
      <c r="G111" s="24">
        <v>4.0993880000000003</v>
      </c>
      <c r="H111" s="24">
        <v>6.3849299999999998</v>
      </c>
      <c r="I111" s="24">
        <v>7.1902819999999998</v>
      </c>
      <c r="J111" s="24">
        <v>5.8915329999999999</v>
      </c>
      <c r="K111" s="24">
        <v>1.6921170000000001</v>
      </c>
      <c r="L111" s="24">
        <v>7.7242150000000001</v>
      </c>
      <c r="M111" s="24">
        <v>1321.509</v>
      </c>
      <c r="N111" s="24">
        <v>8.4919502840909082</v>
      </c>
      <c r="O111" s="24">
        <v>9.5959595959595951</v>
      </c>
      <c r="P111" s="24">
        <v>7.8681771457541627</v>
      </c>
      <c r="Q111" s="24">
        <v>4.5916294133262543</v>
      </c>
      <c r="R111" s="24">
        <v>7.43</v>
      </c>
      <c r="S111" s="24">
        <v>7.5182474167433364</v>
      </c>
      <c r="T111" s="21">
        <v>1</v>
      </c>
      <c r="U111" s="21" t="s">
        <v>72</v>
      </c>
      <c r="V111" s="41">
        <v>2E-3</v>
      </c>
      <c r="W111" s="41">
        <v>7.4999999999999997E-3</v>
      </c>
      <c r="X111" s="24">
        <v>0.70901180743409542</v>
      </c>
      <c r="Y111" s="21" t="s">
        <v>4536</v>
      </c>
      <c r="Z111"/>
    </row>
    <row r="112" spans="1:26" s="62" customFormat="1" x14ac:dyDescent="0.25">
      <c r="A112" t="s">
        <v>1143</v>
      </c>
      <c r="B112" s="25" t="s">
        <v>1144</v>
      </c>
      <c r="C112" s="21" t="s">
        <v>244</v>
      </c>
      <c r="D112" s="21" t="s">
        <v>73</v>
      </c>
      <c r="E112" s="21" t="s">
        <v>86</v>
      </c>
      <c r="F112" s="26">
        <v>2E-3</v>
      </c>
      <c r="G112" s="24">
        <v>6.7006569999999996</v>
      </c>
      <c r="H112" s="24">
        <v>4.0862629999999998</v>
      </c>
      <c r="I112" s="24">
        <v>3.816173</v>
      </c>
      <c r="J112" s="24">
        <v>4.8676979999999999</v>
      </c>
      <c r="K112" s="24">
        <v>1.217039</v>
      </c>
      <c r="L112" s="24">
        <v>9.6006409999999995</v>
      </c>
      <c r="M112" s="24">
        <v>329.36009999999999</v>
      </c>
      <c r="N112" s="24">
        <v>4.3233473307514112</v>
      </c>
      <c r="O112" s="24">
        <v>8.9690721649484537</v>
      </c>
      <c r="P112" s="24">
        <v>9.0000000000000018</v>
      </c>
      <c r="Q112" s="24">
        <v>7.1004573107309419</v>
      </c>
      <c r="R112" s="24">
        <v>3.93</v>
      </c>
      <c r="S112" s="24">
        <v>6.7411603550886037</v>
      </c>
      <c r="T112" s="21">
        <v>1</v>
      </c>
      <c r="U112" s="21" t="s">
        <v>262</v>
      </c>
      <c r="V112" s="41">
        <v>2E-3</v>
      </c>
      <c r="W112" s="41">
        <v>7.4999999999999997E-3</v>
      </c>
      <c r="X112" s="24">
        <v>1.3858596197237598</v>
      </c>
      <c r="Y112" s="21" t="s">
        <v>3167</v>
      </c>
      <c r="Z112"/>
    </row>
    <row r="113" spans="1:26" s="62" customFormat="1" x14ac:dyDescent="0.25">
      <c r="A113" t="s">
        <v>138</v>
      </c>
      <c r="B113" s="25" t="s">
        <v>207</v>
      </c>
      <c r="C113" s="21" t="s">
        <v>244</v>
      </c>
      <c r="D113" s="21" t="s">
        <v>73</v>
      </c>
      <c r="E113" s="21" t="s">
        <v>91</v>
      </c>
      <c r="F113" s="26">
        <v>2E-3</v>
      </c>
      <c r="G113" s="24">
        <v>7.9944940000000004</v>
      </c>
      <c r="H113" s="24">
        <v>6.4614839999999996</v>
      </c>
      <c r="I113" s="24">
        <v>6.6167850000000001</v>
      </c>
      <c r="J113" s="24">
        <v>6.8302060000000004</v>
      </c>
      <c r="K113" s="24">
        <v>1.250259</v>
      </c>
      <c r="L113" s="24">
        <v>8.0780550000000009</v>
      </c>
      <c r="M113" s="24">
        <v>4.4583000000000004</v>
      </c>
      <c r="N113" s="24">
        <v>6.7600457625675539</v>
      </c>
      <c r="O113" s="24">
        <v>5.5555555555555554</v>
      </c>
      <c r="P113" s="24">
        <v>6.7359675811394286</v>
      </c>
      <c r="Q113" s="24">
        <v>8.6643825756485189</v>
      </c>
      <c r="R113" s="24">
        <v>7.05</v>
      </c>
      <c r="S113" s="24">
        <v>7.7399321678715056</v>
      </c>
      <c r="T113" s="21">
        <v>0</v>
      </c>
      <c r="U113" s="21" t="s">
        <v>2790</v>
      </c>
      <c r="V113" s="41">
        <v>2E-3</v>
      </c>
      <c r="W113" s="41">
        <v>0.02</v>
      </c>
      <c r="X113" s="24">
        <v>0.58836066165670253</v>
      </c>
      <c r="Y113" s="21" t="s">
        <v>2848</v>
      </c>
      <c r="Z113"/>
    </row>
    <row r="114" spans="1:26" x14ac:dyDescent="0.25">
      <c r="F114" s="26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V114" s="41"/>
      <c r="W114" s="41"/>
      <c r="Z114"/>
    </row>
    <row r="115" spans="1:26" x14ac:dyDescent="0.25">
      <c r="F115" s="26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V115" s="41"/>
      <c r="W115" s="41"/>
      <c r="Z115"/>
    </row>
    <row r="116" spans="1:26" x14ac:dyDescent="0.25">
      <c r="F116" s="26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V116" s="41"/>
      <c r="W116" s="41"/>
      <c r="Z116"/>
    </row>
    <row r="117" spans="1:26" x14ac:dyDescent="0.25">
      <c r="F117" s="26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V117" s="41"/>
      <c r="W117" s="41"/>
      <c r="Z117"/>
    </row>
    <row r="118" spans="1:26" x14ac:dyDescent="0.25">
      <c r="F118" s="26"/>
      <c r="G118" s="24"/>
      <c r="H118" s="24"/>
      <c r="I118" s="24"/>
      <c r="J118" s="24"/>
      <c r="K118" s="24"/>
      <c r="L118" s="24"/>
      <c r="M118" s="24"/>
      <c r="Z118"/>
    </row>
    <row r="119" spans="1:26" x14ac:dyDescent="0.25">
      <c r="F119" s="26"/>
      <c r="G119" s="24"/>
      <c r="H119" s="24"/>
      <c r="I119" s="24"/>
      <c r="J119" s="24"/>
      <c r="K119" s="24"/>
      <c r="L119" s="24"/>
      <c r="M119" s="24"/>
      <c r="Z119"/>
    </row>
    <row r="120" spans="1:26" x14ac:dyDescent="0.25">
      <c r="F120" s="26"/>
      <c r="G120" s="24"/>
      <c r="H120" s="24"/>
      <c r="I120" s="24"/>
      <c r="J120" s="24"/>
      <c r="K120" s="24"/>
      <c r="L120" s="24"/>
      <c r="M120" s="24"/>
      <c r="Z120"/>
    </row>
    <row r="121" spans="1:26" x14ac:dyDescent="0.25">
      <c r="F121" s="26"/>
      <c r="G121" s="24"/>
      <c r="H121" s="24"/>
      <c r="I121" s="24"/>
      <c r="J121" s="24"/>
      <c r="K121" s="24"/>
      <c r="L121" s="24"/>
      <c r="M121" s="24"/>
      <c r="Z121"/>
    </row>
    <row r="122" spans="1:26" x14ac:dyDescent="0.25">
      <c r="F122" s="26"/>
      <c r="G122" s="24"/>
      <c r="H122" s="24"/>
      <c r="I122" s="24"/>
      <c r="J122" s="24"/>
      <c r="K122" s="24"/>
      <c r="L122" s="24"/>
      <c r="M122" s="24"/>
      <c r="Z122"/>
    </row>
    <row r="123" spans="1:26" x14ac:dyDescent="0.25">
      <c r="F123" s="26"/>
      <c r="G123" s="24"/>
      <c r="H123" s="24"/>
      <c r="I123" s="24"/>
      <c r="J123" s="24"/>
      <c r="K123" s="24"/>
      <c r="L123" s="24"/>
      <c r="M123" s="24"/>
      <c r="Z123"/>
    </row>
    <row r="124" spans="1:26" x14ac:dyDescent="0.25">
      <c r="F124" s="26"/>
      <c r="G124" s="24"/>
      <c r="H124" s="24"/>
      <c r="I124" s="24"/>
      <c r="J124" s="24"/>
      <c r="K124" s="24"/>
      <c r="L124" s="24"/>
      <c r="M124" s="24"/>
      <c r="Z124"/>
    </row>
    <row r="125" spans="1:26" x14ac:dyDescent="0.25">
      <c r="F125" s="26"/>
      <c r="G125" s="24"/>
      <c r="H125" s="24"/>
      <c r="I125" s="24"/>
      <c r="J125" s="24"/>
      <c r="K125" s="24"/>
      <c r="L125" s="24"/>
      <c r="M125" s="24"/>
      <c r="Z125"/>
    </row>
    <row r="126" spans="1:26" x14ac:dyDescent="0.25">
      <c r="F126" s="26"/>
      <c r="G126" s="24"/>
      <c r="H126" s="24"/>
      <c r="I126" s="24"/>
      <c r="J126" s="24"/>
      <c r="K126" s="24"/>
      <c r="L126" s="24"/>
      <c r="M126" s="24"/>
      <c r="Z126"/>
    </row>
    <row r="127" spans="1:26" x14ac:dyDescent="0.25">
      <c r="F127" s="26"/>
      <c r="G127" s="24"/>
      <c r="H127" s="24"/>
      <c r="I127" s="24"/>
      <c r="J127" s="24"/>
      <c r="K127" s="24"/>
      <c r="L127" s="24"/>
      <c r="M127" s="24"/>
      <c r="Z127"/>
    </row>
    <row r="128" spans="1:26" x14ac:dyDescent="0.25">
      <c r="F128" s="26"/>
      <c r="G128" s="24"/>
      <c r="H128" s="24"/>
      <c r="I128" s="24"/>
      <c r="J128" s="24"/>
      <c r="K128" s="24"/>
      <c r="L128" s="24"/>
      <c r="M128" s="24"/>
      <c r="Z128"/>
    </row>
    <row r="129" spans="6:26" x14ac:dyDescent="0.25">
      <c r="F129" s="26"/>
      <c r="G129" s="24"/>
      <c r="H129" s="24"/>
      <c r="I129" s="24"/>
      <c r="J129" s="24"/>
      <c r="K129" s="24"/>
      <c r="L129" s="24"/>
      <c r="M129" s="24"/>
      <c r="Z129"/>
    </row>
    <row r="130" spans="6:26" x14ac:dyDescent="0.25">
      <c r="F130" s="26"/>
      <c r="G130" s="24"/>
      <c r="H130" s="24"/>
      <c r="I130" s="24"/>
      <c r="J130" s="24"/>
      <c r="K130" s="24"/>
      <c r="L130" s="24"/>
      <c r="M130" s="24"/>
      <c r="Z130"/>
    </row>
    <row r="131" spans="6:26" x14ac:dyDescent="0.25">
      <c r="F131" s="26"/>
      <c r="G131" s="24"/>
      <c r="H131" s="24"/>
      <c r="I131" s="24"/>
      <c r="J131" s="24"/>
      <c r="K131" s="24"/>
      <c r="L131" s="24"/>
      <c r="M131" s="24"/>
      <c r="Z131"/>
    </row>
    <row r="132" spans="6:26" x14ac:dyDescent="0.25">
      <c r="F132" s="26"/>
      <c r="G132" s="24"/>
      <c r="H132" s="24"/>
      <c r="I132" s="24"/>
      <c r="J132" s="24"/>
      <c r="K132" s="24"/>
      <c r="L132" s="24"/>
      <c r="M132" s="24"/>
      <c r="Z132"/>
    </row>
    <row r="133" spans="6:26" x14ac:dyDescent="0.25">
      <c r="Z133"/>
    </row>
    <row r="134" spans="6:26" x14ac:dyDescent="0.25">
      <c r="Z134"/>
    </row>
    <row r="135" spans="6:26" x14ac:dyDescent="0.25">
      <c r="Z135"/>
    </row>
    <row r="136" spans="6:26" x14ac:dyDescent="0.25">
      <c r="Z136"/>
    </row>
    <row r="137" spans="6:26" x14ac:dyDescent="0.25">
      <c r="Z137"/>
    </row>
    <row r="138" spans="6:26" x14ac:dyDescent="0.25">
      <c r="Z138"/>
    </row>
    <row r="139" spans="6:26" x14ac:dyDescent="0.25">
      <c r="Z139"/>
    </row>
    <row r="140" spans="6:26" x14ac:dyDescent="0.25">
      <c r="Z140"/>
    </row>
    <row r="141" spans="6:26" x14ac:dyDescent="0.25">
      <c r="Z141"/>
    </row>
    <row r="142" spans="6:26" x14ac:dyDescent="0.25">
      <c r="Z142"/>
    </row>
    <row r="143" spans="6:26" x14ac:dyDescent="0.25">
      <c r="Z143"/>
    </row>
    <row r="144" spans="6:26" x14ac:dyDescent="0.25">
      <c r="Z144"/>
    </row>
    <row r="145" spans="26:26" x14ac:dyDescent="0.25">
      <c r="Z145"/>
    </row>
    <row r="146" spans="26:26" x14ac:dyDescent="0.25">
      <c r="Z146"/>
    </row>
    <row r="147" spans="26:26" x14ac:dyDescent="0.25">
      <c r="Z147"/>
    </row>
    <row r="148" spans="26:26" x14ac:dyDescent="0.25">
      <c r="Z148"/>
    </row>
    <row r="149" spans="26:26" x14ac:dyDescent="0.25">
      <c r="Z149"/>
    </row>
    <row r="150" spans="26:26" x14ac:dyDescent="0.25">
      <c r="Z150"/>
    </row>
    <row r="151" spans="26:26" x14ac:dyDescent="0.25">
      <c r="Z151"/>
    </row>
    <row r="152" spans="26:26" x14ac:dyDescent="0.25">
      <c r="Z152"/>
    </row>
    <row r="153" spans="26:26" x14ac:dyDescent="0.25">
      <c r="Z153"/>
    </row>
    <row r="154" spans="26:26" x14ac:dyDescent="0.25">
      <c r="Z154"/>
    </row>
    <row r="155" spans="26:26" x14ac:dyDescent="0.25">
      <c r="Z155"/>
    </row>
    <row r="156" spans="26:26" x14ac:dyDescent="0.25">
      <c r="Z156"/>
    </row>
    <row r="157" spans="26:26" x14ac:dyDescent="0.25">
      <c r="Z157"/>
    </row>
    <row r="158" spans="26:26" x14ac:dyDescent="0.25">
      <c r="Z158"/>
    </row>
    <row r="159" spans="26:26" x14ac:dyDescent="0.25">
      <c r="Z159"/>
    </row>
    <row r="160" spans="26:26" x14ac:dyDescent="0.25">
      <c r="Z160"/>
    </row>
    <row r="161" spans="26:26" x14ac:dyDescent="0.25">
      <c r="Z161"/>
    </row>
    <row r="162" spans="26:26" x14ac:dyDescent="0.25">
      <c r="Z162"/>
    </row>
    <row r="163" spans="26:26" x14ac:dyDescent="0.25">
      <c r="Z163"/>
    </row>
    <row r="164" spans="26:26" x14ac:dyDescent="0.25">
      <c r="Z164"/>
    </row>
    <row r="165" spans="26:26" x14ac:dyDescent="0.25">
      <c r="Z165"/>
    </row>
    <row r="166" spans="26:26" x14ac:dyDescent="0.25">
      <c r="Z166"/>
    </row>
    <row r="167" spans="26:26" x14ac:dyDescent="0.25">
      <c r="Z167"/>
    </row>
    <row r="168" spans="26:26" x14ac:dyDescent="0.25">
      <c r="Z168"/>
    </row>
    <row r="169" spans="26:26" x14ac:dyDescent="0.25">
      <c r="Z169"/>
    </row>
    <row r="170" spans="26:26" x14ac:dyDescent="0.25">
      <c r="Z170"/>
    </row>
    <row r="171" spans="26:26" x14ac:dyDescent="0.25">
      <c r="Z171"/>
    </row>
    <row r="172" spans="26:26" x14ac:dyDescent="0.25">
      <c r="Z172"/>
    </row>
    <row r="173" spans="26:26" x14ac:dyDescent="0.25">
      <c r="Z173"/>
    </row>
    <row r="174" spans="26:26" x14ac:dyDescent="0.25">
      <c r="Z174"/>
    </row>
    <row r="175" spans="26:26" x14ac:dyDescent="0.25">
      <c r="Z175"/>
    </row>
    <row r="176" spans="26:26" x14ac:dyDescent="0.25">
      <c r="Z176"/>
    </row>
    <row r="177" spans="26:26" x14ac:dyDescent="0.25">
      <c r="Z177"/>
    </row>
    <row r="178" spans="26:26" x14ac:dyDescent="0.25">
      <c r="Z178"/>
    </row>
    <row r="179" spans="26:26" x14ac:dyDescent="0.25">
      <c r="Z179"/>
    </row>
    <row r="180" spans="26:26" x14ac:dyDescent="0.25">
      <c r="Z180"/>
    </row>
    <row r="181" spans="26:26" x14ac:dyDescent="0.25">
      <c r="Z181"/>
    </row>
    <row r="182" spans="26:26" x14ac:dyDescent="0.25">
      <c r="Z182"/>
    </row>
    <row r="183" spans="26:26" x14ac:dyDescent="0.25">
      <c r="Z183"/>
    </row>
    <row r="184" spans="26:26" x14ac:dyDescent="0.25">
      <c r="Z184"/>
    </row>
    <row r="185" spans="26:26" x14ac:dyDescent="0.25">
      <c r="Z185"/>
    </row>
    <row r="186" spans="26:26" x14ac:dyDescent="0.25">
      <c r="Z186"/>
    </row>
    <row r="187" spans="26:26" x14ac:dyDescent="0.25">
      <c r="Z187"/>
    </row>
    <row r="188" spans="26:26" x14ac:dyDescent="0.25">
      <c r="Z188"/>
    </row>
    <row r="189" spans="26:26" x14ac:dyDescent="0.25">
      <c r="Z189"/>
    </row>
    <row r="190" spans="26:26" x14ac:dyDescent="0.25">
      <c r="Z190"/>
    </row>
    <row r="191" spans="26:26" x14ac:dyDescent="0.25">
      <c r="Z191"/>
    </row>
    <row r="192" spans="26:26" x14ac:dyDescent="0.25">
      <c r="Z192"/>
    </row>
    <row r="193" spans="26:26" x14ac:dyDescent="0.25">
      <c r="Z193"/>
    </row>
    <row r="194" spans="26:26" x14ac:dyDescent="0.25">
      <c r="Z194"/>
    </row>
    <row r="195" spans="26:26" x14ac:dyDescent="0.25">
      <c r="Z195"/>
    </row>
    <row r="196" spans="26:26" x14ac:dyDescent="0.25">
      <c r="Z196"/>
    </row>
    <row r="197" spans="26:26" x14ac:dyDescent="0.25">
      <c r="Z197"/>
    </row>
    <row r="198" spans="26:26" x14ac:dyDescent="0.25">
      <c r="Z198"/>
    </row>
    <row r="199" spans="26:26" x14ac:dyDescent="0.25">
      <c r="Z199"/>
    </row>
    <row r="200" spans="26:26" x14ac:dyDescent="0.25">
      <c r="Z200"/>
    </row>
    <row r="201" spans="26:26" x14ac:dyDescent="0.25">
      <c r="Z201"/>
    </row>
    <row r="202" spans="26:26" x14ac:dyDescent="0.25">
      <c r="Z202"/>
    </row>
    <row r="203" spans="26:26" x14ac:dyDescent="0.25">
      <c r="Z203"/>
    </row>
    <row r="204" spans="26:26" x14ac:dyDescent="0.25">
      <c r="Z204"/>
    </row>
    <row r="205" spans="26:26" x14ac:dyDescent="0.25">
      <c r="Z205"/>
    </row>
    <row r="206" spans="26:26" x14ac:dyDescent="0.25">
      <c r="Z206"/>
    </row>
    <row r="207" spans="26:26" x14ac:dyDescent="0.25">
      <c r="Z207"/>
    </row>
    <row r="208" spans="26:26" x14ac:dyDescent="0.25">
      <c r="Z208"/>
    </row>
    <row r="209" spans="26:26" x14ac:dyDescent="0.25">
      <c r="Z209"/>
    </row>
    <row r="210" spans="26:26" x14ac:dyDescent="0.25">
      <c r="Z210"/>
    </row>
    <row r="211" spans="26:26" x14ac:dyDescent="0.25">
      <c r="Z211"/>
    </row>
    <row r="212" spans="26:26" x14ac:dyDescent="0.25">
      <c r="Z212"/>
    </row>
    <row r="213" spans="26:26" x14ac:dyDescent="0.25">
      <c r="Z213"/>
    </row>
    <row r="214" spans="26:26" x14ac:dyDescent="0.25">
      <c r="Z214"/>
    </row>
    <row r="215" spans="26:26" x14ac:dyDescent="0.25">
      <c r="Z215"/>
    </row>
    <row r="216" spans="26:26" x14ac:dyDescent="0.25">
      <c r="Z216"/>
    </row>
    <row r="217" spans="26:26" x14ac:dyDescent="0.25">
      <c r="Z217"/>
    </row>
    <row r="218" spans="26:26" x14ac:dyDescent="0.25">
      <c r="Z218"/>
    </row>
    <row r="219" spans="26:26" x14ac:dyDescent="0.25">
      <c r="Z219"/>
    </row>
    <row r="220" spans="26:26" x14ac:dyDescent="0.25">
      <c r="Z220"/>
    </row>
    <row r="221" spans="26:26" x14ac:dyDescent="0.25">
      <c r="Z221"/>
    </row>
    <row r="222" spans="26:26" x14ac:dyDescent="0.25">
      <c r="Z222"/>
    </row>
    <row r="223" spans="26:26" x14ac:dyDescent="0.25">
      <c r="Z223"/>
    </row>
    <row r="224" spans="26:26" x14ac:dyDescent="0.25">
      <c r="Z224"/>
    </row>
    <row r="225" spans="26:26" x14ac:dyDescent="0.25">
      <c r="Z225"/>
    </row>
    <row r="226" spans="26:26" x14ac:dyDescent="0.25">
      <c r="Z226"/>
    </row>
    <row r="227" spans="26:26" x14ac:dyDescent="0.25">
      <c r="Z227"/>
    </row>
    <row r="228" spans="26:26" x14ac:dyDescent="0.25">
      <c r="Z228"/>
    </row>
    <row r="229" spans="26:26" x14ac:dyDescent="0.25">
      <c r="Z229"/>
    </row>
    <row r="230" spans="26:26" x14ac:dyDescent="0.25">
      <c r="Z230"/>
    </row>
    <row r="231" spans="26:26" x14ac:dyDescent="0.25">
      <c r="Z231"/>
    </row>
    <row r="232" spans="26:26" x14ac:dyDescent="0.25">
      <c r="Z232"/>
    </row>
    <row r="233" spans="26:26" x14ac:dyDescent="0.25">
      <c r="Z233"/>
    </row>
    <row r="234" spans="26:26" x14ac:dyDescent="0.25">
      <c r="Z234"/>
    </row>
    <row r="235" spans="26:26" x14ac:dyDescent="0.25">
      <c r="Z235"/>
    </row>
    <row r="236" spans="26:26" x14ac:dyDescent="0.25">
      <c r="Z236"/>
    </row>
    <row r="237" spans="26:26" x14ac:dyDescent="0.25">
      <c r="Z237"/>
    </row>
    <row r="238" spans="26:26" x14ac:dyDescent="0.25">
      <c r="Z238"/>
    </row>
    <row r="239" spans="26:26" x14ac:dyDescent="0.25">
      <c r="Z239"/>
    </row>
    <row r="240" spans="26:26" x14ac:dyDescent="0.25">
      <c r="Z240"/>
    </row>
    <row r="241" spans="26:26" x14ac:dyDescent="0.25">
      <c r="Z241"/>
    </row>
    <row r="242" spans="26:26" x14ac:dyDescent="0.25">
      <c r="Z242"/>
    </row>
    <row r="243" spans="26:26" x14ac:dyDescent="0.25">
      <c r="Z243"/>
    </row>
    <row r="244" spans="26:26" x14ac:dyDescent="0.25">
      <c r="Z244"/>
    </row>
    <row r="245" spans="26:26" x14ac:dyDescent="0.25">
      <c r="Z245"/>
    </row>
    <row r="246" spans="26:26" x14ac:dyDescent="0.25">
      <c r="Z246"/>
    </row>
    <row r="247" spans="26:26" x14ac:dyDescent="0.25">
      <c r="Z247"/>
    </row>
    <row r="248" spans="26:26" x14ac:dyDescent="0.25">
      <c r="Z248"/>
    </row>
    <row r="249" spans="26:26" x14ac:dyDescent="0.25">
      <c r="Z249"/>
    </row>
    <row r="250" spans="26:26" x14ac:dyDescent="0.25">
      <c r="Z250"/>
    </row>
    <row r="251" spans="26:26" x14ac:dyDescent="0.25">
      <c r="Z251"/>
    </row>
    <row r="252" spans="26:26" x14ac:dyDescent="0.25">
      <c r="Z252"/>
    </row>
    <row r="253" spans="26:26" x14ac:dyDescent="0.25">
      <c r="Z253"/>
    </row>
    <row r="254" spans="26:26" x14ac:dyDescent="0.25">
      <c r="Z254"/>
    </row>
    <row r="255" spans="26:26" x14ac:dyDescent="0.25">
      <c r="Z255"/>
    </row>
    <row r="256" spans="26:26" x14ac:dyDescent="0.25">
      <c r="Z256"/>
    </row>
    <row r="257" spans="26:26" x14ac:dyDescent="0.25">
      <c r="Z257"/>
    </row>
    <row r="258" spans="26:26" x14ac:dyDescent="0.25">
      <c r="Z258"/>
    </row>
    <row r="259" spans="26:26" x14ac:dyDescent="0.25">
      <c r="Z259"/>
    </row>
    <row r="260" spans="26:26" x14ac:dyDescent="0.25">
      <c r="Z260"/>
    </row>
    <row r="261" spans="26:26" x14ac:dyDescent="0.25">
      <c r="Z261"/>
    </row>
    <row r="262" spans="26:26" x14ac:dyDescent="0.25">
      <c r="Z262"/>
    </row>
    <row r="263" spans="26:26" x14ac:dyDescent="0.25">
      <c r="Z263"/>
    </row>
    <row r="264" spans="26:26" x14ac:dyDescent="0.25">
      <c r="Z264"/>
    </row>
    <row r="265" spans="26:26" x14ac:dyDescent="0.25">
      <c r="Z265"/>
    </row>
    <row r="266" spans="26:26" x14ac:dyDescent="0.25">
      <c r="Z266"/>
    </row>
    <row r="267" spans="26:26" x14ac:dyDescent="0.25">
      <c r="Z267"/>
    </row>
    <row r="268" spans="26:26" x14ac:dyDescent="0.25">
      <c r="Z268"/>
    </row>
    <row r="269" spans="26:26" x14ac:dyDescent="0.25">
      <c r="Z269"/>
    </row>
    <row r="270" spans="26:26" x14ac:dyDescent="0.25">
      <c r="Z270"/>
    </row>
    <row r="271" spans="26:26" x14ac:dyDescent="0.25">
      <c r="Z271"/>
    </row>
    <row r="272" spans="26:26" x14ac:dyDescent="0.25">
      <c r="Z272"/>
    </row>
    <row r="273" spans="26:26" x14ac:dyDescent="0.25">
      <c r="Z273"/>
    </row>
    <row r="274" spans="26:26" x14ac:dyDescent="0.25">
      <c r="Z274"/>
    </row>
    <row r="275" spans="26:26" x14ac:dyDescent="0.25">
      <c r="Z275"/>
    </row>
    <row r="276" spans="26:26" x14ac:dyDescent="0.25">
      <c r="Z276"/>
    </row>
    <row r="277" spans="26:26" x14ac:dyDescent="0.25">
      <c r="Z277"/>
    </row>
    <row r="278" spans="26:26" x14ac:dyDescent="0.25">
      <c r="Z278"/>
    </row>
    <row r="279" spans="26:26" x14ac:dyDescent="0.25">
      <c r="Z279"/>
    </row>
    <row r="280" spans="26:26" x14ac:dyDescent="0.25">
      <c r="Z280"/>
    </row>
    <row r="281" spans="26:26" x14ac:dyDescent="0.25">
      <c r="Z281"/>
    </row>
    <row r="282" spans="26:26" x14ac:dyDescent="0.25">
      <c r="Z282"/>
    </row>
    <row r="283" spans="26:26" x14ac:dyDescent="0.25">
      <c r="Z283"/>
    </row>
    <row r="284" spans="26:26" x14ac:dyDescent="0.25">
      <c r="Z284"/>
    </row>
    <row r="285" spans="26:26" x14ac:dyDescent="0.25">
      <c r="Z285"/>
    </row>
    <row r="286" spans="26:26" x14ac:dyDescent="0.25">
      <c r="Z286"/>
    </row>
    <row r="287" spans="26:26" x14ac:dyDescent="0.25">
      <c r="Z287"/>
    </row>
    <row r="288" spans="26:26" x14ac:dyDescent="0.25">
      <c r="Z288"/>
    </row>
    <row r="289" spans="26:26" x14ac:dyDescent="0.25">
      <c r="Z289"/>
    </row>
    <row r="290" spans="26:26" x14ac:dyDescent="0.25">
      <c r="Z290"/>
    </row>
    <row r="291" spans="26:26" x14ac:dyDescent="0.25">
      <c r="Z291"/>
    </row>
    <row r="292" spans="26:26" x14ac:dyDescent="0.25">
      <c r="Z292"/>
    </row>
    <row r="293" spans="26:26" x14ac:dyDescent="0.25">
      <c r="Z293"/>
    </row>
    <row r="294" spans="26:26" x14ac:dyDescent="0.25">
      <c r="Z294"/>
    </row>
    <row r="295" spans="26:26" x14ac:dyDescent="0.25">
      <c r="Z295"/>
    </row>
    <row r="296" spans="26:26" x14ac:dyDescent="0.25">
      <c r="Z296"/>
    </row>
    <row r="297" spans="26:26" x14ac:dyDescent="0.25">
      <c r="Z297"/>
    </row>
    <row r="298" spans="26:26" x14ac:dyDescent="0.25">
      <c r="Z298"/>
    </row>
    <row r="299" spans="26:26" x14ac:dyDescent="0.25">
      <c r="Z299"/>
    </row>
    <row r="300" spans="26:26" x14ac:dyDescent="0.25">
      <c r="Z300"/>
    </row>
    <row r="301" spans="26:26" x14ac:dyDescent="0.25">
      <c r="Z301"/>
    </row>
    <row r="302" spans="26:26" x14ac:dyDescent="0.25">
      <c r="Z302"/>
    </row>
    <row r="303" spans="26:26" x14ac:dyDescent="0.25">
      <c r="Z303"/>
    </row>
    <row r="304" spans="26:26" x14ac:dyDescent="0.25">
      <c r="Z304"/>
    </row>
    <row r="305" spans="26:26" x14ac:dyDescent="0.25">
      <c r="Z305"/>
    </row>
    <row r="306" spans="26:26" x14ac:dyDescent="0.25">
      <c r="Z306"/>
    </row>
    <row r="307" spans="26:26" x14ac:dyDescent="0.25">
      <c r="Z307"/>
    </row>
    <row r="308" spans="26:26" x14ac:dyDescent="0.25">
      <c r="Z308"/>
    </row>
    <row r="309" spans="26:26" x14ac:dyDescent="0.25">
      <c r="Z309"/>
    </row>
    <row r="310" spans="26:26" x14ac:dyDescent="0.25">
      <c r="Z310"/>
    </row>
    <row r="311" spans="26:26" x14ac:dyDescent="0.25">
      <c r="Z311"/>
    </row>
    <row r="312" spans="26:26" x14ac:dyDescent="0.25">
      <c r="Z312"/>
    </row>
    <row r="313" spans="26:26" x14ac:dyDescent="0.25">
      <c r="Z313"/>
    </row>
    <row r="314" spans="26:26" x14ac:dyDescent="0.25">
      <c r="Z314"/>
    </row>
    <row r="315" spans="26:26" x14ac:dyDescent="0.25">
      <c r="Z315"/>
    </row>
    <row r="316" spans="26:26" x14ac:dyDescent="0.25">
      <c r="Z316"/>
    </row>
    <row r="317" spans="26:26" x14ac:dyDescent="0.25">
      <c r="Z317"/>
    </row>
    <row r="318" spans="26:26" x14ac:dyDescent="0.25">
      <c r="Z318"/>
    </row>
    <row r="319" spans="26:26" x14ac:dyDescent="0.25">
      <c r="Z319"/>
    </row>
    <row r="320" spans="26:26" x14ac:dyDescent="0.25">
      <c r="Z320"/>
    </row>
    <row r="321" spans="26:26" x14ac:dyDescent="0.25">
      <c r="Z321"/>
    </row>
    <row r="322" spans="26:26" x14ac:dyDescent="0.25">
      <c r="Z322"/>
    </row>
    <row r="323" spans="26:26" x14ac:dyDescent="0.25">
      <c r="Z323"/>
    </row>
    <row r="324" spans="26:26" x14ac:dyDescent="0.25">
      <c r="Z324"/>
    </row>
    <row r="325" spans="26:26" x14ac:dyDescent="0.25">
      <c r="Z325"/>
    </row>
    <row r="326" spans="26:26" x14ac:dyDescent="0.25">
      <c r="Z326"/>
    </row>
    <row r="327" spans="26:26" x14ac:dyDescent="0.25">
      <c r="Z327"/>
    </row>
    <row r="328" spans="26:26" x14ac:dyDescent="0.25">
      <c r="Z328"/>
    </row>
    <row r="329" spans="26:26" x14ac:dyDescent="0.25">
      <c r="Z329"/>
    </row>
    <row r="330" spans="26:26" x14ac:dyDescent="0.25">
      <c r="Z330"/>
    </row>
    <row r="331" spans="26:26" x14ac:dyDescent="0.25">
      <c r="Z331"/>
    </row>
    <row r="332" spans="26:26" x14ac:dyDescent="0.25">
      <c r="Z332"/>
    </row>
    <row r="333" spans="26:26" x14ac:dyDescent="0.25">
      <c r="Z333"/>
    </row>
    <row r="334" spans="26:26" x14ac:dyDescent="0.25">
      <c r="Z334"/>
    </row>
    <row r="335" spans="26:26" x14ac:dyDescent="0.25">
      <c r="Z335"/>
    </row>
    <row r="336" spans="26:26" x14ac:dyDescent="0.25">
      <c r="Z336"/>
    </row>
    <row r="337" spans="26:26" x14ac:dyDescent="0.25">
      <c r="Z337"/>
    </row>
    <row r="338" spans="26:26" x14ac:dyDescent="0.25">
      <c r="Z338"/>
    </row>
    <row r="339" spans="26:26" x14ac:dyDescent="0.25">
      <c r="Z339"/>
    </row>
    <row r="340" spans="26:26" x14ac:dyDescent="0.25">
      <c r="Z340"/>
    </row>
    <row r="341" spans="26:26" x14ac:dyDescent="0.25">
      <c r="Z341"/>
    </row>
    <row r="342" spans="26:26" x14ac:dyDescent="0.25">
      <c r="Z342"/>
    </row>
    <row r="343" spans="26:26" x14ac:dyDescent="0.25">
      <c r="Z343"/>
    </row>
    <row r="344" spans="26:26" x14ac:dyDescent="0.25">
      <c r="Z344"/>
    </row>
    <row r="345" spans="26:26" x14ac:dyDescent="0.25">
      <c r="Z345"/>
    </row>
    <row r="346" spans="26:26" x14ac:dyDescent="0.25">
      <c r="Z346"/>
    </row>
    <row r="347" spans="26:26" x14ac:dyDescent="0.25">
      <c r="Z347"/>
    </row>
    <row r="348" spans="26:26" x14ac:dyDescent="0.25">
      <c r="Z348"/>
    </row>
    <row r="349" spans="26:26" x14ac:dyDescent="0.25">
      <c r="Z349"/>
    </row>
    <row r="350" spans="26:26" x14ac:dyDescent="0.25">
      <c r="Z350"/>
    </row>
    <row r="351" spans="26:26" x14ac:dyDescent="0.25">
      <c r="Z351"/>
    </row>
    <row r="352" spans="26:26" x14ac:dyDescent="0.25">
      <c r="Z352"/>
    </row>
    <row r="353" spans="26:26" x14ac:dyDescent="0.25">
      <c r="Z353"/>
    </row>
    <row r="354" spans="26:26" x14ac:dyDescent="0.25">
      <c r="Z354"/>
    </row>
    <row r="355" spans="26:26" x14ac:dyDescent="0.25">
      <c r="Z355"/>
    </row>
    <row r="356" spans="26:26" x14ac:dyDescent="0.25">
      <c r="Z356"/>
    </row>
    <row r="357" spans="26:26" x14ac:dyDescent="0.25">
      <c r="Z357"/>
    </row>
    <row r="358" spans="26:26" x14ac:dyDescent="0.25">
      <c r="Z358"/>
    </row>
    <row r="359" spans="26:26" x14ac:dyDescent="0.25">
      <c r="Z359"/>
    </row>
    <row r="360" spans="26:26" x14ac:dyDescent="0.25">
      <c r="Z360"/>
    </row>
    <row r="361" spans="26:26" x14ac:dyDescent="0.25">
      <c r="Z361"/>
    </row>
    <row r="362" spans="26:26" x14ac:dyDescent="0.25">
      <c r="Z362"/>
    </row>
    <row r="363" spans="26:26" x14ac:dyDescent="0.25">
      <c r="Z363"/>
    </row>
    <row r="364" spans="26:26" x14ac:dyDescent="0.25">
      <c r="Z364"/>
    </row>
    <row r="365" spans="26:26" x14ac:dyDescent="0.25">
      <c r="Z365"/>
    </row>
    <row r="366" spans="26:26" x14ac:dyDescent="0.25">
      <c r="Z366"/>
    </row>
    <row r="367" spans="26:26" x14ac:dyDescent="0.25">
      <c r="Z367"/>
    </row>
    <row r="368" spans="26:26" x14ac:dyDescent="0.25">
      <c r="Z368"/>
    </row>
    <row r="369" spans="26:26" x14ac:dyDescent="0.25">
      <c r="Z369"/>
    </row>
    <row r="370" spans="26:26" x14ac:dyDescent="0.25">
      <c r="Z370"/>
    </row>
    <row r="371" spans="26:26" x14ac:dyDescent="0.25">
      <c r="Z371"/>
    </row>
    <row r="372" spans="26:26" x14ac:dyDescent="0.25">
      <c r="Z372"/>
    </row>
    <row r="373" spans="26:26" x14ac:dyDescent="0.25">
      <c r="Z373"/>
    </row>
    <row r="374" spans="26:26" x14ac:dyDescent="0.25">
      <c r="Z374"/>
    </row>
    <row r="375" spans="26:26" x14ac:dyDescent="0.25">
      <c r="Z375"/>
    </row>
    <row r="376" spans="26:26" x14ac:dyDescent="0.25">
      <c r="Z376"/>
    </row>
    <row r="377" spans="26:26" x14ac:dyDescent="0.25">
      <c r="Z377"/>
    </row>
    <row r="378" spans="26:26" x14ac:dyDescent="0.25">
      <c r="Z378"/>
    </row>
    <row r="379" spans="26:26" x14ac:dyDescent="0.25">
      <c r="Z379"/>
    </row>
    <row r="380" spans="26:26" x14ac:dyDescent="0.25">
      <c r="Z380"/>
    </row>
    <row r="381" spans="26:26" x14ac:dyDescent="0.25">
      <c r="Z381"/>
    </row>
    <row r="382" spans="26:26" x14ac:dyDescent="0.25">
      <c r="Z382"/>
    </row>
    <row r="383" spans="26:26" x14ac:dyDescent="0.25">
      <c r="Z383"/>
    </row>
    <row r="384" spans="26:26" x14ac:dyDescent="0.25">
      <c r="Z384"/>
    </row>
    <row r="385" spans="26:26" x14ac:dyDescent="0.25">
      <c r="Z385"/>
    </row>
    <row r="386" spans="26:26" x14ac:dyDescent="0.25">
      <c r="Z386"/>
    </row>
    <row r="387" spans="26:26" x14ac:dyDescent="0.25">
      <c r="Z387"/>
    </row>
    <row r="388" spans="26:26" x14ac:dyDescent="0.25">
      <c r="Z388"/>
    </row>
    <row r="389" spans="26:26" x14ac:dyDescent="0.25">
      <c r="Z389"/>
    </row>
    <row r="390" spans="26:26" x14ac:dyDescent="0.25">
      <c r="Z390"/>
    </row>
    <row r="391" spans="26:26" x14ac:dyDescent="0.25">
      <c r="Z391"/>
    </row>
    <row r="392" spans="26:26" x14ac:dyDescent="0.25">
      <c r="Z392"/>
    </row>
    <row r="393" spans="26:26" x14ac:dyDescent="0.25">
      <c r="Z393"/>
    </row>
    <row r="394" spans="26:26" x14ac:dyDescent="0.25">
      <c r="Z394"/>
    </row>
    <row r="395" spans="26:26" x14ac:dyDescent="0.25">
      <c r="Z395"/>
    </row>
    <row r="396" spans="26:26" x14ac:dyDescent="0.25">
      <c r="Z396"/>
    </row>
    <row r="397" spans="26:26" x14ac:dyDescent="0.25">
      <c r="Z397"/>
    </row>
    <row r="398" spans="26:26" x14ac:dyDescent="0.25">
      <c r="Z398"/>
    </row>
    <row r="399" spans="26:26" x14ac:dyDescent="0.25">
      <c r="Z399"/>
    </row>
    <row r="400" spans="26:26" x14ac:dyDescent="0.25">
      <c r="Z400"/>
    </row>
    <row r="401" spans="26:26" x14ac:dyDescent="0.25">
      <c r="Z401"/>
    </row>
    <row r="402" spans="26:26" x14ac:dyDescent="0.25">
      <c r="Z402"/>
    </row>
    <row r="403" spans="26:26" x14ac:dyDescent="0.25">
      <c r="Z403"/>
    </row>
    <row r="404" spans="26:26" x14ac:dyDescent="0.25">
      <c r="Z404"/>
    </row>
    <row r="405" spans="26:26" x14ac:dyDescent="0.25">
      <c r="Z405"/>
    </row>
    <row r="406" spans="26:26" x14ac:dyDescent="0.25">
      <c r="Z406"/>
    </row>
    <row r="407" spans="26:26" x14ac:dyDescent="0.25">
      <c r="Z407"/>
    </row>
    <row r="408" spans="26:26" x14ac:dyDescent="0.25">
      <c r="Z408"/>
    </row>
    <row r="409" spans="26:26" x14ac:dyDescent="0.25">
      <c r="Z409"/>
    </row>
    <row r="410" spans="26:26" x14ac:dyDescent="0.25">
      <c r="Z410"/>
    </row>
    <row r="411" spans="26:26" x14ac:dyDescent="0.25">
      <c r="Z411"/>
    </row>
    <row r="412" spans="26:26" x14ac:dyDescent="0.25">
      <c r="Z412"/>
    </row>
    <row r="413" spans="26:26" x14ac:dyDescent="0.25">
      <c r="Z413"/>
    </row>
    <row r="414" spans="26:26" x14ac:dyDescent="0.25">
      <c r="Z414"/>
    </row>
    <row r="415" spans="26:26" x14ac:dyDescent="0.25">
      <c r="Z415"/>
    </row>
    <row r="416" spans="26:26" x14ac:dyDescent="0.25">
      <c r="Z416"/>
    </row>
    <row r="417" spans="26:26" x14ac:dyDescent="0.25">
      <c r="Z417"/>
    </row>
    <row r="418" spans="26:26" x14ac:dyDescent="0.25">
      <c r="Z418"/>
    </row>
    <row r="419" spans="26:26" x14ac:dyDescent="0.25">
      <c r="Z419"/>
    </row>
    <row r="420" spans="26:26" x14ac:dyDescent="0.25">
      <c r="Z420"/>
    </row>
    <row r="421" spans="26:26" x14ac:dyDescent="0.25">
      <c r="Z421"/>
    </row>
    <row r="422" spans="26:26" x14ac:dyDescent="0.25">
      <c r="Z422"/>
    </row>
    <row r="423" spans="26:26" x14ac:dyDescent="0.25">
      <c r="Z423"/>
    </row>
    <row r="424" spans="26:26" x14ac:dyDescent="0.25">
      <c r="Z424"/>
    </row>
    <row r="425" spans="26:26" x14ac:dyDescent="0.25">
      <c r="Z425"/>
    </row>
    <row r="426" spans="26:26" x14ac:dyDescent="0.25">
      <c r="Z426"/>
    </row>
    <row r="427" spans="26:26" x14ac:dyDescent="0.25">
      <c r="Z427"/>
    </row>
    <row r="428" spans="26:26" x14ac:dyDescent="0.25">
      <c r="Z428"/>
    </row>
    <row r="429" spans="26:26" x14ac:dyDescent="0.25">
      <c r="Z429"/>
    </row>
    <row r="430" spans="26:26" x14ac:dyDescent="0.25">
      <c r="Z430"/>
    </row>
    <row r="431" spans="26:26" x14ac:dyDescent="0.25">
      <c r="Z431"/>
    </row>
    <row r="432" spans="26:26" x14ac:dyDescent="0.25">
      <c r="Z432"/>
    </row>
    <row r="433" spans="26:26" x14ac:dyDescent="0.25">
      <c r="Z433"/>
    </row>
    <row r="434" spans="26:26" x14ac:dyDescent="0.25">
      <c r="Z434"/>
    </row>
    <row r="435" spans="26:26" x14ac:dyDescent="0.25">
      <c r="Z435"/>
    </row>
    <row r="436" spans="26:26" x14ac:dyDescent="0.25">
      <c r="Z436"/>
    </row>
    <row r="437" spans="26:26" x14ac:dyDescent="0.25">
      <c r="Z437"/>
    </row>
    <row r="438" spans="26:26" x14ac:dyDescent="0.25">
      <c r="Z438"/>
    </row>
    <row r="439" spans="26:26" x14ac:dyDescent="0.25">
      <c r="Z439"/>
    </row>
    <row r="440" spans="26:26" x14ac:dyDescent="0.25">
      <c r="Z440"/>
    </row>
    <row r="441" spans="26:26" x14ac:dyDescent="0.25">
      <c r="Z441"/>
    </row>
    <row r="442" spans="26:26" x14ac:dyDescent="0.25">
      <c r="Z442"/>
    </row>
    <row r="443" spans="26:26" x14ac:dyDescent="0.25">
      <c r="Z443"/>
    </row>
    <row r="444" spans="26:26" x14ac:dyDescent="0.25">
      <c r="Z444"/>
    </row>
    <row r="445" spans="26:26" x14ac:dyDescent="0.25">
      <c r="Z445"/>
    </row>
    <row r="446" spans="26:26" x14ac:dyDescent="0.25">
      <c r="Z446"/>
    </row>
    <row r="447" spans="26:26" x14ac:dyDescent="0.25">
      <c r="Z447"/>
    </row>
    <row r="448" spans="26:26" x14ac:dyDescent="0.25">
      <c r="Z448"/>
    </row>
    <row r="449" spans="26:26" x14ac:dyDescent="0.25">
      <c r="Z449"/>
    </row>
    <row r="450" spans="26:26" x14ac:dyDescent="0.25">
      <c r="Z450"/>
    </row>
    <row r="451" spans="26:26" x14ac:dyDescent="0.25">
      <c r="Z451"/>
    </row>
    <row r="452" spans="26:26" x14ac:dyDescent="0.25">
      <c r="Z452"/>
    </row>
    <row r="453" spans="26:26" x14ac:dyDescent="0.25">
      <c r="Z453"/>
    </row>
    <row r="454" spans="26:26" x14ac:dyDescent="0.25">
      <c r="Z454"/>
    </row>
    <row r="455" spans="26:26" x14ac:dyDescent="0.25">
      <c r="Z455"/>
    </row>
    <row r="456" spans="26:26" x14ac:dyDescent="0.25">
      <c r="Z456"/>
    </row>
    <row r="457" spans="26:26" x14ac:dyDescent="0.25">
      <c r="Z457"/>
    </row>
    <row r="458" spans="26:26" x14ac:dyDescent="0.25">
      <c r="Z458"/>
    </row>
    <row r="459" spans="26:26" x14ac:dyDescent="0.25">
      <c r="Z459"/>
    </row>
    <row r="460" spans="26:26" x14ac:dyDescent="0.25">
      <c r="Z460"/>
    </row>
    <row r="461" spans="26:26" x14ac:dyDescent="0.25">
      <c r="Z461"/>
    </row>
    <row r="462" spans="26:26" x14ac:dyDescent="0.25">
      <c r="Z462"/>
    </row>
    <row r="463" spans="26:26" x14ac:dyDescent="0.25">
      <c r="Z463"/>
    </row>
    <row r="464" spans="26:26" x14ac:dyDescent="0.25">
      <c r="Z464"/>
    </row>
    <row r="465" spans="26:26" x14ac:dyDescent="0.25">
      <c r="Z465"/>
    </row>
    <row r="466" spans="26:26" x14ac:dyDescent="0.25">
      <c r="Z466"/>
    </row>
    <row r="467" spans="26:26" x14ac:dyDescent="0.25">
      <c r="Z467"/>
    </row>
    <row r="468" spans="26:26" x14ac:dyDescent="0.25">
      <c r="Z468"/>
    </row>
    <row r="469" spans="26:26" x14ac:dyDescent="0.25">
      <c r="Z469"/>
    </row>
    <row r="470" spans="26:26" x14ac:dyDescent="0.25">
      <c r="Z470"/>
    </row>
    <row r="471" spans="26:26" x14ac:dyDescent="0.25">
      <c r="Z471"/>
    </row>
    <row r="472" spans="26:26" x14ac:dyDescent="0.25">
      <c r="Z472"/>
    </row>
    <row r="473" spans="26:26" x14ac:dyDescent="0.25">
      <c r="Z473"/>
    </row>
    <row r="474" spans="26:26" x14ac:dyDescent="0.25">
      <c r="Z474"/>
    </row>
    <row r="475" spans="26:26" x14ac:dyDescent="0.25">
      <c r="Z475"/>
    </row>
    <row r="476" spans="26:26" x14ac:dyDescent="0.25">
      <c r="Z476"/>
    </row>
    <row r="477" spans="26:26" x14ac:dyDescent="0.25">
      <c r="Z477"/>
    </row>
    <row r="478" spans="26:26" x14ac:dyDescent="0.25">
      <c r="Z478"/>
    </row>
    <row r="479" spans="26:26" x14ac:dyDescent="0.25">
      <c r="Z479"/>
    </row>
    <row r="480" spans="26:26" x14ac:dyDescent="0.25">
      <c r="Z480"/>
    </row>
    <row r="481" spans="26:26" x14ac:dyDescent="0.25">
      <c r="Z481"/>
    </row>
    <row r="482" spans="26:26" x14ac:dyDescent="0.25">
      <c r="Z482"/>
    </row>
    <row r="483" spans="26:26" x14ac:dyDescent="0.25">
      <c r="Z483"/>
    </row>
    <row r="484" spans="26:26" x14ac:dyDescent="0.25">
      <c r="Z484"/>
    </row>
    <row r="485" spans="26:26" x14ac:dyDescent="0.25">
      <c r="Z485"/>
    </row>
    <row r="486" spans="26:26" x14ac:dyDescent="0.25">
      <c r="Z486"/>
    </row>
    <row r="487" spans="26:26" x14ac:dyDescent="0.25">
      <c r="Z487"/>
    </row>
    <row r="488" spans="26:26" x14ac:dyDescent="0.25">
      <c r="Z488"/>
    </row>
    <row r="489" spans="26:26" x14ac:dyDescent="0.25">
      <c r="Z489"/>
    </row>
    <row r="490" spans="26:26" x14ac:dyDescent="0.25">
      <c r="Z490"/>
    </row>
    <row r="491" spans="26:26" x14ac:dyDescent="0.25">
      <c r="Z491"/>
    </row>
    <row r="492" spans="26:26" x14ac:dyDescent="0.25">
      <c r="Z492"/>
    </row>
    <row r="493" spans="26:26" x14ac:dyDescent="0.25">
      <c r="Z493"/>
    </row>
    <row r="494" spans="26:26" x14ac:dyDescent="0.25">
      <c r="Z494"/>
    </row>
    <row r="495" spans="26:26" x14ac:dyDescent="0.25">
      <c r="Z495"/>
    </row>
    <row r="496" spans="26:26" x14ac:dyDescent="0.25">
      <c r="Z496"/>
    </row>
    <row r="497" spans="26:26" x14ac:dyDescent="0.25">
      <c r="Z497"/>
    </row>
    <row r="498" spans="26:26" x14ac:dyDescent="0.25">
      <c r="Z498"/>
    </row>
    <row r="499" spans="26:26" x14ac:dyDescent="0.25">
      <c r="Z499"/>
    </row>
    <row r="500" spans="26:26" x14ac:dyDescent="0.25">
      <c r="Z500"/>
    </row>
    <row r="501" spans="26:26" x14ac:dyDescent="0.25">
      <c r="Z501"/>
    </row>
    <row r="502" spans="26:26" x14ac:dyDescent="0.25">
      <c r="Z502"/>
    </row>
    <row r="503" spans="26:26" x14ac:dyDescent="0.25">
      <c r="Z503"/>
    </row>
    <row r="504" spans="26:26" x14ac:dyDescent="0.25">
      <c r="Z504"/>
    </row>
    <row r="505" spans="26:26" x14ac:dyDescent="0.25">
      <c r="Z505"/>
    </row>
    <row r="506" spans="26:26" x14ac:dyDescent="0.25">
      <c r="Z506"/>
    </row>
    <row r="507" spans="26:26" x14ac:dyDescent="0.25">
      <c r="Z507"/>
    </row>
    <row r="508" spans="26:26" x14ac:dyDescent="0.25">
      <c r="Z508"/>
    </row>
    <row r="509" spans="26:26" x14ac:dyDescent="0.25">
      <c r="Z509"/>
    </row>
    <row r="510" spans="26:26" x14ac:dyDescent="0.25">
      <c r="Z510"/>
    </row>
    <row r="511" spans="26:26" x14ac:dyDescent="0.25">
      <c r="Z511"/>
    </row>
    <row r="512" spans="26:26" x14ac:dyDescent="0.25">
      <c r="Z512"/>
    </row>
    <row r="513" spans="26:26" x14ac:dyDescent="0.25">
      <c r="Z513"/>
    </row>
    <row r="514" spans="26:26" x14ac:dyDescent="0.25">
      <c r="Z514"/>
    </row>
    <row r="515" spans="26:26" x14ac:dyDescent="0.25">
      <c r="Z515"/>
    </row>
    <row r="516" spans="26:26" x14ac:dyDescent="0.25">
      <c r="Z516"/>
    </row>
    <row r="517" spans="26:26" x14ac:dyDescent="0.25">
      <c r="Z517"/>
    </row>
    <row r="518" spans="26:26" x14ac:dyDescent="0.25">
      <c r="Z518"/>
    </row>
    <row r="519" spans="26:26" x14ac:dyDescent="0.25">
      <c r="Z519"/>
    </row>
    <row r="520" spans="26:26" x14ac:dyDescent="0.25">
      <c r="Z520"/>
    </row>
    <row r="521" spans="26:26" x14ac:dyDescent="0.25">
      <c r="Z521"/>
    </row>
    <row r="522" spans="26:26" x14ac:dyDescent="0.25">
      <c r="Z522"/>
    </row>
    <row r="523" spans="26:26" x14ac:dyDescent="0.25">
      <c r="Z523"/>
    </row>
    <row r="524" spans="26:26" x14ac:dyDescent="0.25">
      <c r="Z524"/>
    </row>
    <row r="525" spans="26:26" x14ac:dyDescent="0.25">
      <c r="Z525"/>
    </row>
    <row r="526" spans="26:26" x14ac:dyDescent="0.25">
      <c r="Z526"/>
    </row>
    <row r="527" spans="26:26" x14ac:dyDescent="0.25">
      <c r="Z527"/>
    </row>
    <row r="528" spans="26:26" x14ac:dyDescent="0.25">
      <c r="Z528"/>
    </row>
    <row r="529" spans="26:26" x14ac:dyDescent="0.25">
      <c r="Z529"/>
    </row>
    <row r="530" spans="26:26" x14ac:dyDescent="0.25">
      <c r="Z530"/>
    </row>
    <row r="531" spans="26:26" x14ac:dyDescent="0.25">
      <c r="Z531"/>
    </row>
    <row r="532" spans="26:26" x14ac:dyDescent="0.25">
      <c r="Z532"/>
    </row>
    <row r="533" spans="26:26" x14ac:dyDescent="0.25">
      <c r="Z533"/>
    </row>
    <row r="534" spans="26:26" x14ac:dyDescent="0.25">
      <c r="Z534"/>
    </row>
    <row r="535" spans="26:26" x14ac:dyDescent="0.25">
      <c r="Z535"/>
    </row>
    <row r="536" spans="26:26" x14ac:dyDescent="0.25">
      <c r="Z536"/>
    </row>
    <row r="537" spans="26:26" x14ac:dyDescent="0.25">
      <c r="Z537"/>
    </row>
    <row r="538" spans="26:26" x14ac:dyDescent="0.25">
      <c r="Z538"/>
    </row>
    <row r="539" spans="26:26" x14ac:dyDescent="0.25">
      <c r="Z539"/>
    </row>
    <row r="540" spans="26:26" x14ac:dyDescent="0.25">
      <c r="Z540"/>
    </row>
    <row r="541" spans="26:26" x14ac:dyDescent="0.25">
      <c r="Z541"/>
    </row>
    <row r="542" spans="26:26" x14ac:dyDescent="0.25">
      <c r="Z542"/>
    </row>
    <row r="543" spans="26:26" x14ac:dyDescent="0.25">
      <c r="Z543"/>
    </row>
    <row r="544" spans="26:26" x14ac:dyDescent="0.25">
      <c r="Z544"/>
    </row>
    <row r="545" spans="26:26" x14ac:dyDescent="0.25">
      <c r="Z545"/>
    </row>
    <row r="546" spans="26:26" x14ac:dyDescent="0.25">
      <c r="Z546"/>
    </row>
    <row r="547" spans="26:26" x14ac:dyDescent="0.25">
      <c r="Z547"/>
    </row>
    <row r="548" spans="26:26" x14ac:dyDescent="0.25">
      <c r="Z548"/>
    </row>
    <row r="549" spans="26:26" x14ac:dyDescent="0.25">
      <c r="Z549"/>
    </row>
    <row r="550" spans="26:26" x14ac:dyDescent="0.25">
      <c r="Z550"/>
    </row>
    <row r="551" spans="26:26" x14ac:dyDescent="0.25">
      <c r="Z551"/>
    </row>
    <row r="552" spans="26:26" x14ac:dyDescent="0.25">
      <c r="Z552"/>
    </row>
    <row r="553" spans="26:26" x14ac:dyDescent="0.25">
      <c r="Z553"/>
    </row>
    <row r="554" spans="26:26" x14ac:dyDescent="0.25">
      <c r="Z554"/>
    </row>
    <row r="555" spans="26:26" x14ac:dyDescent="0.25">
      <c r="Z555"/>
    </row>
    <row r="556" spans="26:26" x14ac:dyDescent="0.25">
      <c r="Z556"/>
    </row>
    <row r="557" spans="26:26" x14ac:dyDescent="0.25">
      <c r="Z557"/>
    </row>
    <row r="558" spans="26:26" x14ac:dyDescent="0.25">
      <c r="Z558"/>
    </row>
    <row r="559" spans="26:26" x14ac:dyDescent="0.25">
      <c r="Z559"/>
    </row>
    <row r="560" spans="26:26" x14ac:dyDescent="0.25">
      <c r="Z560"/>
    </row>
    <row r="561" spans="26:26" x14ac:dyDescent="0.25">
      <c r="Z561"/>
    </row>
    <row r="562" spans="26:26" x14ac:dyDescent="0.25">
      <c r="Z562"/>
    </row>
    <row r="563" spans="26:26" x14ac:dyDescent="0.25">
      <c r="Z563"/>
    </row>
    <row r="564" spans="26:26" x14ac:dyDescent="0.25">
      <c r="Z564"/>
    </row>
    <row r="565" spans="26:26" x14ac:dyDescent="0.25">
      <c r="Z565"/>
    </row>
    <row r="566" spans="26:26" x14ac:dyDescent="0.25">
      <c r="Z566"/>
    </row>
    <row r="567" spans="26:26" x14ac:dyDescent="0.25">
      <c r="Z567"/>
    </row>
    <row r="568" spans="26:26" x14ac:dyDescent="0.25">
      <c r="Z568"/>
    </row>
    <row r="569" spans="26:26" x14ac:dyDescent="0.25">
      <c r="Z569"/>
    </row>
    <row r="570" spans="26:26" x14ac:dyDescent="0.25">
      <c r="Z570"/>
    </row>
    <row r="571" spans="26:26" x14ac:dyDescent="0.25">
      <c r="Z571"/>
    </row>
    <row r="572" spans="26:26" x14ac:dyDescent="0.25">
      <c r="Z572"/>
    </row>
    <row r="573" spans="26:26" x14ac:dyDescent="0.25">
      <c r="Z573"/>
    </row>
    <row r="574" spans="26:26" x14ac:dyDescent="0.25">
      <c r="Z574"/>
    </row>
    <row r="575" spans="26:26" x14ac:dyDescent="0.25">
      <c r="Z575"/>
    </row>
    <row r="576" spans="26:26" x14ac:dyDescent="0.25">
      <c r="Z576"/>
    </row>
    <row r="577" spans="26:26" x14ac:dyDescent="0.25">
      <c r="Z577"/>
    </row>
    <row r="578" spans="26:26" x14ac:dyDescent="0.25">
      <c r="Z578"/>
    </row>
    <row r="579" spans="26:26" x14ac:dyDescent="0.25">
      <c r="Z579"/>
    </row>
    <row r="580" spans="26:26" x14ac:dyDescent="0.25">
      <c r="Z580"/>
    </row>
    <row r="581" spans="26:26" x14ac:dyDescent="0.25">
      <c r="Z581"/>
    </row>
    <row r="582" spans="26:26" x14ac:dyDescent="0.25">
      <c r="Z582"/>
    </row>
    <row r="583" spans="26:26" x14ac:dyDescent="0.25">
      <c r="Z583"/>
    </row>
    <row r="584" spans="26:26" x14ac:dyDescent="0.25">
      <c r="Z584"/>
    </row>
    <row r="585" spans="26:26" x14ac:dyDescent="0.25">
      <c r="Z585"/>
    </row>
    <row r="586" spans="26:26" x14ac:dyDescent="0.25">
      <c r="Z586"/>
    </row>
    <row r="587" spans="26:26" x14ac:dyDescent="0.25">
      <c r="Z587"/>
    </row>
    <row r="588" spans="26:26" x14ac:dyDescent="0.25">
      <c r="Z588"/>
    </row>
    <row r="589" spans="26:26" x14ac:dyDescent="0.25">
      <c r="Z589"/>
    </row>
    <row r="590" spans="26:26" x14ac:dyDescent="0.25">
      <c r="Z590"/>
    </row>
    <row r="591" spans="26:26" x14ac:dyDescent="0.25">
      <c r="Z591"/>
    </row>
    <row r="592" spans="26:26" x14ac:dyDescent="0.25">
      <c r="Z592"/>
    </row>
    <row r="593" spans="26:26" x14ac:dyDescent="0.25">
      <c r="Z593"/>
    </row>
    <row r="594" spans="26:26" x14ac:dyDescent="0.25">
      <c r="Z594"/>
    </row>
    <row r="595" spans="26:26" x14ac:dyDescent="0.25">
      <c r="Z595"/>
    </row>
    <row r="596" spans="26:26" x14ac:dyDescent="0.25">
      <c r="Z596"/>
    </row>
    <row r="597" spans="26:26" x14ac:dyDescent="0.25">
      <c r="Z597"/>
    </row>
    <row r="598" spans="26:26" x14ac:dyDescent="0.25">
      <c r="Z598"/>
    </row>
    <row r="599" spans="26:26" x14ac:dyDescent="0.25">
      <c r="Z599"/>
    </row>
    <row r="600" spans="26:26" x14ac:dyDescent="0.25">
      <c r="Z600"/>
    </row>
    <row r="601" spans="26:26" x14ac:dyDescent="0.25">
      <c r="Z601"/>
    </row>
    <row r="602" spans="26:26" x14ac:dyDescent="0.25">
      <c r="Z602"/>
    </row>
    <row r="603" spans="26:26" x14ac:dyDescent="0.25">
      <c r="Z603"/>
    </row>
    <row r="604" spans="26:26" x14ac:dyDescent="0.25">
      <c r="Z604"/>
    </row>
    <row r="605" spans="26:26" x14ac:dyDescent="0.25">
      <c r="Z605"/>
    </row>
    <row r="606" spans="26:26" x14ac:dyDescent="0.25">
      <c r="Z606"/>
    </row>
    <row r="607" spans="26:26" x14ac:dyDescent="0.25">
      <c r="Z607"/>
    </row>
    <row r="608" spans="26:26" x14ac:dyDescent="0.25">
      <c r="Z608"/>
    </row>
    <row r="609" spans="26:26" x14ac:dyDescent="0.25">
      <c r="Z609"/>
    </row>
    <row r="610" spans="26:26" x14ac:dyDescent="0.25">
      <c r="Z610"/>
    </row>
    <row r="611" spans="26:26" x14ac:dyDescent="0.25">
      <c r="Z611"/>
    </row>
    <row r="612" spans="26:26" x14ac:dyDescent="0.25">
      <c r="Z612"/>
    </row>
    <row r="613" spans="26:26" x14ac:dyDescent="0.25">
      <c r="Z613"/>
    </row>
    <row r="614" spans="26:26" x14ac:dyDescent="0.25">
      <c r="Z614"/>
    </row>
    <row r="615" spans="26:26" x14ac:dyDescent="0.25">
      <c r="Z615"/>
    </row>
    <row r="616" spans="26:26" x14ac:dyDescent="0.25">
      <c r="Z616"/>
    </row>
    <row r="617" spans="26:26" x14ac:dyDescent="0.25">
      <c r="Z617"/>
    </row>
    <row r="618" spans="26:26" x14ac:dyDescent="0.25">
      <c r="Z618"/>
    </row>
    <row r="619" spans="26:26" x14ac:dyDescent="0.25">
      <c r="Z619"/>
    </row>
    <row r="620" spans="26:26" x14ac:dyDescent="0.25">
      <c r="Z620"/>
    </row>
    <row r="621" spans="26:26" x14ac:dyDescent="0.25">
      <c r="Z621"/>
    </row>
    <row r="622" spans="26:26" x14ac:dyDescent="0.25">
      <c r="Z622"/>
    </row>
    <row r="623" spans="26:26" x14ac:dyDescent="0.25">
      <c r="Z623"/>
    </row>
    <row r="624" spans="26:26" x14ac:dyDescent="0.25">
      <c r="Z624"/>
    </row>
    <row r="625" spans="26:26" x14ac:dyDescent="0.25">
      <c r="Z625"/>
    </row>
    <row r="626" spans="26:26" x14ac:dyDescent="0.25">
      <c r="Z626"/>
    </row>
    <row r="627" spans="26:26" x14ac:dyDescent="0.25">
      <c r="Z627"/>
    </row>
    <row r="628" spans="26:26" x14ac:dyDescent="0.25">
      <c r="Z628"/>
    </row>
    <row r="629" spans="26:26" x14ac:dyDescent="0.25">
      <c r="Z629"/>
    </row>
    <row r="630" spans="26:26" x14ac:dyDescent="0.25">
      <c r="Z630"/>
    </row>
    <row r="631" spans="26:26" x14ac:dyDescent="0.25">
      <c r="Z631"/>
    </row>
    <row r="632" spans="26:26" x14ac:dyDescent="0.25">
      <c r="Z632"/>
    </row>
    <row r="633" spans="26:26" x14ac:dyDescent="0.25">
      <c r="Z633"/>
    </row>
    <row r="634" spans="26:26" x14ac:dyDescent="0.25">
      <c r="Z634"/>
    </row>
    <row r="635" spans="26:26" x14ac:dyDescent="0.25">
      <c r="Z635"/>
    </row>
    <row r="636" spans="26:26" x14ac:dyDescent="0.25">
      <c r="Z636"/>
    </row>
    <row r="637" spans="26:26" x14ac:dyDescent="0.25">
      <c r="Z637"/>
    </row>
    <row r="638" spans="26:26" x14ac:dyDescent="0.25">
      <c r="Z638"/>
    </row>
    <row r="639" spans="26:26" x14ac:dyDescent="0.25">
      <c r="Z639"/>
    </row>
    <row r="640" spans="26:26" x14ac:dyDescent="0.25">
      <c r="Z640"/>
    </row>
    <row r="641" spans="26:26" x14ac:dyDescent="0.25">
      <c r="Z641"/>
    </row>
    <row r="642" spans="26:26" x14ac:dyDescent="0.25">
      <c r="Z642"/>
    </row>
    <row r="643" spans="26:26" x14ac:dyDescent="0.25">
      <c r="Z643"/>
    </row>
    <row r="644" spans="26:26" x14ac:dyDescent="0.25">
      <c r="Z644"/>
    </row>
    <row r="645" spans="26:26" x14ac:dyDescent="0.25">
      <c r="Z645"/>
    </row>
    <row r="646" spans="26:26" x14ac:dyDescent="0.25">
      <c r="Z646"/>
    </row>
    <row r="647" spans="26:26" x14ac:dyDescent="0.25">
      <c r="Z647"/>
    </row>
    <row r="648" spans="26:26" x14ac:dyDescent="0.25">
      <c r="Z648"/>
    </row>
    <row r="649" spans="26:26" x14ac:dyDescent="0.25">
      <c r="Z649"/>
    </row>
    <row r="650" spans="26:26" x14ac:dyDescent="0.25">
      <c r="Z650"/>
    </row>
    <row r="651" spans="26:26" x14ac:dyDescent="0.25">
      <c r="Z651"/>
    </row>
    <row r="652" spans="26:26" x14ac:dyDescent="0.25">
      <c r="Z652"/>
    </row>
    <row r="653" spans="26:26" x14ac:dyDescent="0.25">
      <c r="Z653"/>
    </row>
    <row r="654" spans="26:26" x14ac:dyDescent="0.25">
      <c r="Z654"/>
    </row>
    <row r="655" spans="26:26" x14ac:dyDescent="0.25">
      <c r="Z655"/>
    </row>
    <row r="656" spans="26:26" x14ac:dyDescent="0.25">
      <c r="Z656"/>
    </row>
    <row r="657" spans="26:26" x14ac:dyDescent="0.25">
      <c r="Z657"/>
    </row>
    <row r="658" spans="26:26" x14ac:dyDescent="0.25">
      <c r="Z658"/>
    </row>
    <row r="659" spans="26:26" x14ac:dyDescent="0.25">
      <c r="Z659"/>
    </row>
    <row r="660" spans="26:26" x14ac:dyDescent="0.25">
      <c r="Z660"/>
    </row>
    <row r="661" spans="26:26" x14ac:dyDescent="0.25">
      <c r="Z661"/>
    </row>
    <row r="662" spans="26:26" x14ac:dyDescent="0.25">
      <c r="Z662"/>
    </row>
    <row r="663" spans="26:26" x14ac:dyDescent="0.25">
      <c r="Z663"/>
    </row>
    <row r="664" spans="26:26" x14ac:dyDescent="0.25">
      <c r="Z664"/>
    </row>
    <row r="665" spans="26:26" x14ac:dyDescent="0.25">
      <c r="Z665"/>
    </row>
    <row r="666" spans="26:26" x14ac:dyDescent="0.25">
      <c r="Z666"/>
    </row>
    <row r="667" spans="26:26" x14ac:dyDescent="0.25">
      <c r="Z667"/>
    </row>
    <row r="668" spans="26:26" x14ac:dyDescent="0.25">
      <c r="Z668"/>
    </row>
    <row r="669" spans="26:26" x14ac:dyDescent="0.25">
      <c r="Z669"/>
    </row>
    <row r="670" spans="26:26" x14ac:dyDescent="0.25">
      <c r="Z670"/>
    </row>
    <row r="671" spans="26:26" x14ac:dyDescent="0.25">
      <c r="Z671"/>
    </row>
    <row r="672" spans="26:26" x14ac:dyDescent="0.25">
      <c r="Z672"/>
    </row>
    <row r="673" spans="26:26" x14ac:dyDescent="0.25">
      <c r="Z673"/>
    </row>
    <row r="674" spans="26:26" x14ac:dyDescent="0.25">
      <c r="Z674"/>
    </row>
    <row r="675" spans="26:26" x14ac:dyDescent="0.25">
      <c r="Z675"/>
    </row>
    <row r="676" spans="26:26" x14ac:dyDescent="0.25">
      <c r="Z676"/>
    </row>
    <row r="677" spans="26:26" x14ac:dyDescent="0.25">
      <c r="Z677"/>
    </row>
    <row r="678" spans="26:26" x14ac:dyDescent="0.25">
      <c r="Z678"/>
    </row>
    <row r="679" spans="26:26" x14ac:dyDescent="0.25">
      <c r="Z679"/>
    </row>
    <row r="680" spans="26:26" x14ac:dyDescent="0.25">
      <c r="Z680"/>
    </row>
    <row r="681" spans="26:26" x14ac:dyDescent="0.25">
      <c r="Z681"/>
    </row>
    <row r="682" spans="26:26" x14ac:dyDescent="0.25">
      <c r="Z682"/>
    </row>
    <row r="683" spans="26:26" x14ac:dyDescent="0.25">
      <c r="Z683"/>
    </row>
    <row r="684" spans="26:26" x14ac:dyDescent="0.25">
      <c r="Z684"/>
    </row>
    <row r="685" spans="26:26" x14ac:dyDescent="0.25">
      <c r="Z685"/>
    </row>
    <row r="686" spans="26:26" x14ac:dyDescent="0.25">
      <c r="Z686"/>
    </row>
    <row r="687" spans="26:26" x14ac:dyDescent="0.25">
      <c r="Z687"/>
    </row>
    <row r="688" spans="26:26" x14ac:dyDescent="0.25">
      <c r="Z688"/>
    </row>
    <row r="689" spans="26:26" x14ac:dyDescent="0.25">
      <c r="Z689"/>
    </row>
    <row r="690" spans="26:26" x14ac:dyDescent="0.25">
      <c r="Z690"/>
    </row>
    <row r="691" spans="26:26" x14ac:dyDescent="0.25">
      <c r="Z691"/>
    </row>
    <row r="692" spans="26:26" x14ac:dyDescent="0.25">
      <c r="Z692"/>
    </row>
    <row r="693" spans="26:26" x14ac:dyDescent="0.25">
      <c r="Z693"/>
    </row>
    <row r="694" spans="26:26" x14ac:dyDescent="0.25">
      <c r="Z694"/>
    </row>
    <row r="695" spans="26:26" x14ac:dyDescent="0.25">
      <c r="Z695"/>
    </row>
    <row r="696" spans="26:26" x14ac:dyDescent="0.25">
      <c r="Z696"/>
    </row>
    <row r="697" spans="26:26" x14ac:dyDescent="0.25">
      <c r="Z697"/>
    </row>
    <row r="698" spans="26:26" x14ac:dyDescent="0.25">
      <c r="Z698"/>
    </row>
    <row r="699" spans="26:26" x14ac:dyDescent="0.25">
      <c r="Z699"/>
    </row>
    <row r="700" spans="26:26" x14ac:dyDescent="0.25">
      <c r="Z700"/>
    </row>
    <row r="701" spans="26:26" x14ac:dyDescent="0.25">
      <c r="Z701"/>
    </row>
    <row r="702" spans="26:26" x14ac:dyDescent="0.25">
      <c r="Z702"/>
    </row>
    <row r="703" spans="26:26" x14ac:dyDescent="0.25">
      <c r="Z703"/>
    </row>
    <row r="704" spans="26:26" x14ac:dyDescent="0.25">
      <c r="Z704"/>
    </row>
    <row r="705" spans="26:26" x14ac:dyDescent="0.25">
      <c r="Z705"/>
    </row>
    <row r="706" spans="26:26" x14ac:dyDescent="0.25">
      <c r="Z706"/>
    </row>
    <row r="707" spans="26:26" x14ac:dyDescent="0.25">
      <c r="Z707"/>
    </row>
    <row r="708" spans="26:26" x14ac:dyDescent="0.25">
      <c r="Z708"/>
    </row>
    <row r="709" spans="26:26" x14ac:dyDescent="0.25">
      <c r="Z709"/>
    </row>
    <row r="710" spans="26:26" x14ac:dyDescent="0.25">
      <c r="Z710"/>
    </row>
    <row r="711" spans="26:26" x14ac:dyDescent="0.25">
      <c r="Z711"/>
    </row>
    <row r="712" spans="26:26" x14ac:dyDescent="0.25">
      <c r="Z712"/>
    </row>
    <row r="713" spans="26:26" x14ac:dyDescent="0.25">
      <c r="Z713"/>
    </row>
    <row r="714" spans="26:26" x14ac:dyDescent="0.25">
      <c r="Z714"/>
    </row>
    <row r="715" spans="26:26" x14ac:dyDescent="0.25">
      <c r="Z715"/>
    </row>
    <row r="716" spans="26:26" x14ac:dyDescent="0.25">
      <c r="Z716"/>
    </row>
    <row r="717" spans="26:26" x14ac:dyDescent="0.25">
      <c r="Z717"/>
    </row>
    <row r="718" spans="26:26" x14ac:dyDescent="0.25">
      <c r="Z718"/>
    </row>
    <row r="719" spans="26:26" x14ac:dyDescent="0.25">
      <c r="Z719"/>
    </row>
    <row r="720" spans="26:26" x14ac:dyDescent="0.25">
      <c r="Z720"/>
    </row>
    <row r="721" spans="26:26" x14ac:dyDescent="0.25">
      <c r="Z721"/>
    </row>
    <row r="722" spans="26:26" x14ac:dyDescent="0.25">
      <c r="Z722"/>
    </row>
    <row r="723" spans="26:26" x14ac:dyDescent="0.25">
      <c r="Z723"/>
    </row>
    <row r="724" spans="26:26" x14ac:dyDescent="0.25">
      <c r="Z724"/>
    </row>
    <row r="725" spans="26:26" x14ac:dyDescent="0.25">
      <c r="Z725"/>
    </row>
    <row r="726" spans="26:26" x14ac:dyDescent="0.25">
      <c r="Z726"/>
    </row>
    <row r="727" spans="26:26" x14ac:dyDescent="0.25">
      <c r="Z727"/>
    </row>
    <row r="728" spans="26:26" x14ac:dyDescent="0.25">
      <c r="Z728"/>
    </row>
    <row r="729" spans="26:26" x14ac:dyDescent="0.25">
      <c r="Z729"/>
    </row>
    <row r="730" spans="26:26" x14ac:dyDescent="0.25">
      <c r="Z730"/>
    </row>
    <row r="731" spans="26:26" x14ac:dyDescent="0.25">
      <c r="Z731"/>
    </row>
    <row r="732" spans="26:26" x14ac:dyDescent="0.25">
      <c r="Z732"/>
    </row>
    <row r="733" spans="26:26" x14ac:dyDescent="0.25">
      <c r="Z733"/>
    </row>
    <row r="734" spans="26:26" x14ac:dyDescent="0.25">
      <c r="Z734"/>
    </row>
    <row r="735" spans="26:26" x14ac:dyDescent="0.25">
      <c r="Z735"/>
    </row>
    <row r="736" spans="26:26" x14ac:dyDescent="0.25">
      <c r="Z736"/>
    </row>
    <row r="737" spans="26:26" x14ac:dyDescent="0.25">
      <c r="Z737"/>
    </row>
    <row r="738" spans="26:26" x14ac:dyDescent="0.25">
      <c r="Z738"/>
    </row>
    <row r="739" spans="26:26" x14ac:dyDescent="0.25">
      <c r="Z739"/>
    </row>
    <row r="740" spans="26:26" x14ac:dyDescent="0.25">
      <c r="Z740"/>
    </row>
    <row r="741" spans="26:26" x14ac:dyDescent="0.25">
      <c r="Z741"/>
    </row>
    <row r="742" spans="26:26" x14ac:dyDescent="0.25">
      <c r="Z742"/>
    </row>
    <row r="743" spans="26:26" x14ac:dyDescent="0.25">
      <c r="Z743"/>
    </row>
    <row r="744" spans="26:26" x14ac:dyDescent="0.25">
      <c r="Z744"/>
    </row>
    <row r="745" spans="26:26" x14ac:dyDescent="0.25">
      <c r="Z745"/>
    </row>
    <row r="746" spans="26:26" x14ac:dyDescent="0.25">
      <c r="Z746"/>
    </row>
    <row r="747" spans="26:26" x14ac:dyDescent="0.25">
      <c r="Z747"/>
    </row>
    <row r="748" spans="26:26" x14ac:dyDescent="0.25">
      <c r="Z748"/>
    </row>
    <row r="749" spans="26:26" x14ac:dyDescent="0.25">
      <c r="Z749"/>
    </row>
    <row r="750" spans="26:26" x14ac:dyDescent="0.25">
      <c r="Z750"/>
    </row>
    <row r="751" spans="26:26" x14ac:dyDescent="0.25">
      <c r="Z751"/>
    </row>
    <row r="752" spans="26:26" x14ac:dyDescent="0.25">
      <c r="Z752"/>
    </row>
    <row r="753" spans="26:26" x14ac:dyDescent="0.25">
      <c r="Z753"/>
    </row>
    <row r="754" spans="26:26" x14ac:dyDescent="0.25">
      <c r="Z754"/>
    </row>
    <row r="755" spans="26:26" x14ac:dyDescent="0.25">
      <c r="Z755"/>
    </row>
    <row r="756" spans="26:26" x14ac:dyDescent="0.25">
      <c r="Z756"/>
    </row>
    <row r="757" spans="26:26" x14ac:dyDescent="0.25">
      <c r="Z757"/>
    </row>
    <row r="758" spans="26:26" x14ac:dyDescent="0.25">
      <c r="Z758"/>
    </row>
    <row r="759" spans="26:26" x14ac:dyDescent="0.25">
      <c r="Z759"/>
    </row>
    <row r="760" spans="26:26" x14ac:dyDescent="0.25">
      <c r="Z760"/>
    </row>
    <row r="761" spans="26:26" x14ac:dyDescent="0.25">
      <c r="Z761"/>
    </row>
    <row r="762" spans="26:26" x14ac:dyDescent="0.25">
      <c r="Z762"/>
    </row>
    <row r="763" spans="26:26" x14ac:dyDescent="0.25">
      <c r="Z763"/>
    </row>
    <row r="764" spans="26:26" x14ac:dyDescent="0.25">
      <c r="Z764"/>
    </row>
    <row r="765" spans="26:26" x14ac:dyDescent="0.25">
      <c r="Z765"/>
    </row>
    <row r="766" spans="26:26" x14ac:dyDescent="0.25">
      <c r="Z766"/>
    </row>
    <row r="767" spans="26:26" x14ac:dyDescent="0.25">
      <c r="Z767"/>
    </row>
    <row r="768" spans="26:26" x14ac:dyDescent="0.25">
      <c r="Z768"/>
    </row>
    <row r="769" spans="26:26" x14ac:dyDescent="0.25">
      <c r="Z769"/>
    </row>
    <row r="770" spans="26:26" x14ac:dyDescent="0.25">
      <c r="Z770"/>
    </row>
    <row r="771" spans="26:26" x14ac:dyDescent="0.25">
      <c r="Z771"/>
    </row>
    <row r="772" spans="26:26" x14ac:dyDescent="0.25">
      <c r="Z772"/>
    </row>
    <row r="773" spans="26:26" x14ac:dyDescent="0.25">
      <c r="Z773"/>
    </row>
    <row r="774" spans="26:26" x14ac:dyDescent="0.25">
      <c r="Z774"/>
    </row>
    <row r="775" spans="26:26" x14ac:dyDescent="0.25">
      <c r="Z775"/>
    </row>
    <row r="776" spans="26:26" x14ac:dyDescent="0.25">
      <c r="Z776"/>
    </row>
    <row r="777" spans="26:26" x14ac:dyDescent="0.25">
      <c r="Z777"/>
    </row>
    <row r="778" spans="26:26" x14ac:dyDescent="0.25">
      <c r="Z778"/>
    </row>
    <row r="779" spans="26:26" x14ac:dyDescent="0.25">
      <c r="Z779"/>
    </row>
    <row r="780" spans="26:26" x14ac:dyDescent="0.25">
      <c r="Z780"/>
    </row>
    <row r="781" spans="26:26" x14ac:dyDescent="0.25">
      <c r="Z781"/>
    </row>
    <row r="782" spans="26:26" x14ac:dyDescent="0.25">
      <c r="Z782"/>
    </row>
    <row r="783" spans="26:26" x14ac:dyDescent="0.25">
      <c r="Z783"/>
    </row>
    <row r="784" spans="26:26" x14ac:dyDescent="0.25">
      <c r="Z784"/>
    </row>
    <row r="785" spans="26:26" x14ac:dyDescent="0.25">
      <c r="Z785"/>
    </row>
    <row r="786" spans="26:26" x14ac:dyDescent="0.25">
      <c r="Z786"/>
    </row>
    <row r="787" spans="26:26" x14ac:dyDescent="0.25">
      <c r="Z787"/>
    </row>
    <row r="788" spans="26:26" x14ac:dyDescent="0.25">
      <c r="Z788"/>
    </row>
    <row r="789" spans="26:26" x14ac:dyDescent="0.25">
      <c r="Z789"/>
    </row>
    <row r="790" spans="26:26" x14ac:dyDescent="0.25">
      <c r="Z790"/>
    </row>
    <row r="791" spans="26:26" x14ac:dyDescent="0.25">
      <c r="Z791"/>
    </row>
    <row r="792" spans="26:26" x14ac:dyDescent="0.25">
      <c r="Z792"/>
    </row>
    <row r="793" spans="26:26" x14ac:dyDescent="0.25">
      <c r="Z793"/>
    </row>
    <row r="794" spans="26:26" x14ac:dyDescent="0.25">
      <c r="Z794"/>
    </row>
    <row r="795" spans="26:26" x14ac:dyDescent="0.25">
      <c r="Z795"/>
    </row>
    <row r="796" spans="26:26" x14ac:dyDescent="0.25">
      <c r="Z796"/>
    </row>
    <row r="797" spans="26:26" x14ac:dyDescent="0.25">
      <c r="Z797"/>
    </row>
    <row r="798" spans="26:26" x14ac:dyDescent="0.25">
      <c r="Z798"/>
    </row>
    <row r="799" spans="26:26" x14ac:dyDescent="0.25">
      <c r="Z799"/>
    </row>
    <row r="800" spans="26:26" x14ac:dyDescent="0.25">
      <c r="Z800"/>
    </row>
    <row r="801" spans="26:26" x14ac:dyDescent="0.25">
      <c r="Z801"/>
    </row>
    <row r="802" spans="26:26" x14ac:dyDescent="0.25">
      <c r="Z802"/>
    </row>
    <row r="803" spans="26:26" x14ac:dyDescent="0.25">
      <c r="Z803"/>
    </row>
    <row r="804" spans="26:26" x14ac:dyDescent="0.25">
      <c r="Z804"/>
    </row>
    <row r="805" spans="26:26" x14ac:dyDescent="0.25">
      <c r="Z805"/>
    </row>
    <row r="806" spans="26:26" x14ac:dyDescent="0.25">
      <c r="Z806"/>
    </row>
    <row r="807" spans="26:26" x14ac:dyDescent="0.25">
      <c r="Z807"/>
    </row>
    <row r="808" spans="26:26" x14ac:dyDescent="0.25">
      <c r="Z808"/>
    </row>
    <row r="809" spans="26:26" x14ac:dyDescent="0.25">
      <c r="Z809"/>
    </row>
    <row r="810" spans="26:26" x14ac:dyDescent="0.25">
      <c r="Z810"/>
    </row>
    <row r="811" spans="26:26" x14ac:dyDescent="0.25">
      <c r="Z811"/>
    </row>
    <row r="812" spans="26:26" x14ac:dyDescent="0.25">
      <c r="Z812"/>
    </row>
    <row r="813" spans="26:26" x14ac:dyDescent="0.25">
      <c r="Z813"/>
    </row>
    <row r="814" spans="26:26" x14ac:dyDescent="0.25">
      <c r="Z814"/>
    </row>
    <row r="815" spans="26:26" x14ac:dyDescent="0.25">
      <c r="Z815"/>
    </row>
    <row r="816" spans="26:26" x14ac:dyDescent="0.25">
      <c r="Z816"/>
    </row>
    <row r="817" spans="26:26" x14ac:dyDescent="0.25">
      <c r="Z817"/>
    </row>
    <row r="818" spans="26:26" x14ac:dyDescent="0.25">
      <c r="Z818"/>
    </row>
    <row r="819" spans="26:26" x14ac:dyDescent="0.25">
      <c r="Z819"/>
    </row>
    <row r="820" spans="26:26" x14ac:dyDescent="0.25">
      <c r="Z820"/>
    </row>
    <row r="821" spans="26:26" x14ac:dyDescent="0.25">
      <c r="Z821"/>
    </row>
    <row r="822" spans="26:26" x14ac:dyDescent="0.25">
      <c r="Z822"/>
    </row>
    <row r="823" spans="26:26" x14ac:dyDescent="0.25">
      <c r="Z823"/>
    </row>
    <row r="824" spans="26:26" x14ac:dyDescent="0.25">
      <c r="Z824"/>
    </row>
    <row r="825" spans="26:26" x14ac:dyDescent="0.25">
      <c r="Z825"/>
    </row>
    <row r="826" spans="26:26" x14ac:dyDescent="0.25">
      <c r="Z826"/>
    </row>
    <row r="827" spans="26:26" x14ac:dyDescent="0.25">
      <c r="Z827"/>
    </row>
    <row r="828" spans="26:26" x14ac:dyDescent="0.25">
      <c r="Z828"/>
    </row>
    <row r="829" spans="26:26" x14ac:dyDescent="0.25">
      <c r="Z829"/>
    </row>
    <row r="830" spans="26:26" x14ac:dyDescent="0.25">
      <c r="Z830"/>
    </row>
    <row r="831" spans="26:26" x14ac:dyDescent="0.25">
      <c r="Z831"/>
    </row>
    <row r="832" spans="26:26" x14ac:dyDescent="0.25">
      <c r="Z832"/>
    </row>
    <row r="833" spans="26:26" x14ac:dyDescent="0.25">
      <c r="Z833"/>
    </row>
    <row r="834" spans="26:26" x14ac:dyDescent="0.25">
      <c r="Z834"/>
    </row>
    <row r="835" spans="26:26" x14ac:dyDescent="0.25">
      <c r="Z835"/>
    </row>
    <row r="836" spans="26:26" x14ac:dyDescent="0.25">
      <c r="Z836"/>
    </row>
    <row r="837" spans="26:26" x14ac:dyDescent="0.25">
      <c r="Z837"/>
    </row>
    <row r="838" spans="26:26" x14ac:dyDescent="0.25">
      <c r="Z838"/>
    </row>
    <row r="839" spans="26:26" x14ac:dyDescent="0.25">
      <c r="Z839"/>
    </row>
    <row r="840" spans="26:26" x14ac:dyDescent="0.25">
      <c r="Z840"/>
    </row>
    <row r="841" spans="26:26" x14ac:dyDescent="0.25">
      <c r="Z841"/>
    </row>
    <row r="842" spans="26:26" x14ac:dyDescent="0.25">
      <c r="Z842"/>
    </row>
    <row r="843" spans="26:26" x14ac:dyDescent="0.25">
      <c r="Z843"/>
    </row>
    <row r="844" spans="26:26" x14ac:dyDescent="0.25">
      <c r="Z844"/>
    </row>
    <row r="845" spans="26:26" x14ac:dyDescent="0.25">
      <c r="Z845"/>
    </row>
    <row r="846" spans="26:26" x14ac:dyDescent="0.25">
      <c r="Z846"/>
    </row>
    <row r="847" spans="26:26" x14ac:dyDescent="0.25">
      <c r="Z847"/>
    </row>
    <row r="848" spans="26:26" x14ac:dyDescent="0.25">
      <c r="Z848"/>
    </row>
    <row r="849" spans="26:26" x14ac:dyDescent="0.25">
      <c r="Z849"/>
    </row>
    <row r="850" spans="26:26" x14ac:dyDescent="0.25">
      <c r="Z850"/>
    </row>
    <row r="851" spans="26:26" x14ac:dyDescent="0.25">
      <c r="Z851"/>
    </row>
    <row r="852" spans="26:26" x14ac:dyDescent="0.25">
      <c r="Z852"/>
    </row>
    <row r="853" spans="26:26" x14ac:dyDescent="0.25">
      <c r="Z853"/>
    </row>
    <row r="854" spans="26:26" x14ac:dyDescent="0.25">
      <c r="Z854"/>
    </row>
    <row r="855" spans="26:26" x14ac:dyDescent="0.25">
      <c r="Z855"/>
    </row>
    <row r="856" spans="26:26" x14ac:dyDescent="0.25">
      <c r="Z856"/>
    </row>
    <row r="857" spans="26:26" x14ac:dyDescent="0.25">
      <c r="Z857"/>
    </row>
    <row r="858" spans="26:26" x14ac:dyDescent="0.25">
      <c r="Z858"/>
    </row>
    <row r="859" spans="26:26" x14ac:dyDescent="0.25">
      <c r="Z859"/>
    </row>
    <row r="860" spans="26:26" x14ac:dyDescent="0.25">
      <c r="Z860"/>
    </row>
    <row r="861" spans="26:26" x14ac:dyDescent="0.25">
      <c r="Z861"/>
    </row>
    <row r="862" spans="26:26" x14ac:dyDescent="0.25">
      <c r="Z862"/>
    </row>
    <row r="863" spans="26:26" x14ac:dyDescent="0.25">
      <c r="Z863"/>
    </row>
    <row r="864" spans="26:26" x14ac:dyDescent="0.25">
      <c r="Z864"/>
    </row>
    <row r="865" spans="26:26" x14ac:dyDescent="0.25">
      <c r="Z865"/>
    </row>
    <row r="866" spans="26:26" x14ac:dyDescent="0.25">
      <c r="Z866"/>
    </row>
    <row r="867" spans="26:26" x14ac:dyDescent="0.25">
      <c r="Z867"/>
    </row>
    <row r="868" spans="26:26" x14ac:dyDescent="0.25">
      <c r="Z868"/>
    </row>
    <row r="869" spans="26:26" x14ac:dyDescent="0.25">
      <c r="Z869"/>
    </row>
    <row r="870" spans="26:26" x14ac:dyDescent="0.25">
      <c r="Z870"/>
    </row>
    <row r="871" spans="26:26" x14ac:dyDescent="0.25">
      <c r="Z871"/>
    </row>
    <row r="872" spans="26:26" x14ac:dyDescent="0.25">
      <c r="Z872"/>
    </row>
    <row r="873" spans="26:26" x14ac:dyDescent="0.25">
      <c r="Z873"/>
    </row>
    <row r="874" spans="26:26" x14ac:dyDescent="0.25">
      <c r="Z874"/>
    </row>
    <row r="875" spans="26:26" x14ac:dyDescent="0.25">
      <c r="Z875"/>
    </row>
    <row r="876" spans="26:26" x14ac:dyDescent="0.25">
      <c r="Z876"/>
    </row>
    <row r="877" spans="26:26" x14ac:dyDescent="0.25">
      <c r="Z877"/>
    </row>
    <row r="878" spans="26:26" x14ac:dyDescent="0.25">
      <c r="Z878"/>
    </row>
    <row r="879" spans="26:26" x14ac:dyDescent="0.25">
      <c r="Z879"/>
    </row>
    <row r="880" spans="26:26" x14ac:dyDescent="0.25">
      <c r="Z880"/>
    </row>
    <row r="881" spans="26:26" x14ac:dyDescent="0.25">
      <c r="Z881"/>
    </row>
    <row r="882" spans="26:26" x14ac:dyDescent="0.25">
      <c r="Z882"/>
    </row>
    <row r="883" spans="26:26" x14ac:dyDescent="0.25">
      <c r="Z883"/>
    </row>
    <row r="884" spans="26:26" x14ac:dyDescent="0.25">
      <c r="Z884"/>
    </row>
    <row r="885" spans="26:26" x14ac:dyDescent="0.25">
      <c r="Z885"/>
    </row>
    <row r="886" spans="26:26" x14ac:dyDescent="0.25">
      <c r="Z886"/>
    </row>
    <row r="887" spans="26:26" x14ac:dyDescent="0.25">
      <c r="Z887"/>
    </row>
    <row r="888" spans="26:26" x14ac:dyDescent="0.25">
      <c r="Z888"/>
    </row>
    <row r="889" spans="26:26" x14ac:dyDescent="0.25">
      <c r="Z889"/>
    </row>
    <row r="890" spans="26:26" x14ac:dyDescent="0.25">
      <c r="Z890"/>
    </row>
    <row r="891" spans="26:26" x14ac:dyDescent="0.25">
      <c r="Z891"/>
    </row>
    <row r="892" spans="26:26" x14ac:dyDescent="0.25">
      <c r="Z892"/>
    </row>
    <row r="893" spans="26:26" x14ac:dyDescent="0.25">
      <c r="Z893"/>
    </row>
    <row r="894" spans="26:26" x14ac:dyDescent="0.25">
      <c r="Z894"/>
    </row>
    <row r="895" spans="26:26" x14ac:dyDescent="0.25">
      <c r="Z895"/>
    </row>
    <row r="896" spans="26:26" x14ac:dyDescent="0.25">
      <c r="Z896"/>
    </row>
    <row r="897" spans="26:26" x14ac:dyDescent="0.25">
      <c r="Z897"/>
    </row>
    <row r="898" spans="26:26" x14ac:dyDescent="0.25">
      <c r="Z898"/>
    </row>
    <row r="899" spans="26:26" x14ac:dyDescent="0.25">
      <c r="Z899"/>
    </row>
    <row r="900" spans="26:26" x14ac:dyDescent="0.25">
      <c r="Z900"/>
    </row>
    <row r="901" spans="26:26" x14ac:dyDescent="0.25">
      <c r="Z901"/>
    </row>
    <row r="902" spans="26:26" x14ac:dyDescent="0.25">
      <c r="Z902"/>
    </row>
    <row r="903" spans="26:26" x14ac:dyDescent="0.25">
      <c r="Z903"/>
    </row>
    <row r="904" spans="26:26" x14ac:dyDescent="0.25">
      <c r="Z904"/>
    </row>
    <row r="905" spans="26:26" x14ac:dyDescent="0.25">
      <c r="Z905"/>
    </row>
    <row r="906" spans="26:26" x14ac:dyDescent="0.25">
      <c r="Z906"/>
    </row>
    <row r="907" spans="26:26" x14ac:dyDescent="0.25">
      <c r="Z907"/>
    </row>
    <row r="908" spans="26:26" x14ac:dyDescent="0.25">
      <c r="Z908"/>
    </row>
    <row r="909" spans="26:26" x14ac:dyDescent="0.25">
      <c r="Z909"/>
    </row>
    <row r="910" spans="26:26" x14ac:dyDescent="0.25">
      <c r="Z910"/>
    </row>
    <row r="911" spans="26:26" x14ac:dyDescent="0.25">
      <c r="Z911"/>
    </row>
    <row r="912" spans="26:26" x14ac:dyDescent="0.25">
      <c r="Z912"/>
    </row>
    <row r="913" spans="26:26" x14ac:dyDescent="0.25">
      <c r="Z913"/>
    </row>
    <row r="914" spans="26:26" x14ac:dyDescent="0.25">
      <c r="Z914"/>
    </row>
    <row r="915" spans="26:26" x14ac:dyDescent="0.25">
      <c r="Z915"/>
    </row>
    <row r="916" spans="26:26" x14ac:dyDescent="0.25">
      <c r="Z916"/>
    </row>
    <row r="917" spans="26:26" x14ac:dyDescent="0.25">
      <c r="Z917"/>
    </row>
    <row r="918" spans="26:26" x14ac:dyDescent="0.25">
      <c r="Z918"/>
    </row>
    <row r="919" spans="26:26" x14ac:dyDescent="0.25">
      <c r="Z919"/>
    </row>
    <row r="920" spans="26:26" x14ac:dyDescent="0.25">
      <c r="Z920"/>
    </row>
    <row r="921" spans="26:26" x14ac:dyDescent="0.25">
      <c r="Z921"/>
    </row>
    <row r="922" spans="26:26" x14ac:dyDescent="0.25">
      <c r="Z922"/>
    </row>
    <row r="923" spans="26:26" x14ac:dyDescent="0.25">
      <c r="Z923"/>
    </row>
    <row r="924" spans="26:26" x14ac:dyDescent="0.25">
      <c r="Z924"/>
    </row>
    <row r="925" spans="26:26" x14ac:dyDescent="0.25">
      <c r="Z925"/>
    </row>
    <row r="926" spans="26:26" x14ac:dyDescent="0.25">
      <c r="Z926"/>
    </row>
    <row r="927" spans="26:26" x14ac:dyDescent="0.25">
      <c r="Z927"/>
    </row>
    <row r="928" spans="26:26" x14ac:dyDescent="0.25">
      <c r="Z928"/>
    </row>
    <row r="929" spans="26:26" x14ac:dyDescent="0.25">
      <c r="Z929"/>
    </row>
    <row r="930" spans="26:26" x14ac:dyDescent="0.25">
      <c r="Z930"/>
    </row>
    <row r="931" spans="26:26" x14ac:dyDescent="0.25">
      <c r="Z931"/>
    </row>
    <row r="932" spans="26:26" x14ac:dyDescent="0.25">
      <c r="Z932"/>
    </row>
    <row r="933" spans="26:26" x14ac:dyDescent="0.25">
      <c r="Z933"/>
    </row>
    <row r="934" spans="26:26" x14ac:dyDescent="0.25">
      <c r="Z934"/>
    </row>
    <row r="935" spans="26:26" x14ac:dyDescent="0.25">
      <c r="Z935"/>
    </row>
    <row r="936" spans="26:26" x14ac:dyDescent="0.25">
      <c r="Z936"/>
    </row>
    <row r="937" spans="26:26" x14ac:dyDescent="0.25">
      <c r="Z937"/>
    </row>
    <row r="938" spans="26:26" x14ac:dyDescent="0.25">
      <c r="Z938"/>
    </row>
    <row r="939" spans="26:26" x14ac:dyDescent="0.25">
      <c r="Z939"/>
    </row>
    <row r="940" spans="26:26" x14ac:dyDescent="0.25">
      <c r="Z940"/>
    </row>
    <row r="941" spans="26:26" x14ac:dyDescent="0.25">
      <c r="Z941"/>
    </row>
    <row r="942" spans="26:26" x14ac:dyDescent="0.25">
      <c r="Z942"/>
    </row>
    <row r="943" spans="26:26" x14ac:dyDescent="0.25">
      <c r="Z943"/>
    </row>
    <row r="944" spans="26:26" x14ac:dyDescent="0.25">
      <c r="Z944"/>
    </row>
    <row r="945" spans="26:26" x14ac:dyDescent="0.25">
      <c r="Z945"/>
    </row>
    <row r="946" spans="26:26" x14ac:dyDescent="0.25">
      <c r="Z946"/>
    </row>
    <row r="947" spans="26:26" x14ac:dyDescent="0.25">
      <c r="Z947"/>
    </row>
    <row r="948" spans="26:26" x14ac:dyDescent="0.25">
      <c r="Z948"/>
    </row>
    <row r="949" spans="26:26" x14ac:dyDescent="0.25">
      <c r="Z949"/>
    </row>
    <row r="950" spans="26:26" x14ac:dyDescent="0.25">
      <c r="Z950"/>
    </row>
    <row r="951" spans="26:26" x14ac:dyDescent="0.25">
      <c r="Z951"/>
    </row>
    <row r="952" spans="26:26" x14ac:dyDescent="0.25">
      <c r="Z952"/>
    </row>
    <row r="953" spans="26:26" x14ac:dyDescent="0.25">
      <c r="Z953"/>
    </row>
    <row r="954" spans="26:26" x14ac:dyDescent="0.25">
      <c r="Z954"/>
    </row>
    <row r="955" spans="26:26" x14ac:dyDescent="0.25">
      <c r="Z955"/>
    </row>
    <row r="956" spans="26:26" x14ac:dyDescent="0.25">
      <c r="Z956"/>
    </row>
    <row r="957" spans="26:26" x14ac:dyDescent="0.25">
      <c r="Z957"/>
    </row>
    <row r="958" spans="26:26" x14ac:dyDescent="0.25">
      <c r="Z958"/>
    </row>
    <row r="959" spans="26:26" x14ac:dyDescent="0.25">
      <c r="Z959"/>
    </row>
    <row r="960" spans="26:26" x14ac:dyDescent="0.25">
      <c r="Z960"/>
    </row>
    <row r="961" spans="26:26" x14ac:dyDescent="0.25">
      <c r="Z961"/>
    </row>
    <row r="962" spans="26:26" x14ac:dyDescent="0.25">
      <c r="Z962"/>
    </row>
    <row r="963" spans="26:26" x14ac:dyDescent="0.25">
      <c r="Z963"/>
    </row>
    <row r="964" spans="26:26" x14ac:dyDescent="0.25">
      <c r="Z964"/>
    </row>
    <row r="965" spans="26:26" x14ac:dyDescent="0.25">
      <c r="Z965"/>
    </row>
    <row r="966" spans="26:26" x14ac:dyDescent="0.25">
      <c r="Z966"/>
    </row>
    <row r="967" spans="26:26" x14ac:dyDescent="0.25">
      <c r="Z967"/>
    </row>
    <row r="968" spans="26:26" x14ac:dyDescent="0.25">
      <c r="Z968"/>
    </row>
    <row r="969" spans="26:26" x14ac:dyDescent="0.25">
      <c r="Z969"/>
    </row>
    <row r="970" spans="26:26" x14ac:dyDescent="0.25">
      <c r="Z970"/>
    </row>
    <row r="971" spans="26:26" x14ac:dyDescent="0.25">
      <c r="Z971"/>
    </row>
    <row r="972" spans="26:26" x14ac:dyDescent="0.25">
      <c r="Z972"/>
    </row>
    <row r="973" spans="26:26" x14ac:dyDescent="0.25">
      <c r="Z973"/>
    </row>
    <row r="974" spans="26:26" x14ac:dyDescent="0.25">
      <c r="Z974"/>
    </row>
    <row r="975" spans="26:26" x14ac:dyDescent="0.25">
      <c r="Z975"/>
    </row>
    <row r="976" spans="26:26" x14ac:dyDescent="0.25">
      <c r="Z976"/>
    </row>
    <row r="977" spans="26:26" x14ac:dyDescent="0.25">
      <c r="Z977"/>
    </row>
    <row r="978" spans="26:26" x14ac:dyDescent="0.25">
      <c r="Z978"/>
    </row>
    <row r="979" spans="26:26" x14ac:dyDescent="0.25">
      <c r="Z979"/>
    </row>
    <row r="980" spans="26:26" x14ac:dyDescent="0.25">
      <c r="Z980"/>
    </row>
    <row r="981" spans="26:26" x14ac:dyDescent="0.25">
      <c r="Z981"/>
    </row>
    <row r="982" spans="26:26" x14ac:dyDescent="0.25">
      <c r="Z982"/>
    </row>
    <row r="983" spans="26:26" x14ac:dyDescent="0.25">
      <c r="Z983"/>
    </row>
    <row r="984" spans="26:26" x14ac:dyDescent="0.25">
      <c r="Z984"/>
    </row>
    <row r="985" spans="26:26" x14ac:dyDescent="0.25">
      <c r="Z985"/>
    </row>
    <row r="986" spans="26:26" x14ac:dyDescent="0.25">
      <c r="Z986"/>
    </row>
    <row r="987" spans="26:26" x14ac:dyDescent="0.25">
      <c r="Z987"/>
    </row>
    <row r="988" spans="26:26" x14ac:dyDescent="0.25">
      <c r="Z988"/>
    </row>
    <row r="989" spans="26:26" x14ac:dyDescent="0.25">
      <c r="Z989"/>
    </row>
    <row r="990" spans="26:26" x14ac:dyDescent="0.25">
      <c r="Z990"/>
    </row>
    <row r="991" spans="26:26" x14ac:dyDescent="0.25">
      <c r="Z991"/>
    </row>
    <row r="992" spans="26:26" x14ac:dyDescent="0.25">
      <c r="Z992"/>
    </row>
    <row r="993" spans="26:26" x14ac:dyDescent="0.25">
      <c r="Z993"/>
    </row>
    <row r="994" spans="26:26" x14ac:dyDescent="0.25">
      <c r="Z994"/>
    </row>
    <row r="995" spans="26:26" x14ac:dyDescent="0.25">
      <c r="Z995"/>
    </row>
    <row r="996" spans="26:26" x14ac:dyDescent="0.25">
      <c r="Z996"/>
    </row>
    <row r="997" spans="26:26" x14ac:dyDescent="0.25">
      <c r="Z997"/>
    </row>
    <row r="998" spans="26:26" x14ac:dyDescent="0.25">
      <c r="Z998"/>
    </row>
    <row r="999" spans="26:26" x14ac:dyDescent="0.25">
      <c r="Z999"/>
    </row>
    <row r="1000" spans="26:26" x14ac:dyDescent="0.25">
      <c r="Z1000"/>
    </row>
    <row r="1001" spans="26:26" x14ac:dyDescent="0.25">
      <c r="Z1001"/>
    </row>
    <row r="1002" spans="26:26" x14ac:dyDescent="0.25">
      <c r="Z1002"/>
    </row>
    <row r="1003" spans="26:26" x14ac:dyDescent="0.25">
      <c r="Z1003"/>
    </row>
    <row r="1004" spans="26:26" x14ac:dyDescent="0.25">
      <c r="Z1004"/>
    </row>
    <row r="1005" spans="26:26" x14ac:dyDescent="0.25">
      <c r="Z1005"/>
    </row>
    <row r="1006" spans="26:26" x14ac:dyDescent="0.25">
      <c r="Z1006"/>
    </row>
    <row r="1007" spans="26:26" x14ac:dyDescent="0.25">
      <c r="Z1007"/>
    </row>
    <row r="1008" spans="26:26" x14ac:dyDescent="0.25">
      <c r="Z1008"/>
    </row>
    <row r="1009" spans="26:26" x14ac:dyDescent="0.25">
      <c r="Z1009"/>
    </row>
    <row r="1010" spans="26:26" x14ac:dyDescent="0.25">
      <c r="Z1010"/>
    </row>
    <row r="1011" spans="26:26" x14ac:dyDescent="0.25">
      <c r="Z1011"/>
    </row>
    <row r="1012" spans="26:26" x14ac:dyDescent="0.25">
      <c r="Z1012"/>
    </row>
    <row r="1013" spans="26:26" x14ac:dyDescent="0.25">
      <c r="Z1013"/>
    </row>
    <row r="1014" spans="26:26" x14ac:dyDescent="0.25">
      <c r="Z1014"/>
    </row>
    <row r="1015" spans="26:26" x14ac:dyDescent="0.25">
      <c r="Z1015"/>
    </row>
    <row r="1016" spans="26:26" x14ac:dyDescent="0.25">
      <c r="Z1016"/>
    </row>
    <row r="1017" spans="26:26" x14ac:dyDescent="0.25">
      <c r="Z1017"/>
    </row>
    <row r="1018" spans="26:26" x14ac:dyDescent="0.25">
      <c r="Z1018"/>
    </row>
    <row r="1019" spans="26:26" x14ac:dyDescent="0.25">
      <c r="Z1019"/>
    </row>
    <row r="1020" spans="26:26" x14ac:dyDescent="0.25">
      <c r="Z1020"/>
    </row>
    <row r="1021" spans="26:26" x14ac:dyDescent="0.25">
      <c r="Z1021"/>
    </row>
    <row r="1022" spans="26:26" x14ac:dyDescent="0.25">
      <c r="Z1022"/>
    </row>
    <row r="1023" spans="26:26" x14ac:dyDescent="0.25">
      <c r="Z1023"/>
    </row>
    <row r="1024" spans="26:26" x14ac:dyDescent="0.25">
      <c r="Z1024"/>
    </row>
    <row r="1025" spans="26:26" x14ac:dyDescent="0.25">
      <c r="Z1025"/>
    </row>
    <row r="1026" spans="26:26" x14ac:dyDescent="0.25">
      <c r="Z1026"/>
    </row>
    <row r="1027" spans="26:26" x14ac:dyDescent="0.25">
      <c r="Z1027"/>
    </row>
    <row r="1028" spans="26:26" x14ac:dyDescent="0.25">
      <c r="Z1028"/>
    </row>
    <row r="1029" spans="26:26" x14ac:dyDescent="0.25">
      <c r="Z1029"/>
    </row>
    <row r="1030" spans="26:26" x14ac:dyDescent="0.25">
      <c r="Z1030"/>
    </row>
    <row r="1031" spans="26:26" x14ac:dyDescent="0.25">
      <c r="Z1031"/>
    </row>
    <row r="1032" spans="26:26" x14ac:dyDescent="0.25">
      <c r="Z1032"/>
    </row>
    <row r="1033" spans="26:26" x14ac:dyDescent="0.25">
      <c r="Z1033"/>
    </row>
    <row r="1034" spans="26:26" x14ac:dyDescent="0.25">
      <c r="Z1034"/>
    </row>
    <row r="1035" spans="26:26" x14ac:dyDescent="0.25">
      <c r="Z1035"/>
    </row>
    <row r="1036" spans="26:26" x14ac:dyDescent="0.25">
      <c r="Z1036"/>
    </row>
    <row r="1037" spans="26:26" x14ac:dyDescent="0.25">
      <c r="Z1037"/>
    </row>
    <row r="1038" spans="26:26" x14ac:dyDescent="0.25">
      <c r="Z1038"/>
    </row>
    <row r="1039" spans="26:26" x14ac:dyDescent="0.25">
      <c r="Z1039"/>
    </row>
    <row r="1040" spans="26:26" x14ac:dyDescent="0.25">
      <c r="Z1040"/>
    </row>
    <row r="1041" spans="26:26" x14ac:dyDescent="0.25">
      <c r="Z1041"/>
    </row>
    <row r="1042" spans="26:26" x14ac:dyDescent="0.25">
      <c r="Z1042"/>
    </row>
    <row r="1043" spans="26:26" x14ac:dyDescent="0.25">
      <c r="Z1043"/>
    </row>
    <row r="1044" spans="26:26" x14ac:dyDescent="0.25">
      <c r="Z1044"/>
    </row>
    <row r="1045" spans="26:26" x14ac:dyDescent="0.25">
      <c r="Z1045"/>
    </row>
    <row r="1046" spans="26:26" x14ac:dyDescent="0.25">
      <c r="Z1046"/>
    </row>
    <row r="1047" spans="26:26" x14ac:dyDescent="0.25">
      <c r="Z1047"/>
    </row>
    <row r="1048" spans="26:26" x14ac:dyDescent="0.25">
      <c r="Z1048"/>
    </row>
    <row r="1049" spans="26:26" x14ac:dyDescent="0.25">
      <c r="Z1049"/>
    </row>
    <row r="1050" spans="26:26" x14ac:dyDescent="0.25">
      <c r="Z1050"/>
    </row>
    <row r="1051" spans="26:26" x14ac:dyDescent="0.25">
      <c r="Z1051"/>
    </row>
    <row r="1052" spans="26:26" x14ac:dyDescent="0.25">
      <c r="Z1052"/>
    </row>
    <row r="1053" spans="26:26" x14ac:dyDescent="0.25">
      <c r="Z1053"/>
    </row>
    <row r="1054" spans="26:26" x14ac:dyDescent="0.25">
      <c r="Z1054"/>
    </row>
    <row r="1055" spans="26:26" x14ac:dyDescent="0.25">
      <c r="Z1055"/>
    </row>
    <row r="1056" spans="26:26" x14ac:dyDescent="0.25">
      <c r="Z1056"/>
    </row>
    <row r="1057" spans="26:26" x14ac:dyDescent="0.25">
      <c r="Z1057"/>
    </row>
    <row r="1058" spans="26:26" x14ac:dyDescent="0.25">
      <c r="Z1058"/>
    </row>
    <row r="1059" spans="26:26" x14ac:dyDescent="0.25">
      <c r="Z1059"/>
    </row>
    <row r="1060" spans="26:26" x14ac:dyDescent="0.25">
      <c r="Z1060"/>
    </row>
    <row r="1061" spans="26:26" x14ac:dyDescent="0.25">
      <c r="Z1061"/>
    </row>
    <row r="1062" spans="26:26" x14ac:dyDescent="0.25">
      <c r="Z1062"/>
    </row>
    <row r="1063" spans="26:26" x14ac:dyDescent="0.25">
      <c r="Z1063"/>
    </row>
    <row r="1064" spans="26:26" x14ac:dyDescent="0.25">
      <c r="Z1064"/>
    </row>
    <row r="1065" spans="26:26" x14ac:dyDescent="0.25">
      <c r="Z1065"/>
    </row>
    <row r="1066" spans="26:26" x14ac:dyDescent="0.25">
      <c r="Z1066"/>
    </row>
    <row r="1067" spans="26:26" x14ac:dyDescent="0.25">
      <c r="Z1067"/>
    </row>
    <row r="1068" spans="26:26" x14ac:dyDescent="0.25">
      <c r="Z1068"/>
    </row>
    <row r="1069" spans="26:26" x14ac:dyDescent="0.25">
      <c r="Z1069"/>
    </row>
    <row r="1070" spans="26:26" x14ac:dyDescent="0.25">
      <c r="Z1070"/>
    </row>
    <row r="1071" spans="26:26" x14ac:dyDescent="0.25">
      <c r="Z1071"/>
    </row>
    <row r="1072" spans="26:26" x14ac:dyDescent="0.25">
      <c r="Z1072"/>
    </row>
    <row r="1073" spans="26:26" x14ac:dyDescent="0.25">
      <c r="Z1073"/>
    </row>
    <row r="1074" spans="26:26" x14ac:dyDescent="0.25">
      <c r="Z1074"/>
    </row>
    <row r="1075" spans="26:26" x14ac:dyDescent="0.25">
      <c r="Z1075"/>
    </row>
    <row r="1076" spans="26:26" x14ac:dyDescent="0.25">
      <c r="Z1076"/>
    </row>
    <row r="1077" spans="26:26" x14ac:dyDescent="0.25">
      <c r="Z1077"/>
    </row>
    <row r="1078" spans="26:26" x14ac:dyDescent="0.25">
      <c r="Z1078"/>
    </row>
    <row r="1079" spans="26:26" x14ac:dyDescent="0.25">
      <c r="Z1079"/>
    </row>
    <row r="1080" spans="26:26" x14ac:dyDescent="0.25">
      <c r="Z1080"/>
    </row>
    <row r="1081" spans="26:26" x14ac:dyDescent="0.25">
      <c r="Z1081"/>
    </row>
    <row r="1082" spans="26:26" x14ac:dyDescent="0.25">
      <c r="Z1082"/>
    </row>
    <row r="1083" spans="26:26" x14ac:dyDescent="0.25">
      <c r="Z1083"/>
    </row>
    <row r="1084" spans="26:26" x14ac:dyDescent="0.25">
      <c r="Z1084"/>
    </row>
    <row r="1085" spans="26:26" x14ac:dyDescent="0.25">
      <c r="Z1085"/>
    </row>
    <row r="1086" spans="26:26" x14ac:dyDescent="0.25">
      <c r="Z1086"/>
    </row>
    <row r="1087" spans="26:26" x14ac:dyDescent="0.25">
      <c r="Z1087"/>
    </row>
    <row r="1088" spans="26:26" x14ac:dyDescent="0.25">
      <c r="Z1088"/>
    </row>
    <row r="1089" spans="26:26" x14ac:dyDescent="0.25">
      <c r="Z1089"/>
    </row>
    <row r="1090" spans="26:26" x14ac:dyDescent="0.25">
      <c r="Z1090"/>
    </row>
    <row r="1091" spans="26:26" x14ac:dyDescent="0.25">
      <c r="Z1091"/>
    </row>
    <row r="1092" spans="26:26" x14ac:dyDescent="0.25">
      <c r="Z1092"/>
    </row>
    <row r="1093" spans="26:26" x14ac:dyDescent="0.25">
      <c r="Z1093"/>
    </row>
    <row r="1094" spans="26:26" x14ac:dyDescent="0.25">
      <c r="Z1094"/>
    </row>
    <row r="1095" spans="26:26" x14ac:dyDescent="0.25">
      <c r="Z1095"/>
    </row>
    <row r="1096" spans="26:26" x14ac:dyDescent="0.25">
      <c r="Z1096"/>
    </row>
    <row r="1097" spans="26:26" x14ac:dyDescent="0.25">
      <c r="Z1097"/>
    </row>
    <row r="1098" spans="26:26" x14ac:dyDescent="0.25">
      <c r="Z1098"/>
    </row>
    <row r="1099" spans="26:26" x14ac:dyDescent="0.25">
      <c r="Z1099"/>
    </row>
    <row r="1100" spans="26:26" x14ac:dyDescent="0.25">
      <c r="Z1100"/>
    </row>
    <row r="1101" spans="26:26" x14ac:dyDescent="0.25">
      <c r="Z1101"/>
    </row>
    <row r="1102" spans="26:26" x14ac:dyDescent="0.25">
      <c r="Z1102"/>
    </row>
    <row r="1103" spans="26:26" x14ac:dyDescent="0.25">
      <c r="Z1103"/>
    </row>
    <row r="1104" spans="26:26" x14ac:dyDescent="0.25">
      <c r="Z1104"/>
    </row>
    <row r="1105" spans="26:26" x14ac:dyDescent="0.25">
      <c r="Z1105"/>
    </row>
    <row r="1106" spans="26:26" x14ac:dyDescent="0.25">
      <c r="Z1106"/>
    </row>
    <row r="1107" spans="26:26" x14ac:dyDescent="0.25">
      <c r="Z1107"/>
    </row>
    <row r="1108" spans="26:26" x14ac:dyDescent="0.25">
      <c r="Z1108"/>
    </row>
    <row r="1109" spans="26:26" x14ac:dyDescent="0.25">
      <c r="Z1109"/>
    </row>
    <row r="1110" spans="26:26" x14ac:dyDescent="0.25">
      <c r="Z1110"/>
    </row>
    <row r="1111" spans="26:26" x14ac:dyDescent="0.25">
      <c r="Z1111"/>
    </row>
    <row r="1112" spans="26:26" x14ac:dyDescent="0.25">
      <c r="Z1112"/>
    </row>
    <row r="1113" spans="26:26" x14ac:dyDescent="0.25">
      <c r="Z1113"/>
    </row>
    <row r="1114" spans="26:26" x14ac:dyDescent="0.25">
      <c r="Z1114"/>
    </row>
    <row r="1115" spans="26:26" x14ac:dyDescent="0.25">
      <c r="Z1115"/>
    </row>
    <row r="1116" spans="26:26" x14ac:dyDescent="0.25">
      <c r="Z1116"/>
    </row>
    <row r="1117" spans="26:26" x14ac:dyDescent="0.25">
      <c r="Z1117"/>
    </row>
    <row r="1118" spans="26:26" x14ac:dyDescent="0.25">
      <c r="Z1118"/>
    </row>
    <row r="1119" spans="26:26" x14ac:dyDescent="0.25">
      <c r="Z1119"/>
    </row>
    <row r="1120" spans="26:26" x14ac:dyDescent="0.25">
      <c r="Z1120"/>
    </row>
    <row r="1121" spans="26:26" x14ac:dyDescent="0.25">
      <c r="Z1121"/>
    </row>
    <row r="1122" spans="26:26" x14ac:dyDescent="0.25">
      <c r="Z1122"/>
    </row>
    <row r="1123" spans="26:26" x14ac:dyDescent="0.25">
      <c r="Z1123"/>
    </row>
    <row r="1124" spans="26:26" x14ac:dyDescent="0.25">
      <c r="Z1124"/>
    </row>
    <row r="1125" spans="26:26" x14ac:dyDescent="0.25">
      <c r="Z1125"/>
    </row>
    <row r="1126" spans="26:26" x14ac:dyDescent="0.25">
      <c r="Z1126"/>
    </row>
    <row r="1127" spans="26:26" x14ac:dyDescent="0.25">
      <c r="Z1127"/>
    </row>
    <row r="1128" spans="26:26" x14ac:dyDescent="0.25">
      <c r="Z1128"/>
    </row>
    <row r="1129" spans="26:26" x14ac:dyDescent="0.25">
      <c r="Z1129"/>
    </row>
    <row r="1130" spans="26:26" x14ac:dyDescent="0.25">
      <c r="Z1130"/>
    </row>
    <row r="1131" spans="26:26" x14ac:dyDescent="0.25">
      <c r="Z1131"/>
    </row>
    <row r="1132" spans="26:26" x14ac:dyDescent="0.25">
      <c r="Z1132"/>
    </row>
    <row r="1133" spans="26:26" x14ac:dyDescent="0.25">
      <c r="Z1133"/>
    </row>
    <row r="1134" spans="26:26" x14ac:dyDescent="0.25">
      <c r="Z1134"/>
    </row>
    <row r="1135" spans="26:26" x14ac:dyDescent="0.25">
      <c r="Z1135"/>
    </row>
    <row r="1136" spans="26:26" x14ac:dyDescent="0.25">
      <c r="Z1136"/>
    </row>
    <row r="1137" spans="26:26" x14ac:dyDescent="0.25">
      <c r="Z1137"/>
    </row>
    <row r="1138" spans="26:26" x14ac:dyDescent="0.25">
      <c r="Z1138"/>
    </row>
    <row r="1139" spans="26:26" x14ac:dyDescent="0.25">
      <c r="Z1139"/>
    </row>
    <row r="1140" spans="26:26" x14ac:dyDescent="0.25">
      <c r="Z1140"/>
    </row>
    <row r="1141" spans="26:26" x14ac:dyDescent="0.25">
      <c r="Z1141"/>
    </row>
    <row r="1142" spans="26:26" x14ac:dyDescent="0.25">
      <c r="Z1142"/>
    </row>
    <row r="1143" spans="26:26" x14ac:dyDescent="0.25">
      <c r="Z1143"/>
    </row>
    <row r="1144" spans="26:26" x14ac:dyDescent="0.25">
      <c r="Z1144"/>
    </row>
    <row r="1145" spans="26:26" x14ac:dyDescent="0.25">
      <c r="Z1145"/>
    </row>
    <row r="1146" spans="26:26" x14ac:dyDescent="0.25">
      <c r="Z1146"/>
    </row>
    <row r="1147" spans="26:26" x14ac:dyDescent="0.25">
      <c r="Z1147"/>
    </row>
    <row r="1148" spans="26:26" x14ac:dyDescent="0.25">
      <c r="Z1148"/>
    </row>
    <row r="1149" spans="26:26" x14ac:dyDescent="0.25">
      <c r="Z1149"/>
    </row>
    <row r="1150" spans="26:26" x14ac:dyDescent="0.25">
      <c r="Z1150"/>
    </row>
    <row r="1151" spans="26:26" x14ac:dyDescent="0.25">
      <c r="Z1151"/>
    </row>
    <row r="1152" spans="26:26" x14ac:dyDescent="0.25">
      <c r="Z1152"/>
    </row>
    <row r="1153" spans="26:26" x14ac:dyDescent="0.25">
      <c r="Z1153"/>
    </row>
    <row r="1154" spans="26:26" x14ac:dyDescent="0.25">
      <c r="Z1154"/>
    </row>
    <row r="1155" spans="26:26" x14ac:dyDescent="0.25">
      <c r="Z1155"/>
    </row>
    <row r="1156" spans="26:26" x14ac:dyDescent="0.25">
      <c r="Z1156"/>
    </row>
    <row r="1157" spans="26:26" x14ac:dyDescent="0.25">
      <c r="Z1157"/>
    </row>
    <row r="1158" spans="26:26" x14ac:dyDescent="0.25">
      <c r="Z1158"/>
    </row>
    <row r="1159" spans="26:26" x14ac:dyDescent="0.25">
      <c r="Z1159"/>
    </row>
    <row r="1160" spans="26:26" x14ac:dyDescent="0.25">
      <c r="Z1160"/>
    </row>
    <row r="1161" spans="26:26" x14ac:dyDescent="0.25">
      <c r="Z1161"/>
    </row>
    <row r="1162" spans="26:26" x14ac:dyDescent="0.25">
      <c r="Z1162"/>
    </row>
    <row r="1163" spans="26:26" x14ac:dyDescent="0.25">
      <c r="Z1163"/>
    </row>
    <row r="1164" spans="26:26" x14ac:dyDescent="0.25">
      <c r="Z1164"/>
    </row>
    <row r="1165" spans="26:26" x14ac:dyDescent="0.25">
      <c r="Z1165"/>
    </row>
    <row r="1166" spans="26:26" x14ac:dyDescent="0.25">
      <c r="Z1166"/>
    </row>
    <row r="1167" spans="26:26" x14ac:dyDescent="0.25">
      <c r="Z1167"/>
    </row>
    <row r="1168" spans="26:26" x14ac:dyDescent="0.25">
      <c r="Z1168"/>
    </row>
    <row r="1169" spans="26:26" x14ac:dyDescent="0.25">
      <c r="Z1169"/>
    </row>
    <row r="1170" spans="26:26" x14ac:dyDescent="0.25">
      <c r="Z1170"/>
    </row>
    <row r="1171" spans="26:26" x14ac:dyDescent="0.25">
      <c r="Z1171"/>
    </row>
    <row r="1172" spans="26:26" x14ac:dyDescent="0.25">
      <c r="Z1172"/>
    </row>
    <row r="1173" spans="26:26" x14ac:dyDescent="0.25">
      <c r="Z1173"/>
    </row>
    <row r="1174" spans="26:26" x14ac:dyDescent="0.25">
      <c r="Z1174"/>
    </row>
    <row r="1175" spans="26:26" x14ac:dyDescent="0.25">
      <c r="Z1175"/>
    </row>
    <row r="1176" spans="26:26" x14ac:dyDescent="0.25">
      <c r="Z1176"/>
    </row>
    <row r="1177" spans="26:26" x14ac:dyDescent="0.25">
      <c r="Z1177"/>
    </row>
    <row r="1178" spans="26:26" x14ac:dyDescent="0.25">
      <c r="Z1178"/>
    </row>
    <row r="1179" spans="26:26" x14ac:dyDescent="0.25">
      <c r="Z1179"/>
    </row>
    <row r="1180" spans="26:26" x14ac:dyDescent="0.25">
      <c r="Z1180"/>
    </row>
    <row r="1181" spans="26:26" x14ac:dyDescent="0.25">
      <c r="Z1181"/>
    </row>
    <row r="1182" spans="26:26" x14ac:dyDescent="0.25">
      <c r="Z1182"/>
    </row>
    <row r="1183" spans="26:26" x14ac:dyDescent="0.25">
      <c r="Z1183"/>
    </row>
    <row r="1184" spans="26:26" x14ac:dyDescent="0.25">
      <c r="Z1184"/>
    </row>
    <row r="1185" spans="26:26" x14ac:dyDescent="0.25">
      <c r="Z1185"/>
    </row>
    <row r="1186" spans="26:26" x14ac:dyDescent="0.25">
      <c r="Z1186"/>
    </row>
    <row r="1187" spans="26:26" x14ac:dyDescent="0.25">
      <c r="Z1187"/>
    </row>
    <row r="1188" spans="26:26" x14ac:dyDescent="0.25">
      <c r="Z1188"/>
    </row>
    <row r="1189" spans="26:26" x14ac:dyDescent="0.25">
      <c r="Z1189"/>
    </row>
    <row r="1190" spans="26:26" x14ac:dyDescent="0.25">
      <c r="Z1190"/>
    </row>
    <row r="1191" spans="26:26" x14ac:dyDescent="0.25">
      <c r="Z1191"/>
    </row>
    <row r="1192" spans="26:26" x14ac:dyDescent="0.25">
      <c r="Z1192"/>
    </row>
    <row r="1193" spans="26:26" x14ac:dyDescent="0.25">
      <c r="Z1193"/>
    </row>
    <row r="1194" spans="26:26" x14ac:dyDescent="0.25">
      <c r="Z1194"/>
    </row>
    <row r="1195" spans="26:26" x14ac:dyDescent="0.25">
      <c r="Z1195"/>
    </row>
    <row r="1196" spans="26:26" x14ac:dyDescent="0.25">
      <c r="Z1196"/>
    </row>
    <row r="1197" spans="26:26" x14ac:dyDescent="0.25">
      <c r="Z1197"/>
    </row>
    <row r="1198" spans="26:26" x14ac:dyDescent="0.25">
      <c r="Z1198"/>
    </row>
    <row r="1199" spans="26:26" x14ac:dyDescent="0.25">
      <c r="Z1199"/>
    </row>
    <row r="1200" spans="26:26" x14ac:dyDescent="0.25">
      <c r="Z1200"/>
    </row>
    <row r="1201" spans="26:26" x14ac:dyDescent="0.25">
      <c r="Z1201"/>
    </row>
    <row r="1202" spans="26:26" x14ac:dyDescent="0.25">
      <c r="Z1202"/>
    </row>
    <row r="1203" spans="26:26" x14ac:dyDescent="0.25">
      <c r="Z1203"/>
    </row>
    <row r="1204" spans="26:26" x14ac:dyDescent="0.25">
      <c r="Z1204"/>
    </row>
    <row r="1205" spans="26:26" x14ac:dyDescent="0.25">
      <c r="Z1205"/>
    </row>
    <row r="1206" spans="26:26" x14ac:dyDescent="0.25">
      <c r="Z1206"/>
    </row>
    <row r="1207" spans="26:26" x14ac:dyDescent="0.25">
      <c r="Z1207"/>
    </row>
    <row r="1208" spans="26:26" x14ac:dyDescent="0.25">
      <c r="Z1208"/>
    </row>
    <row r="1209" spans="26:26" x14ac:dyDescent="0.25">
      <c r="Z1209"/>
    </row>
    <row r="1210" spans="26:26" x14ac:dyDescent="0.25">
      <c r="Z1210"/>
    </row>
    <row r="1211" spans="26:26" x14ac:dyDescent="0.25">
      <c r="Z1211"/>
    </row>
    <row r="1212" spans="26:26" x14ac:dyDescent="0.25">
      <c r="Z1212"/>
    </row>
    <row r="1213" spans="26:26" x14ac:dyDescent="0.25">
      <c r="Z1213"/>
    </row>
    <row r="1214" spans="26:26" x14ac:dyDescent="0.25">
      <c r="Z1214"/>
    </row>
    <row r="1215" spans="26:26" x14ac:dyDescent="0.25">
      <c r="Z1215"/>
    </row>
    <row r="1216" spans="26:26" x14ac:dyDescent="0.25">
      <c r="Z1216"/>
    </row>
    <row r="1217" spans="26:26" x14ac:dyDescent="0.25">
      <c r="Z1217"/>
    </row>
    <row r="1218" spans="26:26" x14ac:dyDescent="0.25">
      <c r="Z1218"/>
    </row>
    <row r="1219" spans="26:26" x14ac:dyDescent="0.25">
      <c r="Z1219"/>
    </row>
    <row r="1220" spans="26:26" x14ac:dyDescent="0.25">
      <c r="Z1220"/>
    </row>
    <row r="1221" spans="26:26" x14ac:dyDescent="0.25">
      <c r="Z1221"/>
    </row>
    <row r="1222" spans="26:26" x14ac:dyDescent="0.25">
      <c r="Z1222"/>
    </row>
    <row r="1223" spans="26:26" x14ac:dyDescent="0.25">
      <c r="Z1223"/>
    </row>
    <row r="1224" spans="26:26" x14ac:dyDescent="0.25">
      <c r="Z1224"/>
    </row>
    <row r="1225" spans="26:26" x14ac:dyDescent="0.25">
      <c r="Z1225"/>
    </row>
    <row r="1226" spans="26:26" x14ac:dyDescent="0.25">
      <c r="Z1226"/>
    </row>
    <row r="1227" spans="26:26" x14ac:dyDescent="0.25">
      <c r="Z1227"/>
    </row>
    <row r="1228" spans="26:26" x14ac:dyDescent="0.25">
      <c r="Z1228"/>
    </row>
    <row r="1229" spans="26:26" x14ac:dyDescent="0.25">
      <c r="Z1229"/>
    </row>
    <row r="1230" spans="26:26" x14ac:dyDescent="0.25">
      <c r="Z1230"/>
    </row>
    <row r="1231" spans="26:26" x14ac:dyDescent="0.25">
      <c r="Z1231"/>
    </row>
    <row r="1232" spans="26:26" x14ac:dyDescent="0.25">
      <c r="Z1232"/>
    </row>
    <row r="1233" spans="26:26" x14ac:dyDescent="0.25">
      <c r="Z1233"/>
    </row>
    <row r="1234" spans="26:26" x14ac:dyDescent="0.25">
      <c r="Z1234"/>
    </row>
    <row r="1235" spans="26:26" x14ac:dyDescent="0.25">
      <c r="Z1235"/>
    </row>
    <row r="1236" spans="26:26" x14ac:dyDescent="0.25">
      <c r="Z1236"/>
    </row>
    <row r="1237" spans="26:26" x14ac:dyDescent="0.25">
      <c r="Z1237"/>
    </row>
    <row r="1238" spans="26:26" x14ac:dyDescent="0.25">
      <c r="Z1238"/>
    </row>
    <row r="1239" spans="26:26" x14ac:dyDescent="0.25">
      <c r="Z1239"/>
    </row>
    <row r="1240" spans="26:26" x14ac:dyDescent="0.25">
      <c r="Z1240"/>
    </row>
    <row r="1241" spans="26:26" x14ac:dyDescent="0.25">
      <c r="Z1241"/>
    </row>
    <row r="1242" spans="26:26" x14ac:dyDescent="0.25">
      <c r="Z1242"/>
    </row>
    <row r="1243" spans="26:26" x14ac:dyDescent="0.25">
      <c r="Z1243"/>
    </row>
    <row r="1244" spans="26:26" x14ac:dyDescent="0.25">
      <c r="Z1244"/>
    </row>
    <row r="1245" spans="26:26" x14ac:dyDescent="0.25">
      <c r="Z1245"/>
    </row>
    <row r="1246" spans="26:26" x14ac:dyDescent="0.25">
      <c r="Z1246"/>
    </row>
    <row r="1247" spans="26:26" x14ac:dyDescent="0.25">
      <c r="Z1247"/>
    </row>
    <row r="1248" spans="26:26" x14ac:dyDescent="0.25">
      <c r="Z1248"/>
    </row>
    <row r="1249" spans="26:26" x14ac:dyDescent="0.25">
      <c r="Z1249"/>
    </row>
    <row r="1250" spans="26:26" x14ac:dyDescent="0.25">
      <c r="Z1250"/>
    </row>
    <row r="1251" spans="26:26" x14ac:dyDescent="0.25">
      <c r="Z1251"/>
    </row>
    <row r="1252" spans="26:26" x14ac:dyDescent="0.25">
      <c r="Z1252"/>
    </row>
    <row r="1253" spans="26:26" x14ac:dyDescent="0.25">
      <c r="Z1253"/>
    </row>
    <row r="1254" spans="26:26" x14ac:dyDescent="0.25">
      <c r="Z1254"/>
    </row>
    <row r="1255" spans="26:26" x14ac:dyDescent="0.25">
      <c r="Z1255"/>
    </row>
    <row r="1256" spans="26:26" x14ac:dyDescent="0.25">
      <c r="Z1256"/>
    </row>
    <row r="1257" spans="26:26" x14ac:dyDescent="0.25">
      <c r="Z1257"/>
    </row>
    <row r="1258" spans="26:26" x14ac:dyDescent="0.25">
      <c r="Z1258"/>
    </row>
    <row r="1259" spans="26:26" x14ac:dyDescent="0.25">
      <c r="Z1259"/>
    </row>
    <row r="1260" spans="26:26" x14ac:dyDescent="0.25">
      <c r="Z1260"/>
    </row>
    <row r="1261" spans="26:26" x14ac:dyDescent="0.25">
      <c r="Z1261"/>
    </row>
    <row r="1262" spans="26:26" x14ac:dyDescent="0.25">
      <c r="Z1262"/>
    </row>
    <row r="1263" spans="26:26" x14ac:dyDescent="0.25">
      <c r="Z1263"/>
    </row>
    <row r="1264" spans="26:26" x14ac:dyDescent="0.25">
      <c r="Z1264"/>
    </row>
    <row r="1265" spans="26:26" x14ac:dyDescent="0.25">
      <c r="Z1265"/>
    </row>
    <row r="1266" spans="26:26" x14ac:dyDescent="0.25">
      <c r="Z1266"/>
    </row>
    <row r="1267" spans="26:26" x14ac:dyDescent="0.25">
      <c r="Z1267"/>
    </row>
    <row r="1268" spans="26:26" x14ac:dyDescent="0.25">
      <c r="Z1268"/>
    </row>
    <row r="1269" spans="26:26" x14ac:dyDescent="0.25">
      <c r="Z1269"/>
    </row>
    <row r="1270" spans="26:26" x14ac:dyDescent="0.25">
      <c r="Z1270"/>
    </row>
    <row r="1271" spans="26:26" x14ac:dyDescent="0.25">
      <c r="Z1271"/>
    </row>
    <row r="1272" spans="26:26" x14ac:dyDescent="0.25">
      <c r="Z1272"/>
    </row>
    <row r="1273" spans="26:26" x14ac:dyDescent="0.25">
      <c r="Z1273"/>
    </row>
    <row r="1274" spans="26:26" x14ac:dyDescent="0.25">
      <c r="Z1274"/>
    </row>
    <row r="1275" spans="26:26" x14ac:dyDescent="0.25">
      <c r="Z1275"/>
    </row>
    <row r="1276" spans="26:26" x14ac:dyDescent="0.25">
      <c r="Z1276"/>
    </row>
    <row r="1277" spans="26:26" x14ac:dyDescent="0.25">
      <c r="Z1277"/>
    </row>
    <row r="1278" spans="26:26" x14ac:dyDescent="0.25">
      <c r="Z1278"/>
    </row>
    <row r="1279" spans="26:26" x14ac:dyDescent="0.25">
      <c r="Z1279"/>
    </row>
    <row r="1280" spans="26:26" x14ac:dyDescent="0.25">
      <c r="Z1280"/>
    </row>
    <row r="1281" spans="26:26" x14ac:dyDescent="0.25">
      <c r="Z1281"/>
    </row>
    <row r="1282" spans="26:26" x14ac:dyDescent="0.25">
      <c r="Z1282"/>
    </row>
    <row r="1283" spans="26:26" x14ac:dyDescent="0.25">
      <c r="Z1283"/>
    </row>
    <row r="1284" spans="26:26" x14ac:dyDescent="0.25">
      <c r="Z1284"/>
    </row>
    <row r="1285" spans="26:26" x14ac:dyDescent="0.25">
      <c r="Z1285"/>
    </row>
    <row r="1286" spans="26:26" x14ac:dyDescent="0.25">
      <c r="Z1286"/>
    </row>
    <row r="1287" spans="26:26" x14ac:dyDescent="0.25">
      <c r="Z1287"/>
    </row>
    <row r="1288" spans="26:26" x14ac:dyDescent="0.25">
      <c r="Z1288"/>
    </row>
    <row r="1289" spans="26:26" x14ac:dyDescent="0.25">
      <c r="Z1289"/>
    </row>
    <row r="1290" spans="26:26" x14ac:dyDescent="0.25">
      <c r="Z1290"/>
    </row>
    <row r="1291" spans="26:26" x14ac:dyDescent="0.25">
      <c r="Z1291"/>
    </row>
    <row r="1292" spans="26:26" x14ac:dyDescent="0.25">
      <c r="Z1292"/>
    </row>
    <row r="1293" spans="26:26" x14ac:dyDescent="0.25">
      <c r="Z1293"/>
    </row>
    <row r="1294" spans="26:26" x14ac:dyDescent="0.25">
      <c r="Z1294"/>
    </row>
    <row r="1295" spans="26:26" x14ac:dyDescent="0.25">
      <c r="Z1295"/>
    </row>
    <row r="1296" spans="26:26" x14ac:dyDescent="0.25">
      <c r="Z1296"/>
    </row>
    <row r="1297" spans="26:26" x14ac:dyDescent="0.25">
      <c r="Z1297"/>
    </row>
    <row r="1298" spans="26:26" x14ac:dyDescent="0.25">
      <c r="Z1298"/>
    </row>
    <row r="1299" spans="26:26" x14ac:dyDescent="0.25">
      <c r="Z1299"/>
    </row>
    <row r="1300" spans="26:26" x14ac:dyDescent="0.25">
      <c r="Z1300"/>
    </row>
    <row r="1301" spans="26:26" x14ac:dyDescent="0.25">
      <c r="Z1301"/>
    </row>
    <row r="1302" spans="26:26" x14ac:dyDescent="0.25">
      <c r="Z1302"/>
    </row>
    <row r="1303" spans="26:26" x14ac:dyDescent="0.25">
      <c r="Z1303"/>
    </row>
    <row r="1304" spans="26:26" x14ac:dyDescent="0.25">
      <c r="Z1304"/>
    </row>
    <row r="1305" spans="26:26" x14ac:dyDescent="0.25">
      <c r="Z1305"/>
    </row>
    <row r="1306" spans="26:26" x14ac:dyDescent="0.25">
      <c r="Z1306"/>
    </row>
    <row r="1307" spans="26:26" x14ac:dyDescent="0.25">
      <c r="Z1307"/>
    </row>
    <row r="1308" spans="26:26" x14ac:dyDescent="0.25">
      <c r="Z1308"/>
    </row>
    <row r="1309" spans="26:26" x14ac:dyDescent="0.25">
      <c r="Z1309"/>
    </row>
    <row r="1310" spans="26:26" x14ac:dyDescent="0.25">
      <c r="Z1310"/>
    </row>
    <row r="1311" spans="26:26" x14ac:dyDescent="0.25">
      <c r="Z1311"/>
    </row>
    <row r="1312" spans="26:26" x14ac:dyDescent="0.25">
      <c r="Z1312"/>
    </row>
    <row r="1313" spans="26:26" x14ac:dyDescent="0.25">
      <c r="Z1313"/>
    </row>
    <row r="1314" spans="26:26" x14ac:dyDescent="0.25">
      <c r="Z1314"/>
    </row>
    <row r="1315" spans="26:26" x14ac:dyDescent="0.25">
      <c r="Z1315"/>
    </row>
    <row r="1316" spans="26:26" x14ac:dyDescent="0.25">
      <c r="Z1316"/>
    </row>
    <row r="1317" spans="26:26" x14ac:dyDescent="0.25">
      <c r="Z1317"/>
    </row>
    <row r="1318" spans="26:26" x14ac:dyDescent="0.25">
      <c r="Z1318"/>
    </row>
    <row r="1319" spans="26:26" x14ac:dyDescent="0.25">
      <c r="Z1319"/>
    </row>
    <row r="1320" spans="26:26" x14ac:dyDescent="0.25">
      <c r="Z1320"/>
    </row>
    <row r="1321" spans="26:26" x14ac:dyDescent="0.25">
      <c r="Z1321"/>
    </row>
    <row r="1322" spans="26:26" x14ac:dyDescent="0.25">
      <c r="Z1322"/>
    </row>
    <row r="1323" spans="26:26" x14ac:dyDescent="0.25">
      <c r="Z1323"/>
    </row>
    <row r="1324" spans="26:26" x14ac:dyDescent="0.25">
      <c r="Z1324"/>
    </row>
    <row r="1325" spans="26:26" x14ac:dyDescent="0.25">
      <c r="Z1325"/>
    </row>
    <row r="1326" spans="26:26" x14ac:dyDescent="0.25">
      <c r="Z1326"/>
    </row>
    <row r="1327" spans="26:26" x14ac:dyDescent="0.25">
      <c r="Z1327"/>
    </row>
    <row r="1328" spans="26:26" x14ac:dyDescent="0.25">
      <c r="Z1328"/>
    </row>
    <row r="1329" spans="26:26" x14ac:dyDescent="0.25">
      <c r="Z1329"/>
    </row>
    <row r="1330" spans="26:26" x14ac:dyDescent="0.25">
      <c r="Z1330"/>
    </row>
    <row r="1331" spans="26:26" x14ac:dyDescent="0.25">
      <c r="Z1331"/>
    </row>
    <row r="1332" spans="26:26" x14ac:dyDescent="0.25">
      <c r="Z1332"/>
    </row>
    <row r="1333" spans="26:26" x14ac:dyDescent="0.25">
      <c r="Z1333"/>
    </row>
    <row r="1334" spans="26:26" x14ac:dyDescent="0.25">
      <c r="Z1334"/>
    </row>
    <row r="1335" spans="26:26" x14ac:dyDescent="0.25">
      <c r="Z1335"/>
    </row>
    <row r="1336" spans="26:26" x14ac:dyDescent="0.25">
      <c r="Z1336"/>
    </row>
    <row r="1337" spans="26:26" x14ac:dyDescent="0.25">
      <c r="Z1337"/>
    </row>
    <row r="1338" spans="26:26" x14ac:dyDescent="0.25">
      <c r="Z1338"/>
    </row>
    <row r="1339" spans="26:26" x14ac:dyDescent="0.25">
      <c r="Z1339"/>
    </row>
    <row r="1340" spans="26:26" x14ac:dyDescent="0.25">
      <c r="Z1340"/>
    </row>
    <row r="1341" spans="26:26" x14ac:dyDescent="0.25">
      <c r="Z1341"/>
    </row>
    <row r="1342" spans="26:26" x14ac:dyDescent="0.25">
      <c r="Z1342"/>
    </row>
    <row r="1343" spans="26:26" x14ac:dyDescent="0.25">
      <c r="Z1343"/>
    </row>
    <row r="1344" spans="26:26" x14ac:dyDescent="0.25">
      <c r="Z1344"/>
    </row>
    <row r="1345" spans="26:26" x14ac:dyDescent="0.25">
      <c r="Z1345"/>
    </row>
    <row r="1346" spans="26:26" x14ac:dyDescent="0.25">
      <c r="Z1346"/>
    </row>
    <row r="1347" spans="26:26" x14ac:dyDescent="0.25">
      <c r="Z1347"/>
    </row>
    <row r="1348" spans="26:26" x14ac:dyDescent="0.25">
      <c r="Z1348"/>
    </row>
    <row r="1349" spans="26:26" x14ac:dyDescent="0.25">
      <c r="Z1349"/>
    </row>
    <row r="1350" spans="26:26" x14ac:dyDescent="0.25">
      <c r="Z1350"/>
    </row>
    <row r="1351" spans="26:26" x14ac:dyDescent="0.25">
      <c r="Z1351"/>
    </row>
    <row r="1352" spans="26:26" x14ac:dyDescent="0.25">
      <c r="Z1352"/>
    </row>
    <row r="1353" spans="26:26" x14ac:dyDescent="0.25">
      <c r="Z1353"/>
    </row>
    <row r="1354" spans="26:26" x14ac:dyDescent="0.25">
      <c r="Z1354"/>
    </row>
    <row r="1355" spans="26:26" x14ac:dyDescent="0.25">
      <c r="Z1355"/>
    </row>
    <row r="1356" spans="26:26" x14ac:dyDescent="0.25">
      <c r="Z1356"/>
    </row>
    <row r="1357" spans="26:26" x14ac:dyDescent="0.25">
      <c r="Z1357"/>
    </row>
    <row r="1358" spans="26:26" x14ac:dyDescent="0.25">
      <c r="Z1358"/>
    </row>
    <row r="1359" spans="26:26" x14ac:dyDescent="0.25">
      <c r="Z1359"/>
    </row>
    <row r="1360" spans="26:26" x14ac:dyDescent="0.25">
      <c r="Z1360"/>
    </row>
    <row r="1361" spans="26:26" x14ac:dyDescent="0.25">
      <c r="Z1361"/>
    </row>
    <row r="1362" spans="26:26" x14ac:dyDescent="0.25">
      <c r="Z1362"/>
    </row>
    <row r="1363" spans="26:26" x14ac:dyDescent="0.25">
      <c r="Z1363"/>
    </row>
    <row r="1364" spans="26:26" x14ac:dyDescent="0.25">
      <c r="Z1364"/>
    </row>
    <row r="1365" spans="26:26" x14ac:dyDescent="0.25">
      <c r="Z1365"/>
    </row>
    <row r="1366" spans="26:26" x14ac:dyDescent="0.25">
      <c r="Z1366"/>
    </row>
    <row r="1367" spans="26:26" x14ac:dyDescent="0.25">
      <c r="Z1367"/>
    </row>
    <row r="1368" spans="26:26" x14ac:dyDescent="0.25">
      <c r="Z1368"/>
    </row>
    <row r="1369" spans="26:26" x14ac:dyDescent="0.25">
      <c r="Z1369"/>
    </row>
    <row r="1370" spans="26:26" x14ac:dyDescent="0.25">
      <c r="Z1370"/>
    </row>
    <row r="1371" spans="26:26" x14ac:dyDescent="0.25">
      <c r="Z1371"/>
    </row>
    <row r="1372" spans="26:26" x14ac:dyDescent="0.25">
      <c r="Z1372"/>
    </row>
    <row r="1373" spans="26:26" x14ac:dyDescent="0.25">
      <c r="Z1373"/>
    </row>
    <row r="1374" spans="26:26" x14ac:dyDescent="0.25">
      <c r="Z1374"/>
    </row>
    <row r="1375" spans="26:26" x14ac:dyDescent="0.25">
      <c r="Z1375"/>
    </row>
    <row r="1376" spans="26:26" x14ac:dyDescent="0.25">
      <c r="Z1376"/>
    </row>
    <row r="1377" spans="26:26" x14ac:dyDescent="0.25">
      <c r="Z1377"/>
    </row>
    <row r="1378" spans="26:26" x14ac:dyDescent="0.25">
      <c r="Z1378"/>
    </row>
    <row r="1379" spans="26:26" x14ac:dyDescent="0.25">
      <c r="Z1379"/>
    </row>
    <row r="1380" spans="26:26" x14ac:dyDescent="0.25">
      <c r="Z1380"/>
    </row>
    <row r="1381" spans="26:26" x14ac:dyDescent="0.25">
      <c r="Z1381"/>
    </row>
    <row r="1382" spans="26:26" x14ac:dyDescent="0.25">
      <c r="Z1382"/>
    </row>
    <row r="1383" spans="26:26" x14ac:dyDescent="0.25">
      <c r="Z1383"/>
    </row>
    <row r="1384" spans="26:26" x14ac:dyDescent="0.25">
      <c r="Z1384"/>
    </row>
    <row r="1385" spans="26:26" x14ac:dyDescent="0.25">
      <c r="Z1385"/>
    </row>
    <row r="1386" spans="26:26" x14ac:dyDescent="0.25">
      <c r="Z1386"/>
    </row>
    <row r="1387" spans="26:26" x14ac:dyDescent="0.25">
      <c r="Z1387"/>
    </row>
    <row r="1388" spans="26:26" x14ac:dyDescent="0.25">
      <c r="Z1388"/>
    </row>
    <row r="1389" spans="26:26" x14ac:dyDescent="0.25">
      <c r="Z1389"/>
    </row>
    <row r="1390" spans="26:26" x14ac:dyDescent="0.25">
      <c r="Z1390"/>
    </row>
    <row r="1391" spans="26:26" x14ac:dyDescent="0.25">
      <c r="Z1391"/>
    </row>
    <row r="1392" spans="26:26" x14ac:dyDescent="0.25">
      <c r="Z1392"/>
    </row>
    <row r="1393" spans="26:26" x14ac:dyDescent="0.25">
      <c r="Z1393"/>
    </row>
    <row r="1394" spans="26:26" x14ac:dyDescent="0.25">
      <c r="Z1394"/>
    </row>
    <row r="1395" spans="26:26" x14ac:dyDescent="0.25">
      <c r="Z1395"/>
    </row>
    <row r="1396" spans="26:26" x14ac:dyDescent="0.25">
      <c r="Z1396"/>
    </row>
    <row r="1397" spans="26:26" x14ac:dyDescent="0.25">
      <c r="Z1397"/>
    </row>
    <row r="1398" spans="26:26" x14ac:dyDescent="0.25">
      <c r="Z1398"/>
    </row>
    <row r="1399" spans="26:26" x14ac:dyDescent="0.25">
      <c r="Z1399"/>
    </row>
    <row r="1400" spans="26:26" x14ac:dyDescent="0.25">
      <c r="Z1400"/>
    </row>
    <row r="1401" spans="26:26" x14ac:dyDescent="0.25">
      <c r="Z1401"/>
    </row>
    <row r="1402" spans="26:26" x14ac:dyDescent="0.25">
      <c r="Z1402"/>
    </row>
    <row r="1403" spans="26:26" x14ac:dyDescent="0.25">
      <c r="Z1403"/>
    </row>
    <row r="1404" spans="26:26" x14ac:dyDescent="0.25">
      <c r="Z1404"/>
    </row>
    <row r="1405" spans="26:26" x14ac:dyDescent="0.25">
      <c r="Z1405"/>
    </row>
    <row r="1406" spans="26:26" x14ac:dyDescent="0.25">
      <c r="Z1406"/>
    </row>
    <row r="1407" spans="26:26" x14ac:dyDescent="0.25">
      <c r="Z1407"/>
    </row>
    <row r="1408" spans="26:26" x14ac:dyDescent="0.25">
      <c r="Z1408"/>
    </row>
    <row r="1409" spans="26:26" x14ac:dyDescent="0.25">
      <c r="Z1409"/>
    </row>
    <row r="1410" spans="26:26" x14ac:dyDescent="0.25">
      <c r="Z1410"/>
    </row>
    <row r="1411" spans="26:26" x14ac:dyDescent="0.25">
      <c r="Z1411"/>
    </row>
    <row r="1412" spans="26:26" x14ac:dyDescent="0.25">
      <c r="Z1412"/>
    </row>
    <row r="1413" spans="26:26" x14ac:dyDescent="0.25">
      <c r="Z1413"/>
    </row>
    <row r="1414" spans="26:26" x14ac:dyDescent="0.25">
      <c r="Z1414"/>
    </row>
    <row r="1415" spans="26:26" x14ac:dyDescent="0.25">
      <c r="Z1415"/>
    </row>
    <row r="1416" spans="26:26" x14ac:dyDescent="0.25">
      <c r="Z1416"/>
    </row>
    <row r="1417" spans="26:26" x14ac:dyDescent="0.25">
      <c r="Z1417"/>
    </row>
    <row r="1418" spans="26:26" x14ac:dyDescent="0.25">
      <c r="Z1418"/>
    </row>
    <row r="1419" spans="26:26" x14ac:dyDescent="0.25">
      <c r="Z1419"/>
    </row>
    <row r="1420" spans="26:26" x14ac:dyDescent="0.25">
      <c r="Z1420"/>
    </row>
    <row r="1421" spans="26:26" x14ac:dyDescent="0.25">
      <c r="Z1421"/>
    </row>
    <row r="1422" spans="26:26" x14ac:dyDescent="0.25">
      <c r="Z1422"/>
    </row>
    <row r="1423" spans="26:26" x14ac:dyDescent="0.25">
      <c r="Z1423"/>
    </row>
    <row r="1424" spans="26:26" x14ac:dyDescent="0.25">
      <c r="Z1424"/>
    </row>
    <row r="1425" spans="26:26" x14ac:dyDescent="0.25">
      <c r="Z1425"/>
    </row>
    <row r="1426" spans="26:26" x14ac:dyDescent="0.25">
      <c r="Z1426"/>
    </row>
    <row r="1427" spans="26:26" x14ac:dyDescent="0.25">
      <c r="Z1427"/>
    </row>
    <row r="1428" spans="26:26" x14ac:dyDescent="0.25">
      <c r="Z1428"/>
    </row>
    <row r="1429" spans="26:26" x14ac:dyDescent="0.25">
      <c r="Z1429"/>
    </row>
    <row r="1430" spans="26:26" x14ac:dyDescent="0.25">
      <c r="Z1430"/>
    </row>
    <row r="1431" spans="26:26" x14ac:dyDescent="0.25">
      <c r="Z1431"/>
    </row>
    <row r="1432" spans="26:26" x14ac:dyDescent="0.25">
      <c r="Z1432"/>
    </row>
    <row r="1433" spans="26:26" x14ac:dyDescent="0.25">
      <c r="Z1433"/>
    </row>
    <row r="1434" spans="26:26" x14ac:dyDescent="0.25">
      <c r="Z1434"/>
    </row>
    <row r="1435" spans="26:26" x14ac:dyDescent="0.25">
      <c r="Z1435"/>
    </row>
    <row r="1436" spans="26:26" x14ac:dyDescent="0.25">
      <c r="Z1436"/>
    </row>
    <row r="1437" spans="26:26" x14ac:dyDescent="0.25">
      <c r="Z1437"/>
    </row>
    <row r="1438" spans="26:26" x14ac:dyDescent="0.25">
      <c r="Z1438"/>
    </row>
    <row r="1439" spans="26:26" x14ac:dyDescent="0.25">
      <c r="Z1439"/>
    </row>
    <row r="1440" spans="26:26" x14ac:dyDescent="0.25">
      <c r="Z1440"/>
    </row>
    <row r="1441" spans="26:26" x14ac:dyDescent="0.25">
      <c r="Z1441"/>
    </row>
    <row r="1442" spans="26:26" x14ac:dyDescent="0.25">
      <c r="Z1442"/>
    </row>
    <row r="1443" spans="26:26" x14ac:dyDescent="0.25">
      <c r="Z1443"/>
    </row>
    <row r="1444" spans="26:26" x14ac:dyDescent="0.25">
      <c r="Z1444"/>
    </row>
    <row r="1445" spans="26:26" x14ac:dyDescent="0.25">
      <c r="Z1445"/>
    </row>
    <row r="1446" spans="26:26" x14ac:dyDescent="0.25">
      <c r="Z1446"/>
    </row>
    <row r="1447" spans="26:26" x14ac:dyDescent="0.25">
      <c r="Z1447"/>
    </row>
    <row r="1448" spans="26:26" x14ac:dyDescent="0.25">
      <c r="Z1448"/>
    </row>
    <row r="1449" spans="26:26" x14ac:dyDescent="0.25">
      <c r="Z1449"/>
    </row>
    <row r="1450" spans="26:26" x14ac:dyDescent="0.25">
      <c r="Z1450"/>
    </row>
    <row r="1451" spans="26:26" x14ac:dyDescent="0.25">
      <c r="Z1451"/>
    </row>
    <row r="1452" spans="26:26" x14ac:dyDescent="0.25">
      <c r="Z1452"/>
    </row>
    <row r="1453" spans="26:26" x14ac:dyDescent="0.25">
      <c r="Z1453"/>
    </row>
    <row r="1454" spans="26:26" x14ac:dyDescent="0.25">
      <c r="Z1454"/>
    </row>
    <row r="1455" spans="26:26" x14ac:dyDescent="0.25">
      <c r="Z1455"/>
    </row>
    <row r="1456" spans="26:26" x14ac:dyDescent="0.25">
      <c r="Z1456"/>
    </row>
    <row r="1457" spans="26:26" x14ac:dyDescent="0.25">
      <c r="Z1457"/>
    </row>
    <row r="1458" spans="26:26" x14ac:dyDescent="0.25">
      <c r="Z1458"/>
    </row>
    <row r="1459" spans="26:26" x14ac:dyDescent="0.25">
      <c r="Z1459"/>
    </row>
    <row r="1460" spans="26:26" x14ac:dyDescent="0.25">
      <c r="Z1460"/>
    </row>
    <row r="1461" spans="26:26" x14ac:dyDescent="0.25">
      <c r="Z1461"/>
    </row>
    <row r="1462" spans="26:26" x14ac:dyDescent="0.25">
      <c r="Z1462"/>
    </row>
    <row r="1463" spans="26:26" x14ac:dyDescent="0.25">
      <c r="Z1463"/>
    </row>
    <row r="1464" spans="26:26" x14ac:dyDescent="0.25">
      <c r="Z1464"/>
    </row>
    <row r="1465" spans="26:26" x14ac:dyDescent="0.25">
      <c r="Z1465"/>
    </row>
    <row r="1466" spans="26:26" x14ac:dyDescent="0.25">
      <c r="Z1466"/>
    </row>
    <row r="1467" spans="26:26" x14ac:dyDescent="0.25">
      <c r="Z1467"/>
    </row>
    <row r="1468" spans="26:26" x14ac:dyDescent="0.25">
      <c r="Z1468"/>
    </row>
    <row r="1469" spans="26:26" x14ac:dyDescent="0.25">
      <c r="Z1469"/>
    </row>
    <row r="1470" spans="26:26" x14ac:dyDescent="0.25">
      <c r="Z1470"/>
    </row>
    <row r="1471" spans="26:26" x14ac:dyDescent="0.25">
      <c r="Z1471"/>
    </row>
    <row r="1472" spans="26:26" x14ac:dyDescent="0.25">
      <c r="Z1472"/>
    </row>
    <row r="1473" spans="26:26" x14ac:dyDescent="0.25">
      <c r="Z1473"/>
    </row>
    <row r="1474" spans="26:26" x14ac:dyDescent="0.25">
      <c r="Z1474"/>
    </row>
    <row r="1475" spans="26:26" x14ac:dyDescent="0.25">
      <c r="Z1475"/>
    </row>
    <row r="1476" spans="26:26" x14ac:dyDescent="0.25">
      <c r="Z1476"/>
    </row>
    <row r="1477" spans="26:26" x14ac:dyDescent="0.25">
      <c r="Z1477"/>
    </row>
    <row r="1478" spans="26:26" x14ac:dyDescent="0.25">
      <c r="Z1478"/>
    </row>
    <row r="1479" spans="26:26" x14ac:dyDescent="0.25">
      <c r="Z1479"/>
    </row>
    <row r="1480" spans="26:26" x14ac:dyDescent="0.25">
      <c r="Z1480"/>
    </row>
    <row r="1481" spans="26:26" x14ac:dyDescent="0.25">
      <c r="Z1481"/>
    </row>
    <row r="1482" spans="26:26" x14ac:dyDescent="0.25">
      <c r="Z1482"/>
    </row>
    <row r="1483" spans="26:26" x14ac:dyDescent="0.25">
      <c r="Z1483"/>
    </row>
    <row r="1484" spans="26:26" x14ac:dyDescent="0.25">
      <c r="Z1484"/>
    </row>
    <row r="1485" spans="26:26" x14ac:dyDescent="0.25">
      <c r="Z1485"/>
    </row>
    <row r="1486" spans="26:26" x14ac:dyDescent="0.25">
      <c r="Z1486"/>
    </row>
    <row r="1487" spans="26:26" x14ac:dyDescent="0.25">
      <c r="Z1487"/>
    </row>
    <row r="1488" spans="26:26" x14ac:dyDescent="0.25">
      <c r="Z1488"/>
    </row>
    <row r="1489" spans="26:26" x14ac:dyDescent="0.25">
      <c r="Z1489"/>
    </row>
    <row r="1490" spans="26:26" x14ac:dyDescent="0.25">
      <c r="Z1490"/>
    </row>
    <row r="1491" spans="26:26" x14ac:dyDescent="0.25">
      <c r="Z1491"/>
    </row>
    <row r="1492" spans="26:26" x14ac:dyDescent="0.25">
      <c r="Z1492"/>
    </row>
    <row r="1493" spans="26:26" x14ac:dyDescent="0.25">
      <c r="Z1493"/>
    </row>
    <row r="1494" spans="26:26" x14ac:dyDescent="0.25">
      <c r="Z1494"/>
    </row>
    <row r="1495" spans="26:26" x14ac:dyDescent="0.25">
      <c r="Z1495"/>
    </row>
    <row r="1496" spans="26:26" x14ac:dyDescent="0.25">
      <c r="Z1496"/>
    </row>
    <row r="1497" spans="26:26" x14ac:dyDescent="0.25">
      <c r="Z1497"/>
    </row>
    <row r="1498" spans="26:26" x14ac:dyDescent="0.25">
      <c r="Z1498"/>
    </row>
    <row r="1499" spans="26:26" x14ac:dyDescent="0.25">
      <c r="Z1499"/>
    </row>
    <row r="1500" spans="26:26" x14ac:dyDescent="0.25">
      <c r="Z1500"/>
    </row>
    <row r="1501" spans="26:26" x14ac:dyDescent="0.25">
      <c r="Z1501"/>
    </row>
    <row r="1502" spans="26:26" x14ac:dyDescent="0.25">
      <c r="Z1502"/>
    </row>
    <row r="1503" spans="26:26" x14ac:dyDescent="0.25">
      <c r="Z1503"/>
    </row>
    <row r="1504" spans="26:26" x14ac:dyDescent="0.25">
      <c r="Z1504"/>
    </row>
    <row r="1505" spans="26:26" x14ac:dyDescent="0.25">
      <c r="Z1505"/>
    </row>
    <row r="1506" spans="26:26" x14ac:dyDescent="0.25">
      <c r="Z1506"/>
    </row>
    <row r="1507" spans="26:26" x14ac:dyDescent="0.25">
      <c r="Z1507"/>
    </row>
    <row r="1508" spans="26:26" x14ac:dyDescent="0.25">
      <c r="Z1508"/>
    </row>
    <row r="1509" spans="26:26" x14ac:dyDescent="0.25">
      <c r="Z1509"/>
    </row>
    <row r="1510" spans="26:26" x14ac:dyDescent="0.25">
      <c r="Z1510"/>
    </row>
    <row r="1511" spans="26:26" x14ac:dyDescent="0.25">
      <c r="Z1511"/>
    </row>
    <row r="1512" spans="26:26" x14ac:dyDescent="0.25">
      <c r="Z1512"/>
    </row>
    <row r="1513" spans="26:26" x14ac:dyDescent="0.25">
      <c r="Z1513"/>
    </row>
    <row r="1514" spans="26:26" x14ac:dyDescent="0.25">
      <c r="Z1514"/>
    </row>
    <row r="1515" spans="26:26" x14ac:dyDescent="0.25">
      <c r="Z1515"/>
    </row>
    <row r="1516" spans="26:26" x14ac:dyDescent="0.25">
      <c r="Z1516"/>
    </row>
    <row r="1517" spans="26:26" x14ac:dyDescent="0.25">
      <c r="Z1517"/>
    </row>
    <row r="1518" spans="26:26" x14ac:dyDescent="0.25">
      <c r="Z1518"/>
    </row>
    <row r="1519" spans="26:26" x14ac:dyDescent="0.25">
      <c r="Z1519"/>
    </row>
    <row r="1520" spans="26:26" x14ac:dyDescent="0.25">
      <c r="Z1520"/>
    </row>
    <row r="1521" spans="26:26" x14ac:dyDescent="0.25">
      <c r="Z1521"/>
    </row>
    <row r="1522" spans="26:26" x14ac:dyDescent="0.25">
      <c r="Z1522"/>
    </row>
    <row r="1523" spans="26:26" x14ac:dyDescent="0.25">
      <c r="Z1523"/>
    </row>
    <row r="1524" spans="26:26" x14ac:dyDescent="0.25">
      <c r="Z1524"/>
    </row>
    <row r="1525" spans="26:26" x14ac:dyDescent="0.25">
      <c r="Z1525"/>
    </row>
    <row r="1526" spans="26:26" x14ac:dyDescent="0.25">
      <c r="Z1526"/>
    </row>
    <row r="1527" spans="26:26" x14ac:dyDescent="0.25">
      <c r="Z1527"/>
    </row>
    <row r="1528" spans="26:26" x14ac:dyDescent="0.25">
      <c r="Z1528"/>
    </row>
    <row r="1529" spans="26:26" x14ac:dyDescent="0.25">
      <c r="Z1529"/>
    </row>
    <row r="1530" spans="26:26" x14ac:dyDescent="0.25">
      <c r="Z1530"/>
    </row>
    <row r="1531" spans="26:26" x14ac:dyDescent="0.25">
      <c r="Z1531"/>
    </row>
    <row r="1532" spans="26:26" x14ac:dyDescent="0.25">
      <c r="Z1532"/>
    </row>
    <row r="1533" spans="26:26" x14ac:dyDescent="0.25">
      <c r="Z1533"/>
    </row>
    <row r="1534" spans="26:26" x14ac:dyDescent="0.25">
      <c r="Z1534"/>
    </row>
    <row r="1535" spans="26:26" x14ac:dyDescent="0.25">
      <c r="Z1535"/>
    </row>
    <row r="1536" spans="26:26" x14ac:dyDescent="0.25">
      <c r="Z1536"/>
    </row>
    <row r="1537" spans="26:26" x14ac:dyDescent="0.25">
      <c r="Z1537"/>
    </row>
    <row r="1538" spans="26:26" x14ac:dyDescent="0.25">
      <c r="Z1538"/>
    </row>
    <row r="1539" spans="26:26" x14ac:dyDescent="0.25">
      <c r="Z1539"/>
    </row>
    <row r="1540" spans="26:26" x14ac:dyDescent="0.25">
      <c r="Z1540"/>
    </row>
    <row r="1541" spans="26:26" x14ac:dyDescent="0.25">
      <c r="Z1541"/>
    </row>
    <row r="1542" spans="26:26" x14ac:dyDescent="0.25">
      <c r="Z1542"/>
    </row>
    <row r="1543" spans="26:26" x14ac:dyDescent="0.25">
      <c r="Z1543"/>
    </row>
    <row r="1544" spans="26:26" x14ac:dyDescent="0.25">
      <c r="Z1544"/>
    </row>
    <row r="1545" spans="26:26" x14ac:dyDescent="0.25">
      <c r="Z1545"/>
    </row>
    <row r="1546" spans="26:26" x14ac:dyDescent="0.25">
      <c r="Z1546"/>
    </row>
    <row r="1547" spans="26:26" x14ac:dyDescent="0.25">
      <c r="Z1547"/>
    </row>
    <row r="1548" spans="26:26" x14ac:dyDescent="0.25">
      <c r="Z1548"/>
    </row>
    <row r="1549" spans="26:26" x14ac:dyDescent="0.25">
      <c r="Z1549"/>
    </row>
    <row r="1550" spans="26:26" x14ac:dyDescent="0.25">
      <c r="Z1550"/>
    </row>
    <row r="1551" spans="26:26" x14ac:dyDescent="0.25">
      <c r="Z1551"/>
    </row>
    <row r="1552" spans="26:26" x14ac:dyDescent="0.25">
      <c r="Z1552"/>
    </row>
    <row r="1553" spans="26:26" x14ac:dyDescent="0.25">
      <c r="Z1553"/>
    </row>
    <row r="1554" spans="26:26" x14ac:dyDescent="0.25">
      <c r="Z1554"/>
    </row>
    <row r="1555" spans="26:26" x14ac:dyDescent="0.25">
      <c r="Z1555"/>
    </row>
    <row r="1556" spans="26:26" x14ac:dyDescent="0.25">
      <c r="Z1556"/>
    </row>
    <row r="1557" spans="26:26" x14ac:dyDescent="0.25">
      <c r="Z1557"/>
    </row>
    <row r="1558" spans="26:26" x14ac:dyDescent="0.25">
      <c r="Z1558"/>
    </row>
    <row r="1559" spans="26:26" x14ac:dyDescent="0.25">
      <c r="Z1559"/>
    </row>
    <row r="1560" spans="26:26" x14ac:dyDescent="0.25">
      <c r="Z1560"/>
    </row>
    <row r="1561" spans="26:26" x14ac:dyDescent="0.25">
      <c r="Z1561"/>
    </row>
    <row r="1562" spans="26:26" x14ac:dyDescent="0.25">
      <c r="Z1562"/>
    </row>
    <row r="1563" spans="26:26" x14ac:dyDescent="0.25">
      <c r="Z1563"/>
    </row>
    <row r="1564" spans="26:26" x14ac:dyDescent="0.25">
      <c r="Z1564"/>
    </row>
    <row r="1565" spans="26:26" x14ac:dyDescent="0.25">
      <c r="Z1565"/>
    </row>
    <row r="1566" spans="26:26" x14ac:dyDescent="0.25">
      <c r="Z1566"/>
    </row>
    <row r="1567" spans="26:26" x14ac:dyDescent="0.25">
      <c r="Z1567"/>
    </row>
    <row r="1568" spans="26:26" x14ac:dyDescent="0.25">
      <c r="Z1568"/>
    </row>
    <row r="1569" spans="26:26" x14ac:dyDescent="0.25">
      <c r="Z1569"/>
    </row>
    <row r="1570" spans="26:26" x14ac:dyDescent="0.25">
      <c r="Z1570"/>
    </row>
    <row r="1571" spans="26:26" x14ac:dyDescent="0.25">
      <c r="Z1571"/>
    </row>
    <row r="1572" spans="26:26" x14ac:dyDescent="0.25">
      <c r="Z1572"/>
    </row>
    <row r="1573" spans="26:26" x14ac:dyDescent="0.25">
      <c r="Z1573"/>
    </row>
    <row r="1574" spans="26:26" x14ac:dyDescent="0.25">
      <c r="Z1574"/>
    </row>
    <row r="1575" spans="26:26" x14ac:dyDescent="0.25">
      <c r="Z1575"/>
    </row>
    <row r="1576" spans="26:26" x14ac:dyDescent="0.25">
      <c r="Z1576"/>
    </row>
    <row r="1577" spans="26:26" x14ac:dyDescent="0.25">
      <c r="Z1577"/>
    </row>
    <row r="1578" spans="26:26" x14ac:dyDescent="0.25">
      <c r="Z1578"/>
    </row>
    <row r="1579" spans="26:26" x14ac:dyDescent="0.25">
      <c r="Z1579"/>
    </row>
    <row r="1580" spans="26:26" x14ac:dyDescent="0.25">
      <c r="Z1580"/>
    </row>
    <row r="1581" spans="26:26" x14ac:dyDescent="0.25">
      <c r="Z1581"/>
    </row>
    <row r="1582" spans="26:26" x14ac:dyDescent="0.25">
      <c r="Z1582"/>
    </row>
    <row r="1583" spans="26:26" x14ac:dyDescent="0.25">
      <c r="Z1583"/>
    </row>
    <row r="1584" spans="26:26" x14ac:dyDescent="0.25">
      <c r="Z1584"/>
    </row>
    <row r="1585" spans="26:26" x14ac:dyDescent="0.25">
      <c r="Z1585"/>
    </row>
    <row r="1586" spans="26:26" x14ac:dyDescent="0.25">
      <c r="Z1586"/>
    </row>
    <row r="1587" spans="26:26" x14ac:dyDescent="0.25">
      <c r="Z1587"/>
    </row>
    <row r="1588" spans="26:26" x14ac:dyDescent="0.25">
      <c r="Z1588"/>
    </row>
    <row r="1589" spans="26:26" x14ac:dyDescent="0.25">
      <c r="Z1589"/>
    </row>
    <row r="1590" spans="26:26" x14ac:dyDescent="0.25">
      <c r="Z1590"/>
    </row>
    <row r="1591" spans="26:26" x14ac:dyDescent="0.25">
      <c r="Z1591"/>
    </row>
    <row r="1592" spans="26:26" x14ac:dyDescent="0.25">
      <c r="Z1592"/>
    </row>
    <row r="1593" spans="26:26" x14ac:dyDescent="0.25">
      <c r="Z1593"/>
    </row>
    <row r="1594" spans="26:26" x14ac:dyDescent="0.25">
      <c r="Z1594"/>
    </row>
    <row r="1595" spans="26:26" x14ac:dyDescent="0.25">
      <c r="Z1595"/>
    </row>
    <row r="1596" spans="26:26" x14ac:dyDescent="0.25">
      <c r="Z1596"/>
    </row>
    <row r="1597" spans="26:26" x14ac:dyDescent="0.25">
      <c r="Z1597"/>
    </row>
    <row r="1598" spans="26:26" x14ac:dyDescent="0.25">
      <c r="Z1598"/>
    </row>
    <row r="1599" spans="26:26" x14ac:dyDescent="0.25">
      <c r="Z1599"/>
    </row>
    <row r="1600" spans="26:26" x14ac:dyDescent="0.25">
      <c r="Z1600"/>
    </row>
    <row r="1601" spans="26:26" x14ac:dyDescent="0.25">
      <c r="Z1601"/>
    </row>
    <row r="1602" spans="26:26" x14ac:dyDescent="0.25">
      <c r="Z1602"/>
    </row>
    <row r="1603" spans="26:26" x14ac:dyDescent="0.25">
      <c r="Z1603"/>
    </row>
    <row r="1604" spans="26:26" x14ac:dyDescent="0.25">
      <c r="Z1604"/>
    </row>
    <row r="1605" spans="26:26" x14ac:dyDescent="0.25">
      <c r="Z1605"/>
    </row>
    <row r="1606" spans="26:26" x14ac:dyDescent="0.25">
      <c r="Z1606"/>
    </row>
    <row r="1607" spans="26:26" x14ac:dyDescent="0.25">
      <c r="Z1607"/>
    </row>
    <row r="1608" spans="26:26" x14ac:dyDescent="0.25">
      <c r="Z1608"/>
    </row>
    <row r="1609" spans="26:26" x14ac:dyDescent="0.25">
      <c r="Z1609"/>
    </row>
    <row r="1610" spans="26:26" x14ac:dyDescent="0.25">
      <c r="Z1610"/>
    </row>
    <row r="1611" spans="26:26" x14ac:dyDescent="0.25">
      <c r="Z1611"/>
    </row>
    <row r="1612" spans="26:26" x14ac:dyDescent="0.25">
      <c r="Z1612"/>
    </row>
    <row r="1613" spans="26:26" x14ac:dyDescent="0.25">
      <c r="Z1613"/>
    </row>
    <row r="1614" spans="26:26" x14ac:dyDescent="0.25">
      <c r="Z1614"/>
    </row>
    <row r="1615" spans="26:26" x14ac:dyDescent="0.25">
      <c r="Z1615"/>
    </row>
    <row r="1616" spans="26:26" x14ac:dyDescent="0.25">
      <c r="Z1616"/>
    </row>
    <row r="1617" spans="26:26" x14ac:dyDescent="0.25">
      <c r="Z1617"/>
    </row>
    <row r="1618" spans="26:26" x14ac:dyDescent="0.25">
      <c r="Z1618"/>
    </row>
    <row r="1619" spans="26:26" x14ac:dyDescent="0.25">
      <c r="Z1619"/>
    </row>
    <row r="1620" spans="26:26" x14ac:dyDescent="0.25">
      <c r="Z1620"/>
    </row>
    <row r="1621" spans="26:26" x14ac:dyDescent="0.25">
      <c r="Z1621"/>
    </row>
    <row r="1622" spans="26:26" x14ac:dyDescent="0.25">
      <c r="Z1622"/>
    </row>
    <row r="1623" spans="26:26" x14ac:dyDescent="0.25">
      <c r="Z1623"/>
    </row>
    <row r="1624" spans="26:26" x14ac:dyDescent="0.25">
      <c r="Z1624"/>
    </row>
    <row r="1625" spans="26:26" x14ac:dyDescent="0.25">
      <c r="Z1625"/>
    </row>
    <row r="1626" spans="26:26" x14ac:dyDescent="0.25">
      <c r="Z1626"/>
    </row>
    <row r="1627" spans="26:26" x14ac:dyDescent="0.25">
      <c r="Z1627"/>
    </row>
    <row r="1628" spans="26:26" x14ac:dyDescent="0.25">
      <c r="Z1628"/>
    </row>
    <row r="1629" spans="26:26" x14ac:dyDescent="0.25">
      <c r="Z1629"/>
    </row>
    <row r="1630" spans="26:26" x14ac:dyDescent="0.25">
      <c r="Z1630"/>
    </row>
    <row r="1631" spans="26:26" x14ac:dyDescent="0.25">
      <c r="Z1631"/>
    </row>
    <row r="1632" spans="26:26" x14ac:dyDescent="0.25">
      <c r="Z1632"/>
    </row>
    <row r="1633" spans="26:26" x14ac:dyDescent="0.25">
      <c r="Z1633"/>
    </row>
    <row r="1634" spans="26:26" x14ac:dyDescent="0.25">
      <c r="Z1634"/>
    </row>
    <row r="1635" spans="26:26" x14ac:dyDescent="0.25">
      <c r="Z1635"/>
    </row>
    <row r="1636" spans="26:26" x14ac:dyDescent="0.25">
      <c r="Z1636"/>
    </row>
    <row r="1637" spans="26:26" x14ac:dyDescent="0.25">
      <c r="Z1637"/>
    </row>
    <row r="1638" spans="26:26" x14ac:dyDescent="0.25">
      <c r="Z1638"/>
    </row>
    <row r="1639" spans="26:26" x14ac:dyDescent="0.25">
      <c r="Z1639"/>
    </row>
    <row r="1640" spans="26:26" x14ac:dyDescent="0.25">
      <c r="Z1640"/>
    </row>
    <row r="1641" spans="26:26" x14ac:dyDescent="0.25">
      <c r="Z1641"/>
    </row>
    <row r="1642" spans="26:26" x14ac:dyDescent="0.25">
      <c r="Z1642"/>
    </row>
    <row r="1643" spans="26:26" x14ac:dyDescent="0.25">
      <c r="Z1643"/>
    </row>
    <row r="1644" spans="26:26" x14ac:dyDescent="0.25">
      <c r="Z1644"/>
    </row>
    <row r="1645" spans="26:26" x14ac:dyDescent="0.25">
      <c r="Z1645"/>
    </row>
    <row r="1646" spans="26:26" x14ac:dyDescent="0.25">
      <c r="Z1646"/>
    </row>
    <row r="1647" spans="26:26" x14ac:dyDescent="0.25">
      <c r="Z1647"/>
    </row>
    <row r="1648" spans="26:26" x14ac:dyDescent="0.25">
      <c r="Z1648"/>
    </row>
    <row r="1649" spans="26:26" x14ac:dyDescent="0.25">
      <c r="Z1649"/>
    </row>
    <row r="1650" spans="26:26" x14ac:dyDescent="0.25">
      <c r="Z1650"/>
    </row>
    <row r="1651" spans="26:26" x14ac:dyDescent="0.25">
      <c r="Z1651"/>
    </row>
    <row r="1652" spans="26:26" x14ac:dyDescent="0.25">
      <c r="Z1652"/>
    </row>
    <row r="1653" spans="26:26" x14ac:dyDescent="0.25">
      <c r="Z1653"/>
    </row>
    <row r="1654" spans="26:26" x14ac:dyDescent="0.25">
      <c r="Z1654"/>
    </row>
    <row r="1655" spans="26:26" x14ac:dyDescent="0.25">
      <c r="Z1655"/>
    </row>
    <row r="1656" spans="26:26" x14ac:dyDescent="0.25">
      <c r="Z1656"/>
    </row>
    <row r="1657" spans="26:26" x14ac:dyDescent="0.25">
      <c r="Z1657"/>
    </row>
    <row r="1658" spans="26:26" x14ac:dyDescent="0.25">
      <c r="Z1658"/>
    </row>
    <row r="1659" spans="26:26" x14ac:dyDescent="0.25">
      <c r="Z1659"/>
    </row>
    <row r="1660" spans="26:26" x14ac:dyDescent="0.25">
      <c r="Z1660"/>
    </row>
    <row r="1661" spans="26:26" x14ac:dyDescent="0.25">
      <c r="Z1661"/>
    </row>
    <row r="1662" spans="26:26" x14ac:dyDescent="0.25">
      <c r="Z1662"/>
    </row>
    <row r="1663" spans="26:26" x14ac:dyDescent="0.25">
      <c r="Z1663"/>
    </row>
    <row r="1664" spans="26:26" x14ac:dyDescent="0.25">
      <c r="Z1664"/>
    </row>
    <row r="1665" spans="26:26" x14ac:dyDescent="0.25">
      <c r="Z1665"/>
    </row>
    <row r="1666" spans="26:26" x14ac:dyDescent="0.25">
      <c r="Z1666"/>
    </row>
    <row r="1667" spans="26:26" x14ac:dyDescent="0.25">
      <c r="Z1667"/>
    </row>
    <row r="1668" spans="26:26" x14ac:dyDescent="0.25">
      <c r="Z1668"/>
    </row>
    <row r="1669" spans="26:26" x14ac:dyDescent="0.25">
      <c r="Z1669"/>
    </row>
    <row r="1670" spans="26:26" x14ac:dyDescent="0.25">
      <c r="Z1670"/>
    </row>
    <row r="1671" spans="26:26" x14ac:dyDescent="0.25">
      <c r="Z1671"/>
    </row>
    <row r="1672" spans="26:26" x14ac:dyDescent="0.25">
      <c r="Z1672"/>
    </row>
    <row r="1673" spans="26:26" x14ac:dyDescent="0.25">
      <c r="Z1673"/>
    </row>
    <row r="1674" spans="26:26" x14ac:dyDescent="0.25">
      <c r="Z1674"/>
    </row>
    <row r="1675" spans="26:26" x14ac:dyDescent="0.25">
      <c r="Z1675"/>
    </row>
    <row r="1676" spans="26:26" x14ac:dyDescent="0.25">
      <c r="Z1676"/>
    </row>
    <row r="1677" spans="26:26" x14ac:dyDescent="0.25">
      <c r="Z1677"/>
    </row>
    <row r="1678" spans="26:26" x14ac:dyDescent="0.25">
      <c r="Z1678"/>
    </row>
    <row r="1679" spans="26:26" x14ac:dyDescent="0.25">
      <c r="Z1679"/>
    </row>
    <row r="1680" spans="26:26" x14ac:dyDescent="0.25">
      <c r="Z1680"/>
    </row>
    <row r="1681" spans="26:26" x14ac:dyDescent="0.25">
      <c r="Z1681"/>
    </row>
    <row r="1682" spans="26:26" x14ac:dyDescent="0.25">
      <c r="Z1682"/>
    </row>
    <row r="1683" spans="26:26" x14ac:dyDescent="0.25">
      <c r="Z1683"/>
    </row>
    <row r="1684" spans="26:26" x14ac:dyDescent="0.25">
      <c r="Z1684"/>
    </row>
    <row r="1685" spans="26:26" x14ac:dyDescent="0.25">
      <c r="Z1685"/>
    </row>
    <row r="1686" spans="26:26" x14ac:dyDescent="0.25">
      <c r="Z1686"/>
    </row>
    <row r="1687" spans="26:26" x14ac:dyDescent="0.25">
      <c r="Z1687"/>
    </row>
    <row r="1688" spans="26:26" x14ac:dyDescent="0.25">
      <c r="Z1688"/>
    </row>
    <row r="1689" spans="26:26" x14ac:dyDescent="0.25">
      <c r="Z1689"/>
    </row>
    <row r="1690" spans="26:26" x14ac:dyDescent="0.25">
      <c r="Z1690"/>
    </row>
    <row r="1691" spans="26:26" x14ac:dyDescent="0.25">
      <c r="Z1691"/>
    </row>
    <row r="1692" spans="26:26" x14ac:dyDescent="0.25">
      <c r="Z1692"/>
    </row>
    <row r="1693" spans="26:26" x14ac:dyDescent="0.25">
      <c r="Z1693"/>
    </row>
    <row r="1694" spans="26:26" x14ac:dyDescent="0.25">
      <c r="Z1694"/>
    </row>
    <row r="1695" spans="26:26" x14ac:dyDescent="0.25">
      <c r="Z1695"/>
    </row>
    <row r="1696" spans="26:26" x14ac:dyDescent="0.25">
      <c r="Z1696"/>
    </row>
    <row r="1697" spans="26:26" x14ac:dyDescent="0.25">
      <c r="Z1697"/>
    </row>
    <row r="1698" spans="26:26" x14ac:dyDescent="0.25">
      <c r="Z1698"/>
    </row>
    <row r="1699" spans="26:26" x14ac:dyDescent="0.25">
      <c r="Z1699"/>
    </row>
    <row r="1700" spans="26:26" x14ac:dyDescent="0.25">
      <c r="Z1700"/>
    </row>
    <row r="1701" spans="26:26" x14ac:dyDescent="0.25">
      <c r="Z1701"/>
    </row>
    <row r="1702" spans="26:26" x14ac:dyDescent="0.25">
      <c r="Z1702"/>
    </row>
    <row r="1703" spans="26:26" x14ac:dyDescent="0.25">
      <c r="Z1703"/>
    </row>
    <row r="1704" spans="26:26" x14ac:dyDescent="0.25">
      <c r="Z1704"/>
    </row>
    <row r="1705" spans="26:26" x14ac:dyDescent="0.25">
      <c r="Z1705"/>
    </row>
    <row r="1706" spans="26:26" x14ac:dyDescent="0.25">
      <c r="Z1706"/>
    </row>
    <row r="1707" spans="26:26" x14ac:dyDescent="0.25">
      <c r="Z1707"/>
    </row>
    <row r="1708" spans="26:26" x14ac:dyDescent="0.25">
      <c r="Z1708"/>
    </row>
    <row r="1709" spans="26:26" x14ac:dyDescent="0.25">
      <c r="Z1709"/>
    </row>
    <row r="1710" spans="26:26" x14ac:dyDescent="0.25">
      <c r="Z1710"/>
    </row>
    <row r="1711" spans="26:26" x14ac:dyDescent="0.25">
      <c r="Z1711"/>
    </row>
    <row r="1712" spans="26:26" x14ac:dyDescent="0.25">
      <c r="Z1712"/>
    </row>
    <row r="1713" spans="26:26" x14ac:dyDescent="0.25">
      <c r="Z1713"/>
    </row>
    <row r="1714" spans="26:26" x14ac:dyDescent="0.25">
      <c r="Z1714"/>
    </row>
    <row r="1715" spans="26:26" x14ac:dyDescent="0.25">
      <c r="Z1715"/>
    </row>
    <row r="1716" spans="26:26" x14ac:dyDescent="0.25">
      <c r="Z1716"/>
    </row>
    <row r="1717" spans="26:26" x14ac:dyDescent="0.25">
      <c r="Z1717"/>
    </row>
    <row r="1718" spans="26:26" x14ac:dyDescent="0.25">
      <c r="Z1718"/>
    </row>
    <row r="1719" spans="26:26" x14ac:dyDescent="0.25">
      <c r="Z1719"/>
    </row>
    <row r="1720" spans="26:26" x14ac:dyDescent="0.25">
      <c r="Z1720"/>
    </row>
    <row r="1721" spans="26:26" x14ac:dyDescent="0.25">
      <c r="Z1721"/>
    </row>
    <row r="1722" spans="26:26" x14ac:dyDescent="0.25">
      <c r="Z1722"/>
    </row>
    <row r="1723" spans="26:26" x14ac:dyDescent="0.25">
      <c r="Z1723"/>
    </row>
    <row r="1724" spans="26:26" x14ac:dyDescent="0.25">
      <c r="Z1724"/>
    </row>
    <row r="1725" spans="26:26" x14ac:dyDescent="0.25">
      <c r="Z1725"/>
    </row>
    <row r="1726" spans="26:26" x14ac:dyDescent="0.25">
      <c r="Z1726"/>
    </row>
    <row r="1727" spans="26:26" x14ac:dyDescent="0.25">
      <c r="Z1727"/>
    </row>
    <row r="1728" spans="26:26" x14ac:dyDescent="0.25">
      <c r="Z1728"/>
    </row>
    <row r="1729" spans="26:26" x14ac:dyDescent="0.25">
      <c r="Z1729"/>
    </row>
    <row r="1730" spans="26:26" x14ac:dyDescent="0.25">
      <c r="Z1730"/>
    </row>
    <row r="1731" spans="26:26" x14ac:dyDescent="0.25">
      <c r="Z1731"/>
    </row>
    <row r="1732" spans="26:26" x14ac:dyDescent="0.25">
      <c r="Z1732"/>
    </row>
    <row r="1733" spans="26:26" x14ac:dyDescent="0.25">
      <c r="Z1733"/>
    </row>
    <row r="1734" spans="26:26" x14ac:dyDescent="0.25">
      <c r="Z1734"/>
    </row>
    <row r="1735" spans="26:26" x14ac:dyDescent="0.25">
      <c r="Z1735"/>
    </row>
    <row r="1736" spans="26:26" x14ac:dyDescent="0.25">
      <c r="Z1736"/>
    </row>
    <row r="1737" spans="26:26" x14ac:dyDescent="0.25">
      <c r="Z1737"/>
    </row>
    <row r="1738" spans="26:26" x14ac:dyDescent="0.25">
      <c r="Z1738"/>
    </row>
    <row r="1739" spans="26:26" x14ac:dyDescent="0.25">
      <c r="Z1739"/>
    </row>
    <row r="1740" spans="26:26" x14ac:dyDescent="0.25">
      <c r="Z1740"/>
    </row>
    <row r="1741" spans="26:26" x14ac:dyDescent="0.25">
      <c r="Z1741"/>
    </row>
    <row r="1742" spans="26:26" x14ac:dyDescent="0.25">
      <c r="Z1742"/>
    </row>
    <row r="1743" spans="26:26" x14ac:dyDescent="0.25">
      <c r="Z1743"/>
    </row>
    <row r="1744" spans="26:26" x14ac:dyDescent="0.25">
      <c r="Z1744"/>
    </row>
    <row r="1745" spans="26:26" x14ac:dyDescent="0.25">
      <c r="Z1745"/>
    </row>
    <row r="1746" spans="26:26" x14ac:dyDescent="0.25">
      <c r="Z1746"/>
    </row>
    <row r="1747" spans="26:26" x14ac:dyDescent="0.25">
      <c r="Z1747"/>
    </row>
    <row r="1748" spans="26:26" x14ac:dyDescent="0.25">
      <c r="Z1748"/>
    </row>
    <row r="1749" spans="26:26" x14ac:dyDescent="0.25">
      <c r="Z1749"/>
    </row>
    <row r="1750" spans="26:26" x14ac:dyDescent="0.25">
      <c r="Z1750"/>
    </row>
    <row r="1751" spans="26:26" x14ac:dyDescent="0.25">
      <c r="Z1751"/>
    </row>
    <row r="1752" spans="26:26" x14ac:dyDescent="0.25">
      <c r="Z1752"/>
    </row>
    <row r="1753" spans="26:26" x14ac:dyDescent="0.25">
      <c r="Z1753"/>
    </row>
    <row r="1754" spans="26:26" x14ac:dyDescent="0.25">
      <c r="Z1754"/>
    </row>
    <row r="1755" spans="26:26" x14ac:dyDescent="0.25">
      <c r="Z1755"/>
    </row>
    <row r="1756" spans="26:26" x14ac:dyDescent="0.25">
      <c r="Z1756"/>
    </row>
    <row r="1757" spans="26:26" x14ac:dyDescent="0.25">
      <c r="Z1757"/>
    </row>
    <row r="1758" spans="26:26" x14ac:dyDescent="0.25">
      <c r="Z1758"/>
    </row>
    <row r="1759" spans="26:26" x14ac:dyDescent="0.25">
      <c r="Z1759"/>
    </row>
    <row r="1760" spans="26:26" x14ac:dyDescent="0.25">
      <c r="Z1760"/>
    </row>
    <row r="1761" spans="26:26" x14ac:dyDescent="0.25">
      <c r="Z1761"/>
    </row>
    <row r="1762" spans="26:26" x14ac:dyDescent="0.25">
      <c r="Z1762"/>
    </row>
    <row r="1763" spans="26:26" x14ac:dyDescent="0.25">
      <c r="Z1763"/>
    </row>
    <row r="1764" spans="26:26" x14ac:dyDescent="0.25">
      <c r="Z1764"/>
    </row>
    <row r="1765" spans="26:26" x14ac:dyDescent="0.25">
      <c r="Z1765"/>
    </row>
    <row r="1766" spans="26:26" x14ac:dyDescent="0.25">
      <c r="Z1766"/>
    </row>
    <row r="1767" spans="26:26" x14ac:dyDescent="0.25">
      <c r="Z1767"/>
    </row>
    <row r="1768" spans="26:26" x14ac:dyDescent="0.25">
      <c r="Z1768"/>
    </row>
    <row r="1769" spans="26:26" x14ac:dyDescent="0.25">
      <c r="Z1769"/>
    </row>
    <row r="1770" spans="26:26" x14ac:dyDescent="0.25">
      <c r="Z1770"/>
    </row>
    <row r="1771" spans="26:26" x14ac:dyDescent="0.25">
      <c r="Z1771"/>
    </row>
    <row r="1772" spans="26:26" x14ac:dyDescent="0.25">
      <c r="Z1772"/>
    </row>
    <row r="1773" spans="26:26" x14ac:dyDescent="0.25">
      <c r="Z1773"/>
    </row>
    <row r="1774" spans="26:26" x14ac:dyDescent="0.25">
      <c r="Z1774"/>
    </row>
    <row r="1775" spans="26:26" x14ac:dyDescent="0.25">
      <c r="Z1775"/>
    </row>
    <row r="1776" spans="26:26" x14ac:dyDescent="0.25">
      <c r="Z1776"/>
    </row>
    <row r="1777" spans="26:26" x14ac:dyDescent="0.25">
      <c r="Z1777"/>
    </row>
    <row r="1778" spans="26:26" x14ac:dyDescent="0.25">
      <c r="Z1778"/>
    </row>
    <row r="1779" spans="26:26" x14ac:dyDescent="0.25">
      <c r="Z1779"/>
    </row>
    <row r="1780" spans="26:26" x14ac:dyDescent="0.25">
      <c r="Z1780"/>
    </row>
    <row r="1781" spans="26:26" x14ac:dyDescent="0.25">
      <c r="Z1781"/>
    </row>
    <row r="1782" spans="26:26" x14ac:dyDescent="0.25">
      <c r="Z1782"/>
    </row>
    <row r="1783" spans="26:26" x14ac:dyDescent="0.25">
      <c r="Z1783"/>
    </row>
    <row r="1784" spans="26:26" x14ac:dyDescent="0.25">
      <c r="Z1784"/>
    </row>
    <row r="1785" spans="26:26" x14ac:dyDescent="0.25">
      <c r="Z1785"/>
    </row>
    <row r="1786" spans="26:26" x14ac:dyDescent="0.25">
      <c r="Z1786"/>
    </row>
    <row r="1787" spans="26:26" x14ac:dyDescent="0.25">
      <c r="Z1787"/>
    </row>
    <row r="1788" spans="26:26" x14ac:dyDescent="0.25">
      <c r="Z1788"/>
    </row>
    <row r="1789" spans="26:26" x14ac:dyDescent="0.25">
      <c r="Z1789"/>
    </row>
    <row r="1790" spans="26:26" x14ac:dyDescent="0.25">
      <c r="Z1790"/>
    </row>
    <row r="1791" spans="26:26" x14ac:dyDescent="0.25">
      <c r="Z1791"/>
    </row>
    <row r="1792" spans="26:26" x14ac:dyDescent="0.25">
      <c r="Z1792"/>
    </row>
    <row r="1793" spans="26:26" x14ac:dyDescent="0.25">
      <c r="Z1793"/>
    </row>
    <row r="1794" spans="26:26" x14ac:dyDescent="0.25">
      <c r="Z1794"/>
    </row>
    <row r="1795" spans="26:26" x14ac:dyDescent="0.25">
      <c r="Z1795"/>
    </row>
    <row r="1796" spans="26:26" x14ac:dyDescent="0.25">
      <c r="Z1796"/>
    </row>
    <row r="1797" spans="26:26" x14ac:dyDescent="0.25">
      <c r="Z1797"/>
    </row>
    <row r="1798" spans="26:26" x14ac:dyDescent="0.25">
      <c r="Z1798"/>
    </row>
    <row r="1799" spans="26:26" x14ac:dyDescent="0.25">
      <c r="Z1799"/>
    </row>
    <row r="1800" spans="26:26" x14ac:dyDescent="0.25">
      <c r="Z1800"/>
    </row>
    <row r="1801" spans="26:26" x14ac:dyDescent="0.25">
      <c r="Z1801"/>
    </row>
    <row r="1802" spans="26:26" x14ac:dyDescent="0.25">
      <c r="Z1802"/>
    </row>
    <row r="1803" spans="26:26" x14ac:dyDescent="0.25">
      <c r="Z1803"/>
    </row>
    <row r="1804" spans="26:26" x14ac:dyDescent="0.25">
      <c r="Z1804"/>
    </row>
    <row r="1805" spans="26:26" x14ac:dyDescent="0.25">
      <c r="Z1805"/>
    </row>
    <row r="1806" spans="26:26" x14ac:dyDescent="0.25">
      <c r="Z1806"/>
    </row>
    <row r="1807" spans="26:26" x14ac:dyDescent="0.25">
      <c r="Z1807"/>
    </row>
    <row r="1808" spans="26:26" x14ac:dyDescent="0.25">
      <c r="Z1808"/>
    </row>
    <row r="1809" spans="26:26" x14ac:dyDescent="0.25">
      <c r="Z1809"/>
    </row>
    <row r="1810" spans="26:26" x14ac:dyDescent="0.25">
      <c r="Z1810"/>
    </row>
    <row r="1811" spans="26:26" x14ac:dyDescent="0.25">
      <c r="Z1811"/>
    </row>
    <row r="1812" spans="26:26" x14ac:dyDescent="0.25">
      <c r="Z1812"/>
    </row>
    <row r="1813" spans="26:26" x14ac:dyDescent="0.25">
      <c r="Z1813"/>
    </row>
    <row r="1814" spans="26:26" x14ac:dyDescent="0.25">
      <c r="Z1814"/>
    </row>
    <row r="1815" spans="26:26" x14ac:dyDescent="0.25">
      <c r="Z1815"/>
    </row>
    <row r="1816" spans="26:26" x14ac:dyDescent="0.25">
      <c r="Z1816"/>
    </row>
    <row r="1817" spans="26:26" x14ac:dyDescent="0.25">
      <c r="Z1817"/>
    </row>
    <row r="1818" spans="26:26" x14ac:dyDescent="0.25">
      <c r="Z1818"/>
    </row>
    <row r="1819" spans="26:26" x14ac:dyDescent="0.25">
      <c r="Z1819"/>
    </row>
    <row r="1820" spans="26:26" x14ac:dyDescent="0.25">
      <c r="Z1820"/>
    </row>
    <row r="1821" spans="26:26" x14ac:dyDescent="0.25">
      <c r="Z1821"/>
    </row>
    <row r="1822" spans="26:26" x14ac:dyDescent="0.25">
      <c r="Z1822"/>
    </row>
    <row r="1823" spans="26:26" x14ac:dyDescent="0.25">
      <c r="Z1823"/>
    </row>
    <row r="1824" spans="26:26" x14ac:dyDescent="0.25">
      <c r="Z1824"/>
    </row>
    <row r="1825" spans="26:26" x14ac:dyDescent="0.25">
      <c r="Z1825"/>
    </row>
    <row r="1826" spans="26:26" x14ac:dyDescent="0.25">
      <c r="Z1826"/>
    </row>
    <row r="1827" spans="26:26" x14ac:dyDescent="0.25">
      <c r="Z1827"/>
    </row>
    <row r="1828" spans="26:26" x14ac:dyDescent="0.25">
      <c r="Z1828"/>
    </row>
    <row r="1829" spans="26:26" x14ac:dyDescent="0.25">
      <c r="Z1829"/>
    </row>
    <row r="1830" spans="26:26" x14ac:dyDescent="0.25">
      <c r="Z1830"/>
    </row>
    <row r="1831" spans="26:26" x14ac:dyDescent="0.25">
      <c r="Z1831"/>
    </row>
    <row r="1832" spans="26:26" x14ac:dyDescent="0.25">
      <c r="Z1832"/>
    </row>
    <row r="1833" spans="26:26" x14ac:dyDescent="0.25">
      <c r="Z1833"/>
    </row>
    <row r="1834" spans="26:26" x14ac:dyDescent="0.25">
      <c r="Z1834"/>
    </row>
    <row r="1835" spans="26:26" x14ac:dyDescent="0.25">
      <c r="Z1835"/>
    </row>
    <row r="1836" spans="26:26" x14ac:dyDescent="0.25">
      <c r="Z1836"/>
    </row>
    <row r="1837" spans="26:26" x14ac:dyDescent="0.25">
      <c r="Z1837"/>
    </row>
    <row r="1838" spans="26:26" x14ac:dyDescent="0.25">
      <c r="Z1838"/>
    </row>
    <row r="1839" spans="26:26" x14ac:dyDescent="0.25">
      <c r="Z1839"/>
    </row>
    <row r="1840" spans="26:26" x14ac:dyDescent="0.25">
      <c r="Z1840"/>
    </row>
    <row r="1841" spans="26:26" x14ac:dyDescent="0.25">
      <c r="Z1841"/>
    </row>
    <row r="1842" spans="26:26" x14ac:dyDescent="0.25">
      <c r="Z1842"/>
    </row>
    <row r="1843" spans="26:26" x14ac:dyDescent="0.25">
      <c r="Z1843"/>
    </row>
    <row r="1844" spans="26:26" x14ac:dyDescent="0.25">
      <c r="Z1844"/>
    </row>
    <row r="1845" spans="26:26" x14ac:dyDescent="0.25">
      <c r="Z1845"/>
    </row>
    <row r="1846" spans="26:26" x14ac:dyDescent="0.25">
      <c r="Z1846"/>
    </row>
    <row r="1847" spans="26:26" x14ac:dyDescent="0.25">
      <c r="Z1847"/>
    </row>
    <row r="1848" spans="26:26" x14ac:dyDescent="0.25">
      <c r="Z1848"/>
    </row>
    <row r="1849" spans="26:26" x14ac:dyDescent="0.25">
      <c r="Z1849"/>
    </row>
    <row r="1850" spans="26:26" x14ac:dyDescent="0.25">
      <c r="Z1850"/>
    </row>
    <row r="1851" spans="26:26" x14ac:dyDescent="0.25">
      <c r="Z1851"/>
    </row>
    <row r="1852" spans="26:26" x14ac:dyDescent="0.25">
      <c r="Z1852"/>
    </row>
    <row r="1853" spans="26:26" x14ac:dyDescent="0.25">
      <c r="Z1853"/>
    </row>
    <row r="1854" spans="26:26" x14ac:dyDescent="0.25">
      <c r="Z1854"/>
    </row>
    <row r="1855" spans="26:26" x14ac:dyDescent="0.25">
      <c r="Z1855"/>
    </row>
    <row r="1856" spans="26:26" x14ac:dyDescent="0.25">
      <c r="Z1856"/>
    </row>
    <row r="1857" spans="26:26" x14ac:dyDescent="0.25">
      <c r="Z1857"/>
    </row>
    <row r="1858" spans="26:26" x14ac:dyDescent="0.25">
      <c r="Z1858"/>
    </row>
    <row r="1859" spans="26:26" x14ac:dyDescent="0.25">
      <c r="Z1859"/>
    </row>
    <row r="1860" spans="26:26" x14ac:dyDescent="0.25">
      <c r="Z1860"/>
    </row>
    <row r="1861" spans="26:26" x14ac:dyDescent="0.25">
      <c r="Z1861"/>
    </row>
    <row r="1862" spans="26:26" x14ac:dyDescent="0.25">
      <c r="Z1862"/>
    </row>
    <row r="1863" spans="26:26" x14ac:dyDescent="0.25">
      <c r="Z1863"/>
    </row>
    <row r="1864" spans="26:26" x14ac:dyDescent="0.25">
      <c r="Z1864"/>
    </row>
    <row r="1865" spans="26:26" x14ac:dyDescent="0.25">
      <c r="Z1865"/>
    </row>
    <row r="1866" spans="26:26" x14ac:dyDescent="0.25">
      <c r="Z1866"/>
    </row>
    <row r="1867" spans="26:26" x14ac:dyDescent="0.25">
      <c r="Z1867"/>
    </row>
    <row r="1868" spans="26:26" x14ac:dyDescent="0.25">
      <c r="Z1868"/>
    </row>
    <row r="1869" spans="26:26" x14ac:dyDescent="0.25">
      <c r="Z1869"/>
    </row>
    <row r="1870" spans="26:26" x14ac:dyDescent="0.25">
      <c r="Z1870"/>
    </row>
    <row r="1871" spans="26:26" x14ac:dyDescent="0.25">
      <c r="Z1871"/>
    </row>
    <row r="1872" spans="26:26" x14ac:dyDescent="0.25">
      <c r="Z1872"/>
    </row>
    <row r="1873" spans="26:26" x14ac:dyDescent="0.25">
      <c r="Z1873"/>
    </row>
    <row r="1874" spans="26:26" x14ac:dyDescent="0.25">
      <c r="Z1874"/>
    </row>
    <row r="1875" spans="26:26" x14ac:dyDescent="0.25">
      <c r="Z1875"/>
    </row>
    <row r="1876" spans="26:26" x14ac:dyDescent="0.25">
      <c r="Z1876"/>
    </row>
    <row r="1877" spans="26:26" x14ac:dyDescent="0.25">
      <c r="Z1877"/>
    </row>
    <row r="1878" spans="26:26" x14ac:dyDescent="0.25">
      <c r="Z1878"/>
    </row>
    <row r="1879" spans="26:26" x14ac:dyDescent="0.25">
      <c r="Z1879"/>
    </row>
    <row r="1880" spans="26:26" x14ac:dyDescent="0.25">
      <c r="Z1880"/>
    </row>
    <row r="1881" spans="26:26" x14ac:dyDescent="0.25">
      <c r="Z1881"/>
    </row>
    <row r="1882" spans="26:26" x14ac:dyDescent="0.25">
      <c r="Z1882"/>
    </row>
    <row r="1883" spans="26:26" x14ac:dyDescent="0.25">
      <c r="Z1883"/>
    </row>
    <row r="1884" spans="26:26" x14ac:dyDescent="0.25">
      <c r="Z1884"/>
    </row>
    <row r="1885" spans="26:26" x14ac:dyDescent="0.25">
      <c r="Z1885"/>
    </row>
    <row r="1886" spans="26:26" x14ac:dyDescent="0.25">
      <c r="Z1886"/>
    </row>
    <row r="1887" spans="26:26" x14ac:dyDescent="0.25">
      <c r="Z1887"/>
    </row>
    <row r="1888" spans="26:26" x14ac:dyDescent="0.25">
      <c r="Z1888"/>
    </row>
    <row r="1889" spans="26:26" x14ac:dyDescent="0.25">
      <c r="Z1889"/>
    </row>
    <row r="1890" spans="26:26" x14ac:dyDescent="0.25">
      <c r="Z1890"/>
    </row>
    <row r="1891" spans="26:26" x14ac:dyDescent="0.25">
      <c r="Z1891"/>
    </row>
    <row r="1892" spans="26:26" x14ac:dyDescent="0.25">
      <c r="Z1892"/>
    </row>
    <row r="1893" spans="26:26" x14ac:dyDescent="0.25">
      <c r="Z1893"/>
    </row>
    <row r="1894" spans="26:26" x14ac:dyDescent="0.25">
      <c r="Z1894"/>
    </row>
    <row r="1895" spans="26:26" x14ac:dyDescent="0.25">
      <c r="Z1895"/>
    </row>
    <row r="1896" spans="26:26" x14ac:dyDescent="0.25">
      <c r="Z1896"/>
    </row>
    <row r="1897" spans="26:26" x14ac:dyDescent="0.25">
      <c r="Z1897"/>
    </row>
    <row r="1898" spans="26:26" x14ac:dyDescent="0.25">
      <c r="Z1898"/>
    </row>
    <row r="1899" spans="26:26" x14ac:dyDescent="0.25">
      <c r="Z1899"/>
    </row>
    <row r="1900" spans="26:26" x14ac:dyDescent="0.25">
      <c r="Z1900"/>
    </row>
    <row r="1901" spans="26:26" x14ac:dyDescent="0.25">
      <c r="Z1901"/>
    </row>
    <row r="1902" spans="26:26" x14ac:dyDescent="0.25">
      <c r="Z1902"/>
    </row>
    <row r="1903" spans="26:26" x14ac:dyDescent="0.25">
      <c r="Z1903"/>
    </row>
    <row r="1904" spans="26:26" x14ac:dyDescent="0.25">
      <c r="Z1904"/>
    </row>
    <row r="1905" spans="26:26" x14ac:dyDescent="0.25">
      <c r="Z1905"/>
    </row>
    <row r="1906" spans="26:26" x14ac:dyDescent="0.25">
      <c r="Z1906"/>
    </row>
    <row r="1907" spans="26:26" x14ac:dyDescent="0.25">
      <c r="Z1907"/>
    </row>
    <row r="1908" spans="26:26" x14ac:dyDescent="0.25">
      <c r="Z1908"/>
    </row>
    <row r="1909" spans="26:26" x14ac:dyDescent="0.25">
      <c r="Z1909"/>
    </row>
    <row r="1910" spans="26:26" x14ac:dyDescent="0.25">
      <c r="Z1910"/>
    </row>
    <row r="1911" spans="26:26" x14ac:dyDescent="0.25">
      <c r="Z1911"/>
    </row>
    <row r="1912" spans="26:26" x14ac:dyDescent="0.25">
      <c r="Z1912"/>
    </row>
    <row r="1913" spans="26:26" x14ac:dyDescent="0.25">
      <c r="Z1913"/>
    </row>
    <row r="1914" spans="26:26" x14ac:dyDescent="0.25">
      <c r="Z1914"/>
    </row>
    <row r="1915" spans="26:26" x14ac:dyDescent="0.25">
      <c r="Z1915"/>
    </row>
    <row r="1916" spans="26:26" x14ac:dyDescent="0.25">
      <c r="Z1916"/>
    </row>
    <row r="1917" spans="26:26" x14ac:dyDescent="0.25">
      <c r="Z1917"/>
    </row>
    <row r="1918" spans="26:26" x14ac:dyDescent="0.25">
      <c r="Z1918"/>
    </row>
    <row r="1919" spans="26:26" x14ac:dyDescent="0.25">
      <c r="Z1919"/>
    </row>
    <row r="1920" spans="26:26" x14ac:dyDescent="0.25">
      <c r="Z1920"/>
    </row>
    <row r="1921" spans="26:26" x14ac:dyDescent="0.25">
      <c r="Z1921"/>
    </row>
    <row r="1922" spans="26:26" x14ac:dyDescent="0.25">
      <c r="Z1922"/>
    </row>
    <row r="1923" spans="26:26" x14ac:dyDescent="0.25">
      <c r="Z1923"/>
    </row>
    <row r="1924" spans="26:26" x14ac:dyDescent="0.25">
      <c r="Z1924"/>
    </row>
    <row r="1925" spans="26:26" x14ac:dyDescent="0.25">
      <c r="Z1925"/>
    </row>
    <row r="1926" spans="26:26" x14ac:dyDescent="0.25">
      <c r="Z1926"/>
    </row>
    <row r="1927" spans="26:26" x14ac:dyDescent="0.25">
      <c r="Z1927"/>
    </row>
    <row r="1928" spans="26:26" x14ac:dyDescent="0.25">
      <c r="Z1928"/>
    </row>
    <row r="1929" spans="26:26" x14ac:dyDescent="0.25">
      <c r="Z1929"/>
    </row>
    <row r="1930" spans="26:26" x14ac:dyDescent="0.25">
      <c r="Z1930"/>
    </row>
    <row r="1931" spans="26:26" x14ac:dyDescent="0.25">
      <c r="Z1931"/>
    </row>
    <row r="1932" spans="26:26" x14ac:dyDescent="0.25">
      <c r="Z1932"/>
    </row>
    <row r="1933" spans="26:26" x14ac:dyDescent="0.25">
      <c r="Z1933"/>
    </row>
    <row r="1934" spans="26:26" x14ac:dyDescent="0.25">
      <c r="Z1934"/>
    </row>
    <row r="1935" spans="26:26" x14ac:dyDescent="0.25">
      <c r="Z1935"/>
    </row>
    <row r="1936" spans="26:26" x14ac:dyDescent="0.25">
      <c r="Z1936"/>
    </row>
    <row r="1937" spans="26:26" x14ac:dyDescent="0.25">
      <c r="Z1937"/>
    </row>
    <row r="1938" spans="26:26" x14ac:dyDescent="0.25">
      <c r="Z1938"/>
    </row>
    <row r="1939" spans="26:26" x14ac:dyDescent="0.25">
      <c r="Z1939"/>
    </row>
    <row r="1940" spans="26:26" x14ac:dyDescent="0.25">
      <c r="Z1940"/>
    </row>
    <row r="1941" spans="26:26" x14ac:dyDescent="0.25">
      <c r="Z1941"/>
    </row>
    <row r="1942" spans="26:26" x14ac:dyDescent="0.25">
      <c r="Z1942"/>
    </row>
    <row r="1943" spans="26:26" x14ac:dyDescent="0.25">
      <c r="Z1943"/>
    </row>
    <row r="1944" spans="26:26" x14ac:dyDescent="0.25">
      <c r="Z1944"/>
    </row>
    <row r="1945" spans="26:26" x14ac:dyDescent="0.25">
      <c r="Z1945"/>
    </row>
    <row r="1946" spans="26:26" x14ac:dyDescent="0.25">
      <c r="Z1946"/>
    </row>
    <row r="1947" spans="26:26" x14ac:dyDescent="0.25">
      <c r="Z1947"/>
    </row>
    <row r="1948" spans="26:26" x14ac:dyDescent="0.25">
      <c r="Z1948"/>
    </row>
    <row r="1949" spans="26:26" x14ac:dyDescent="0.25">
      <c r="Z1949"/>
    </row>
    <row r="1950" spans="26:26" x14ac:dyDescent="0.25">
      <c r="Z1950"/>
    </row>
    <row r="1951" spans="26:26" x14ac:dyDescent="0.25">
      <c r="Z1951"/>
    </row>
    <row r="1952" spans="26:26" x14ac:dyDescent="0.25">
      <c r="Z1952"/>
    </row>
    <row r="1953" spans="26:26" x14ac:dyDescent="0.25">
      <c r="Z1953"/>
    </row>
    <row r="1954" spans="26:26" x14ac:dyDescent="0.25">
      <c r="Z1954"/>
    </row>
    <row r="1955" spans="26:26" x14ac:dyDescent="0.25">
      <c r="Z1955"/>
    </row>
    <row r="1956" spans="26:26" x14ac:dyDescent="0.25">
      <c r="Z1956"/>
    </row>
    <row r="1957" spans="26:26" x14ac:dyDescent="0.25">
      <c r="Z1957"/>
    </row>
    <row r="1958" spans="26:26" x14ac:dyDescent="0.25">
      <c r="Z1958"/>
    </row>
    <row r="1959" spans="26:26" x14ac:dyDescent="0.25">
      <c r="Z1959"/>
    </row>
    <row r="1960" spans="26:26" x14ac:dyDescent="0.25">
      <c r="Z1960"/>
    </row>
    <row r="1961" spans="26:26" x14ac:dyDescent="0.25">
      <c r="Z1961"/>
    </row>
    <row r="1962" spans="26:26" x14ac:dyDescent="0.25">
      <c r="Z1962"/>
    </row>
    <row r="1963" spans="26:26" x14ac:dyDescent="0.25">
      <c r="Z1963"/>
    </row>
    <row r="1964" spans="26:26" x14ac:dyDescent="0.25">
      <c r="Z1964"/>
    </row>
    <row r="1965" spans="26:26" x14ac:dyDescent="0.25">
      <c r="Z1965"/>
    </row>
    <row r="1966" spans="26:26" x14ac:dyDescent="0.25">
      <c r="Z1966"/>
    </row>
    <row r="1967" spans="26:26" x14ac:dyDescent="0.25">
      <c r="Z1967"/>
    </row>
    <row r="1968" spans="26:26" x14ac:dyDescent="0.25">
      <c r="Z1968"/>
    </row>
    <row r="1969" spans="26:26" x14ac:dyDescent="0.25">
      <c r="Z1969"/>
    </row>
    <row r="1970" spans="26:26" x14ac:dyDescent="0.25">
      <c r="Z1970"/>
    </row>
    <row r="1971" spans="26:26" x14ac:dyDescent="0.25">
      <c r="Z1971"/>
    </row>
    <row r="1972" spans="26:26" x14ac:dyDescent="0.25">
      <c r="Z1972"/>
    </row>
    <row r="1973" spans="26:26" x14ac:dyDescent="0.25">
      <c r="Z1973"/>
    </row>
    <row r="1974" spans="26:26" x14ac:dyDescent="0.25">
      <c r="Z1974"/>
    </row>
    <row r="1975" spans="26:26" x14ac:dyDescent="0.25">
      <c r="Z1975"/>
    </row>
    <row r="1976" spans="26:26" x14ac:dyDescent="0.25">
      <c r="Z1976"/>
    </row>
    <row r="1977" spans="26:26" x14ac:dyDescent="0.25">
      <c r="Z1977"/>
    </row>
    <row r="1978" spans="26:26" x14ac:dyDescent="0.25">
      <c r="Z1978"/>
    </row>
    <row r="1979" spans="26:26" x14ac:dyDescent="0.25">
      <c r="Z1979"/>
    </row>
    <row r="1980" spans="26:26" x14ac:dyDescent="0.25">
      <c r="Z1980"/>
    </row>
    <row r="1981" spans="26:26" x14ac:dyDescent="0.25">
      <c r="Z1981"/>
    </row>
    <row r="1982" spans="26:26" x14ac:dyDescent="0.25">
      <c r="Z1982"/>
    </row>
    <row r="1983" spans="26:26" x14ac:dyDescent="0.25">
      <c r="Z1983"/>
    </row>
    <row r="1984" spans="26:26" x14ac:dyDescent="0.25">
      <c r="Z1984"/>
    </row>
    <row r="1985" spans="26:26" x14ac:dyDescent="0.25">
      <c r="Z1985"/>
    </row>
    <row r="1986" spans="26:26" x14ac:dyDescent="0.25">
      <c r="Z1986"/>
    </row>
    <row r="1987" spans="26:26" x14ac:dyDescent="0.25">
      <c r="Z1987"/>
    </row>
    <row r="1988" spans="26:26" x14ac:dyDescent="0.25">
      <c r="Z1988"/>
    </row>
    <row r="1989" spans="26:26" x14ac:dyDescent="0.25">
      <c r="Z1989"/>
    </row>
    <row r="1990" spans="26:26" x14ac:dyDescent="0.25">
      <c r="Z1990"/>
    </row>
    <row r="1991" spans="26:26" x14ac:dyDescent="0.25">
      <c r="Z1991"/>
    </row>
    <row r="1992" spans="26:26" x14ac:dyDescent="0.25">
      <c r="Z1992"/>
    </row>
    <row r="1993" spans="26:26" x14ac:dyDescent="0.25">
      <c r="Z1993"/>
    </row>
    <row r="1994" spans="26:26" x14ac:dyDescent="0.25">
      <c r="Z1994"/>
    </row>
    <row r="1995" spans="26:26" x14ac:dyDescent="0.25">
      <c r="Z1995"/>
    </row>
    <row r="1996" spans="26:26" x14ac:dyDescent="0.25">
      <c r="Z1996"/>
    </row>
    <row r="1997" spans="26:26" x14ac:dyDescent="0.25">
      <c r="Z1997"/>
    </row>
    <row r="1998" spans="26:26" x14ac:dyDescent="0.25">
      <c r="Z1998"/>
    </row>
    <row r="1999" spans="26:26" x14ac:dyDescent="0.25">
      <c r="Z1999"/>
    </row>
    <row r="2000" spans="26:26" x14ac:dyDescent="0.25">
      <c r="Z2000"/>
    </row>
  </sheetData>
  <sortState xmlns:xlrd2="http://schemas.microsoft.com/office/spreadsheetml/2017/richdata2" ref="A2:Y113">
    <sortCondition descending="1" ref="F1:F11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B6703-45CA-4FA9-8E5C-EB8507E1330B}">
  <sheetPr codeName="Feuil4" filterMode="1"/>
  <dimension ref="A1:X1562"/>
  <sheetViews>
    <sheetView workbookViewId="0">
      <pane xSplit="2" ySplit="1" topLeftCell="J174" activePane="bottomRight" state="frozen"/>
      <selection pane="topRight" activeCell="C1" sqref="C1"/>
      <selection pane="bottomLeft" activeCell="A2" sqref="A2"/>
      <selection pane="bottomRight" activeCell="S479" sqref="S479"/>
    </sheetView>
  </sheetViews>
  <sheetFormatPr baseColWidth="10" defaultColWidth="11.42578125" defaultRowHeight="15" x14ac:dyDescent="0.25"/>
  <cols>
    <col min="1" max="1" width="15.140625" style="21" bestFit="1" customWidth="1"/>
    <col min="2" max="2" width="52.5703125" style="40" customWidth="1"/>
    <col min="3" max="3" width="0.140625" style="21" customWidth="1"/>
    <col min="4" max="4" width="12.28515625" style="21" bestFit="1" customWidth="1"/>
    <col min="5" max="5" width="23.5703125" style="21" bestFit="1" customWidth="1"/>
    <col min="6" max="6" width="8.42578125" style="26" bestFit="1" customWidth="1"/>
    <col min="7" max="8" width="11.42578125" style="21" bestFit="1" customWidth="1"/>
    <col min="9" max="9" width="11.7109375" style="21" bestFit="1" customWidth="1"/>
    <col min="10" max="10" width="13.85546875" style="21" bestFit="1" customWidth="1"/>
    <col min="11" max="11" width="13.140625" style="21" bestFit="1" customWidth="1"/>
    <col min="12" max="12" width="11.5703125" style="21" bestFit="1" customWidth="1"/>
    <col min="13" max="13" width="12.85546875" style="53" bestFit="1" customWidth="1"/>
    <col min="14" max="14" width="11.7109375" style="21" bestFit="1" customWidth="1"/>
    <col min="15" max="15" width="11.42578125" style="21" customWidth="1"/>
    <col min="16" max="16" width="11.7109375" style="21" bestFit="1" customWidth="1"/>
    <col min="17" max="17" width="15.42578125" style="21" bestFit="1" customWidth="1"/>
    <col min="18" max="18" width="12.85546875" style="21" bestFit="1" customWidth="1"/>
    <col min="19" max="19" width="15" style="21" bestFit="1" customWidth="1"/>
    <col min="20" max="20" width="12.28515625" style="21" bestFit="1" customWidth="1"/>
    <col min="21" max="21" width="11" style="21" bestFit="1" customWidth="1"/>
    <col min="22" max="22" width="13.85546875" bestFit="1" customWidth="1"/>
    <col min="23" max="23" width="6.85546875" style="21" bestFit="1" customWidth="1"/>
    <col min="24" max="24" width="8.42578125" style="21" bestFit="1" customWidth="1"/>
    <col min="25" max="16384" width="11.42578125" style="21"/>
  </cols>
  <sheetData>
    <row r="1" spans="1:24" ht="32.65" customHeight="1" x14ac:dyDescent="0.25">
      <c r="A1" s="22" t="s">
        <v>259</v>
      </c>
      <c r="B1" s="22" t="s">
        <v>260</v>
      </c>
      <c r="C1" s="22" t="s">
        <v>261</v>
      </c>
      <c r="D1" s="22" t="s">
        <v>72</v>
      </c>
      <c r="E1" s="22" t="s">
        <v>262</v>
      </c>
      <c r="F1" s="65" t="s">
        <v>263</v>
      </c>
      <c r="G1" s="22" t="s">
        <v>264</v>
      </c>
      <c r="H1" s="22" t="s">
        <v>265</v>
      </c>
      <c r="I1" s="22" t="s">
        <v>266</v>
      </c>
      <c r="J1" s="22" t="s">
        <v>267</v>
      </c>
      <c r="K1" s="22" t="s">
        <v>268</v>
      </c>
      <c r="L1" s="23" t="s">
        <v>2784</v>
      </c>
      <c r="M1" s="52" t="s">
        <v>269</v>
      </c>
      <c r="N1" s="23" t="s">
        <v>800</v>
      </c>
      <c r="O1" s="23" t="s">
        <v>801</v>
      </c>
      <c r="P1" s="23" t="s">
        <v>802</v>
      </c>
      <c r="Q1" s="23" t="s">
        <v>803</v>
      </c>
      <c r="R1" s="23" t="s">
        <v>804</v>
      </c>
      <c r="S1" s="23" t="s">
        <v>805</v>
      </c>
      <c r="T1" s="23" t="s">
        <v>810</v>
      </c>
      <c r="U1" s="23" t="s">
        <v>2791</v>
      </c>
      <c r="V1" s="23" t="s">
        <v>4398</v>
      </c>
      <c r="W1" s="23" t="s">
        <v>4399</v>
      </c>
      <c r="X1" s="23" t="s">
        <v>811</v>
      </c>
    </row>
    <row r="2" spans="1:24" hidden="1" x14ac:dyDescent="0.25">
      <c r="A2" s="21" t="s">
        <v>175</v>
      </c>
      <c r="B2" s="40" t="s">
        <v>242</v>
      </c>
      <c r="C2" s="21" t="s">
        <v>244</v>
      </c>
      <c r="D2" s="21" t="s">
        <v>73</v>
      </c>
      <c r="E2" s="21" t="s">
        <v>99</v>
      </c>
      <c r="F2" s="55">
        <v>4.6356216249577815E-2</v>
      </c>
      <c r="G2" s="24">
        <v>8.0827829999999992</v>
      </c>
      <c r="H2" s="24">
        <v>4.9693719999999999</v>
      </c>
      <c r="I2" s="24">
        <v>7.117032</v>
      </c>
      <c r="J2" s="24">
        <v>6.7230629999999998</v>
      </c>
      <c r="K2" s="24">
        <v>0.69897489999999995</v>
      </c>
      <c r="L2" s="24">
        <v>3.4694189999999998</v>
      </c>
      <c r="M2" s="24">
        <v>34.344799999999999</v>
      </c>
      <c r="N2" s="24">
        <v>8.5023676797448822</v>
      </c>
      <c r="O2" s="24">
        <v>8.0208333333333339</v>
      </c>
      <c r="P2" s="24">
        <v>7.3134328358208958</v>
      </c>
      <c r="Q2" s="24">
        <v>2.86140071379912</v>
      </c>
      <c r="R2" s="24">
        <v>7.18</v>
      </c>
      <c r="S2" s="24">
        <v>6.4463681913800599</v>
      </c>
      <c r="T2" s="24">
        <v>1.3272061586536112</v>
      </c>
      <c r="U2" s="24" t="s">
        <v>2890</v>
      </c>
      <c r="V2">
        <v>0</v>
      </c>
      <c r="W2" s="21">
        <v>0</v>
      </c>
      <c r="X2" s="56">
        <f>IFERROR(VLOOKUP(A2,Output!A:F,6,0),"-")</f>
        <v>4.9999999999999947E-2</v>
      </c>
    </row>
    <row r="3" spans="1:24" hidden="1" x14ac:dyDescent="0.25">
      <c r="A3" s="21" t="s">
        <v>176</v>
      </c>
      <c r="B3" s="40" t="s">
        <v>243</v>
      </c>
      <c r="C3" s="21" t="s">
        <v>244</v>
      </c>
      <c r="D3" s="21" t="s">
        <v>73</v>
      </c>
      <c r="E3" s="21" t="s">
        <v>99</v>
      </c>
      <c r="F3" s="55">
        <v>3.8636050639388977E-2</v>
      </c>
      <c r="G3" s="21">
        <v>7.736173</v>
      </c>
      <c r="H3" s="21">
        <v>7.640193</v>
      </c>
      <c r="I3" s="21">
        <v>6.7326160000000002</v>
      </c>
      <c r="J3" s="21">
        <v>7.4063119999999998</v>
      </c>
      <c r="K3" s="21">
        <v>0.59873180000000004</v>
      </c>
      <c r="L3" s="21">
        <v>3.7733989999999999</v>
      </c>
      <c r="M3" s="21">
        <v>3.3879999999999999</v>
      </c>
      <c r="N3" s="21">
        <v>5.7537494675413932</v>
      </c>
      <c r="O3" s="21">
        <v>2.8125000000000004</v>
      </c>
      <c r="P3" s="21">
        <v>8.6268656716417897</v>
      </c>
      <c r="Q3" s="21">
        <v>4.1566179444599092</v>
      </c>
      <c r="R3" s="21">
        <v>6.09</v>
      </c>
      <c r="S3" s="21">
        <v>6.6093683151552538</v>
      </c>
      <c r="T3" s="21">
        <v>1.2251907300238494</v>
      </c>
      <c r="U3" s="21" t="s">
        <v>2887</v>
      </c>
      <c r="V3">
        <v>0</v>
      </c>
      <c r="W3" s="21">
        <v>0</v>
      </c>
      <c r="X3" s="56">
        <f>IFERROR(VLOOKUP(A3,Output!A:F,6,0),"-")</f>
        <v>2.5757367092925986E-2</v>
      </c>
    </row>
    <row r="4" spans="1:24" hidden="1" x14ac:dyDescent="0.25">
      <c r="A4" s="21" t="s">
        <v>2767</v>
      </c>
      <c r="B4" s="40" t="s">
        <v>2768</v>
      </c>
      <c r="C4" s="21" t="s">
        <v>244</v>
      </c>
      <c r="D4" s="21" t="s">
        <v>73</v>
      </c>
      <c r="E4" s="21" t="s">
        <v>99</v>
      </c>
      <c r="F4" s="55">
        <v>3.4420205605990545E-2</v>
      </c>
      <c r="G4" s="24">
        <v>4.7170480000000001</v>
      </c>
      <c r="H4" s="24">
        <v>5.965865</v>
      </c>
      <c r="I4" s="24">
        <v>4.5843350000000003</v>
      </c>
      <c r="J4" s="24">
        <v>5.0518789999999996</v>
      </c>
      <c r="K4" s="24">
        <v>1.9858540000000001E-2</v>
      </c>
      <c r="L4" s="24">
        <v>4.1455019999999996</v>
      </c>
      <c r="M4" s="24">
        <v>10.059100000000001</v>
      </c>
      <c r="N4" s="24">
        <v>9.9546175970495341</v>
      </c>
      <c r="O4" s="24">
        <v>10</v>
      </c>
      <c r="P4" s="24">
        <v>9.4626865671641802</v>
      </c>
      <c r="Q4" s="24">
        <v>1.5554144297630466</v>
      </c>
      <c r="R4" s="24">
        <v>5.58</v>
      </c>
      <c r="S4" s="24">
        <v>5.9948602056051046</v>
      </c>
      <c r="T4" s="24">
        <v>2.6407880558285886</v>
      </c>
      <c r="U4" s="24" t="s">
        <v>4112</v>
      </c>
      <c r="V4">
        <v>0</v>
      </c>
      <c r="W4" s="21">
        <v>0</v>
      </c>
      <c r="X4" s="56">
        <f>IFERROR(VLOOKUP(A4,Output!A:F,6,0),"-")</f>
        <v>0.04</v>
      </c>
    </row>
    <row r="5" spans="1:24" hidden="1" x14ac:dyDescent="0.25">
      <c r="A5" s="21" t="s">
        <v>798</v>
      </c>
      <c r="B5" s="40" t="s">
        <v>799</v>
      </c>
      <c r="C5" s="21" t="s">
        <v>244</v>
      </c>
      <c r="D5" s="21" t="s">
        <v>73</v>
      </c>
      <c r="E5" s="21" t="s">
        <v>99</v>
      </c>
      <c r="F5" s="55">
        <v>2.6729940462199338E-2</v>
      </c>
      <c r="G5" s="21">
        <v>7.317037</v>
      </c>
      <c r="H5" s="21">
        <v>4.2906469999999999</v>
      </c>
      <c r="I5" s="21">
        <v>6.1725789999999998</v>
      </c>
      <c r="J5" s="21">
        <v>5.6486980000000004</v>
      </c>
      <c r="K5" s="24">
        <v>0</v>
      </c>
      <c r="L5" s="24">
        <v>4.9939859999999996</v>
      </c>
      <c r="M5" s="24">
        <v>29.228000000000002</v>
      </c>
      <c r="N5" s="24">
        <v>7.8906884680890652</v>
      </c>
      <c r="O5" s="24">
        <v>5.4166666666666679</v>
      </c>
      <c r="P5" s="24">
        <v>7.8805970149253728</v>
      </c>
      <c r="Q5" s="24">
        <v>6.3260831515154123</v>
      </c>
      <c r="R5" s="24" t="e">
        <v>#N/A</v>
      </c>
      <c r="S5" s="24">
        <v>6.2856279888580326</v>
      </c>
      <c r="T5" s="24">
        <v>1.4853424628241512</v>
      </c>
      <c r="U5" s="24" t="s">
        <v>2888</v>
      </c>
      <c r="V5">
        <v>0</v>
      </c>
      <c r="W5" s="21">
        <v>0</v>
      </c>
      <c r="X5" s="56">
        <f>IFERROR(VLOOKUP(A5,Output!A:F,6,0),"-")</f>
        <v>3.9999999999999813E-2</v>
      </c>
    </row>
    <row r="6" spans="1:24" hidden="1" x14ac:dyDescent="0.25">
      <c r="A6" s="21" t="s">
        <v>2746</v>
      </c>
      <c r="B6" s="40" t="s">
        <v>2747</v>
      </c>
      <c r="C6" s="21" t="s">
        <v>244</v>
      </c>
      <c r="D6" s="21" t="s">
        <v>73</v>
      </c>
      <c r="E6" s="21" t="s">
        <v>98</v>
      </c>
      <c r="F6" s="55">
        <v>2.6180433876004251E-2</v>
      </c>
      <c r="G6" s="24">
        <v>5.6977630000000001</v>
      </c>
      <c r="H6" s="24">
        <v>5.2335539999999998</v>
      </c>
      <c r="I6" s="24">
        <v>4.141184</v>
      </c>
      <c r="J6" s="24">
        <v>4.8894479999999998</v>
      </c>
      <c r="K6" s="24">
        <v>0</v>
      </c>
      <c r="L6" s="24">
        <v>2.8164850000000001</v>
      </c>
      <c r="M6" s="24">
        <v>32.122999999999998</v>
      </c>
      <c r="N6" s="24">
        <v>7.7407107670119535</v>
      </c>
      <c r="O6" s="24">
        <v>9.7959183673469372</v>
      </c>
      <c r="P6" s="24">
        <v>5.6689123991103463</v>
      </c>
      <c r="Q6" s="24">
        <v>2.5454405695551472</v>
      </c>
      <c r="R6" s="24" t="e">
        <v>#N/A</v>
      </c>
      <c r="S6" s="24">
        <v>4.344090893500967</v>
      </c>
      <c r="T6" s="24">
        <v>1.7120715401164806</v>
      </c>
      <c r="U6" s="24" t="s">
        <v>4101</v>
      </c>
      <c r="V6">
        <v>0</v>
      </c>
      <c r="W6" s="21">
        <v>0</v>
      </c>
      <c r="X6" s="56" t="str">
        <f>IFERROR(VLOOKUP(A6,Output!A:F,6,0),"-")</f>
        <v>-</v>
      </c>
    </row>
    <row r="7" spans="1:24" hidden="1" x14ac:dyDescent="0.25">
      <c r="A7" s="21" t="s">
        <v>2766</v>
      </c>
      <c r="B7" s="40" t="s">
        <v>4592</v>
      </c>
      <c r="C7" s="21" t="s">
        <v>244</v>
      </c>
      <c r="D7" s="21" t="s">
        <v>73</v>
      </c>
      <c r="E7" s="21" t="s">
        <v>99</v>
      </c>
      <c r="F7" s="55">
        <v>1.7207446772332761E-2</v>
      </c>
      <c r="G7" s="24">
        <v>5.3833979999999997</v>
      </c>
      <c r="H7" s="24">
        <v>2.4979100000000001</v>
      </c>
      <c r="I7" s="24">
        <v>5.1991940000000003</v>
      </c>
      <c r="J7" s="24">
        <v>4.1555210000000002</v>
      </c>
      <c r="K7" s="24">
        <v>0.35185070000000002</v>
      </c>
      <c r="L7" s="24">
        <v>5.8147719999999996</v>
      </c>
      <c r="M7" s="24">
        <v>30.2364</v>
      </c>
      <c r="N7" s="24">
        <v>8.3307034988716246</v>
      </c>
      <c r="O7" s="24">
        <v>9.8958333333333339</v>
      </c>
      <c r="P7" s="24">
        <v>7.8507462686567164</v>
      </c>
      <c r="Q7" s="24">
        <v>5.7756879452568857</v>
      </c>
      <c r="R7" s="24" t="e">
        <v>#N/A</v>
      </c>
      <c r="S7" s="24">
        <v>6.5134561673669999</v>
      </c>
      <c r="T7" s="24">
        <v>1.9751648956952697</v>
      </c>
      <c r="U7" s="24" t="s">
        <v>4111</v>
      </c>
      <c r="V7">
        <v>0</v>
      </c>
      <c r="W7" s="21">
        <v>1</v>
      </c>
      <c r="X7" s="56" t="str">
        <f>IFERROR(VLOOKUP(A7,Output!A:F,6,0),"-")</f>
        <v>-</v>
      </c>
    </row>
    <row r="8" spans="1:24" hidden="1" x14ac:dyDescent="0.25">
      <c r="A8" s="21" t="s">
        <v>371</v>
      </c>
      <c r="B8" s="40" t="s">
        <v>372</v>
      </c>
      <c r="C8" s="21" t="s">
        <v>244</v>
      </c>
      <c r="D8" s="21" t="s">
        <v>73</v>
      </c>
      <c r="E8" s="21" t="s">
        <v>91</v>
      </c>
      <c r="F8" s="55">
        <v>9.5917637744025504E-3</v>
      </c>
      <c r="G8" s="21">
        <v>3.566735</v>
      </c>
      <c r="H8" s="21">
        <v>5.5635240000000001</v>
      </c>
      <c r="I8" s="21">
        <v>5.0457400000000003</v>
      </c>
      <c r="J8" s="21">
        <v>4.9570530000000002</v>
      </c>
      <c r="K8" s="24">
        <v>0.69936759999999998</v>
      </c>
      <c r="L8" s="24">
        <v>2.1975579999999999</v>
      </c>
      <c r="M8" s="24">
        <v>25.910499999999999</v>
      </c>
      <c r="N8" s="24">
        <v>10</v>
      </c>
      <c r="O8" s="24">
        <v>9.3939393939393945</v>
      </c>
      <c r="P8" s="24">
        <v>8.4095634161764519</v>
      </c>
      <c r="Q8" s="24">
        <v>0</v>
      </c>
      <c r="R8" s="24">
        <v>7.54</v>
      </c>
      <c r="S8" s="24">
        <v>4.8962859463607487</v>
      </c>
      <c r="T8" s="24">
        <v>0.91719043342741657</v>
      </c>
      <c r="U8" s="24" t="s">
        <v>4086</v>
      </c>
      <c r="V8">
        <v>0</v>
      </c>
      <c r="W8" s="21">
        <v>0</v>
      </c>
      <c r="X8" s="56" t="str">
        <f>IFERROR(VLOOKUP(A8,Output!A:F,6,0),"-")</f>
        <v>-</v>
      </c>
    </row>
    <row r="9" spans="1:24" hidden="1" x14ac:dyDescent="0.25">
      <c r="A9" s="21" t="s">
        <v>153</v>
      </c>
      <c r="B9" s="40" t="s">
        <v>220</v>
      </c>
      <c r="C9" s="21" t="s">
        <v>244</v>
      </c>
      <c r="D9" s="21" t="s">
        <v>73</v>
      </c>
      <c r="E9" s="21" t="s">
        <v>99</v>
      </c>
      <c r="F9" s="55">
        <v>9.2649734078364913E-3</v>
      </c>
      <c r="G9" s="24">
        <v>3.105556</v>
      </c>
      <c r="H9" s="24">
        <v>2.186534</v>
      </c>
      <c r="I9" s="24">
        <v>5.5294949999999998</v>
      </c>
      <c r="J9" s="24">
        <v>3.5570309999999998</v>
      </c>
      <c r="K9" s="24">
        <v>1.5741890000000001</v>
      </c>
      <c r="L9" s="24">
        <v>5.519247</v>
      </c>
      <c r="M9" s="24">
        <v>21.2988</v>
      </c>
      <c r="N9" s="24">
        <v>9.131808929108832</v>
      </c>
      <c r="O9" s="24">
        <v>8.5416666666666661</v>
      </c>
      <c r="P9" s="24">
        <v>5.3432835820895521</v>
      </c>
      <c r="Q9" s="24">
        <v>3.4656434946707835</v>
      </c>
      <c r="R9" s="24">
        <v>8.4499999999999993</v>
      </c>
      <c r="S9" s="24">
        <v>5.6556456632803709</v>
      </c>
      <c r="T9" s="24">
        <v>2.2233093656014189</v>
      </c>
      <c r="U9" s="24" t="s">
        <v>2875</v>
      </c>
      <c r="V9">
        <v>0</v>
      </c>
      <c r="W9" s="21">
        <v>1</v>
      </c>
      <c r="X9" s="56" t="str">
        <f>IFERROR(VLOOKUP(A9,Output!A:F,6,0),"-")</f>
        <v>-</v>
      </c>
    </row>
    <row r="10" spans="1:24" hidden="1" x14ac:dyDescent="0.25">
      <c r="A10" s="21" t="s">
        <v>174</v>
      </c>
      <c r="B10" s="40" t="s">
        <v>241</v>
      </c>
      <c r="C10" s="21" t="s">
        <v>244</v>
      </c>
      <c r="D10" s="21" t="s">
        <v>73</v>
      </c>
      <c r="E10" s="21" t="s">
        <v>85</v>
      </c>
      <c r="F10" s="55">
        <v>8.9650532181394672E-3</v>
      </c>
      <c r="G10" s="24">
        <v>4.0298600000000002</v>
      </c>
      <c r="H10" s="24">
        <v>5.6253440000000001</v>
      </c>
      <c r="I10" s="24">
        <v>4.3933280000000003</v>
      </c>
      <c r="J10" s="24">
        <v>4.7154930000000004</v>
      </c>
      <c r="K10" s="24">
        <v>2.2455379999999998</v>
      </c>
      <c r="L10" s="24">
        <v>9.641947</v>
      </c>
      <c r="M10" s="24">
        <v>84.565600000000003</v>
      </c>
      <c r="N10" s="24">
        <v>5.0748697916666661</v>
      </c>
      <c r="O10" s="24">
        <v>7.5257731958762877</v>
      </c>
      <c r="P10" s="24">
        <v>7.4611398963730577</v>
      </c>
      <c r="Q10" s="24">
        <v>4.796957406002881</v>
      </c>
      <c r="R10" s="24">
        <v>5.37</v>
      </c>
      <c r="S10" s="24">
        <v>6.2950618820947177</v>
      </c>
      <c r="T10" s="24">
        <v>0.87140204242112662</v>
      </c>
      <c r="U10" s="24" t="s">
        <v>2883</v>
      </c>
      <c r="V10">
        <v>0</v>
      </c>
      <c r="W10" s="21">
        <v>0</v>
      </c>
      <c r="X10" s="56">
        <f>IFERROR(VLOOKUP(A10,Output!A:F,6,0),"-")</f>
        <v>2.0108733429615087E-2</v>
      </c>
    </row>
    <row r="11" spans="1:24" hidden="1" x14ac:dyDescent="0.25">
      <c r="A11" s="21" t="s">
        <v>2748</v>
      </c>
      <c r="B11" s="40" t="s">
        <v>2749</v>
      </c>
      <c r="C11" s="21" t="s">
        <v>244</v>
      </c>
      <c r="D11" s="21" t="s">
        <v>73</v>
      </c>
      <c r="E11" s="21" t="s">
        <v>89</v>
      </c>
      <c r="F11" s="55">
        <v>8.5443882648092943E-3</v>
      </c>
      <c r="G11" s="21">
        <v>1.923778</v>
      </c>
      <c r="H11" s="21">
        <v>2.8130280000000001</v>
      </c>
      <c r="I11" s="21">
        <v>2.5975429999999999</v>
      </c>
      <c r="J11" s="21">
        <v>2.4708329999999998</v>
      </c>
      <c r="K11" s="24">
        <v>0</v>
      </c>
      <c r="L11" s="24">
        <v>5.2137469999999997</v>
      </c>
      <c r="M11" s="24">
        <v>1.7908999999999999</v>
      </c>
      <c r="N11" s="24">
        <v>3.024088541666667</v>
      </c>
      <c r="O11" s="24">
        <v>7.0103092783505154</v>
      </c>
      <c r="P11" s="24">
        <v>5.2677025906735766</v>
      </c>
      <c r="Q11" s="24">
        <v>5.7612276353878453</v>
      </c>
      <c r="R11" s="24" t="e">
        <v>#N/A</v>
      </c>
      <c r="S11" s="24">
        <v>4.6556485890639845</v>
      </c>
      <c r="T11" s="24">
        <v>0.74701077432139273</v>
      </c>
      <c r="U11" s="24" t="s">
        <v>4102</v>
      </c>
      <c r="V11">
        <v>1</v>
      </c>
      <c r="W11" s="21">
        <v>1</v>
      </c>
      <c r="X11" s="56" t="str">
        <f>IFERROR(VLOOKUP(A11,Output!A:F,6,0),"-")</f>
        <v>-</v>
      </c>
    </row>
    <row r="12" spans="1:24" hidden="1" x14ac:dyDescent="0.25">
      <c r="A12" s="21" t="s">
        <v>2778</v>
      </c>
      <c r="B12" s="40" t="s">
        <v>2779</v>
      </c>
      <c r="C12" s="21" t="s">
        <v>244</v>
      </c>
      <c r="D12" s="21" t="s">
        <v>73</v>
      </c>
      <c r="E12" s="21" t="s">
        <v>95</v>
      </c>
      <c r="F12" s="55">
        <v>7.4270575354978031E-3</v>
      </c>
      <c r="G12" s="24">
        <v>4.3046150000000001</v>
      </c>
      <c r="H12" s="24">
        <v>2.8275570000000001</v>
      </c>
      <c r="I12" s="24">
        <v>3.4251339999999999</v>
      </c>
      <c r="J12" s="24">
        <v>3.7453590000000001</v>
      </c>
      <c r="K12" s="24">
        <v>3.2212719999999999</v>
      </c>
      <c r="L12" s="24">
        <v>9.0222639999999998</v>
      </c>
      <c r="M12" s="24">
        <v>206.4752</v>
      </c>
      <c r="N12" s="24">
        <v>8.7754485763204428</v>
      </c>
      <c r="O12" s="24">
        <v>5.0515463917525771</v>
      </c>
      <c r="P12" s="24">
        <v>5.6521739130434785</v>
      </c>
      <c r="Q12" s="24">
        <v>7.2360201089233334</v>
      </c>
      <c r="R12" s="24">
        <v>5.91</v>
      </c>
      <c r="S12" s="24">
        <v>6.7450775360535715</v>
      </c>
      <c r="T12" s="24">
        <v>0.5665371841087915</v>
      </c>
      <c r="U12" s="24" t="s">
        <v>4119</v>
      </c>
      <c r="V12">
        <v>1</v>
      </c>
      <c r="W12" s="21">
        <v>1</v>
      </c>
      <c r="X12" s="56" t="str">
        <f>IFERROR(VLOOKUP(A12,Output!A:F,6,0),"-")</f>
        <v>-</v>
      </c>
    </row>
    <row r="13" spans="1:24" hidden="1" x14ac:dyDescent="0.25">
      <c r="A13" s="21" t="s">
        <v>2777</v>
      </c>
      <c r="B13" s="40" t="s">
        <v>4395</v>
      </c>
      <c r="C13" s="21" t="s">
        <v>244</v>
      </c>
      <c r="D13" s="21" t="s">
        <v>73</v>
      </c>
      <c r="E13" s="21" t="s">
        <v>103</v>
      </c>
      <c r="F13" s="55">
        <v>7.4179083147232405E-3</v>
      </c>
      <c r="G13" s="24">
        <v>4.1381309999999996</v>
      </c>
      <c r="H13" s="24">
        <v>2.2555689999999999</v>
      </c>
      <c r="I13" s="24">
        <v>5.300395</v>
      </c>
      <c r="J13" s="24">
        <v>3.9220410000000001</v>
      </c>
      <c r="K13" s="24">
        <v>0</v>
      </c>
      <c r="L13" s="24">
        <v>1.1640839999999999</v>
      </c>
      <c r="M13" s="24">
        <v>55.097099999999998</v>
      </c>
      <c r="N13" s="24">
        <v>7.4049843589500615</v>
      </c>
      <c r="O13" s="24">
        <v>0</v>
      </c>
      <c r="P13" s="24">
        <v>6.9104908446987148</v>
      </c>
      <c r="Q13" s="24">
        <v>0.62998662547218132</v>
      </c>
      <c r="R13" s="24" t="e">
        <v>#N/A</v>
      </c>
      <c r="S13" s="24">
        <v>3.2111851779879625</v>
      </c>
      <c r="T13" s="24">
        <v>1.9528283495705172</v>
      </c>
      <c r="U13" s="24" t="s">
        <v>4117</v>
      </c>
      <c r="V13">
        <v>1</v>
      </c>
      <c r="W13" s="21">
        <v>1</v>
      </c>
      <c r="X13" s="56" t="str">
        <f>IFERROR(VLOOKUP(A13,Output!A:F,6,0),"-")</f>
        <v>-</v>
      </c>
    </row>
    <row r="14" spans="1:24" hidden="1" x14ac:dyDescent="0.25">
      <c r="A14" s="21" t="s">
        <v>2738</v>
      </c>
      <c r="B14" s="40" t="s">
        <v>2739</v>
      </c>
      <c r="C14" s="21" t="s">
        <v>244</v>
      </c>
      <c r="D14" s="21" t="s">
        <v>73</v>
      </c>
      <c r="E14" s="21" t="s">
        <v>92</v>
      </c>
      <c r="F14" s="55">
        <v>6.8573439887510239E-3</v>
      </c>
      <c r="G14" s="24">
        <v>7.3833719999999996</v>
      </c>
      <c r="H14" s="24">
        <v>4.7421550000000003</v>
      </c>
      <c r="I14" s="24">
        <v>5.2463559999999996</v>
      </c>
      <c r="J14" s="24">
        <v>5.7109899999999998</v>
      </c>
      <c r="K14" s="24">
        <v>0.77229780000000003</v>
      </c>
      <c r="L14" s="24">
        <v>4.2404229999999998</v>
      </c>
      <c r="M14" s="24">
        <v>3.0390999999999999</v>
      </c>
      <c r="N14" s="24">
        <v>8.4753778409090916</v>
      </c>
      <c r="O14" s="24">
        <v>5.3535353535353538</v>
      </c>
      <c r="P14" s="24">
        <v>8.300720913282305</v>
      </c>
      <c r="Q14" s="24">
        <v>1.5487125033182905</v>
      </c>
      <c r="R14" s="24">
        <v>5.26</v>
      </c>
      <c r="S14" s="24">
        <v>5.9854305070489726</v>
      </c>
      <c r="T14" s="24">
        <v>0.92918215381612712</v>
      </c>
      <c r="U14" s="24" t="s">
        <v>4098</v>
      </c>
      <c r="V14">
        <v>0</v>
      </c>
      <c r="W14" s="21">
        <v>0</v>
      </c>
      <c r="X14" s="56" t="str">
        <f>IFERROR(VLOOKUP(A14,Output!A:F,6,0),"-")</f>
        <v>-</v>
      </c>
    </row>
    <row r="15" spans="1:24" hidden="1" x14ac:dyDescent="0.25">
      <c r="A15" s="21" t="s">
        <v>161</v>
      </c>
      <c r="B15" s="40" t="s">
        <v>228</v>
      </c>
      <c r="C15" s="21" t="s">
        <v>244</v>
      </c>
      <c r="D15" s="21" t="s">
        <v>73</v>
      </c>
      <c r="E15" s="21" t="s">
        <v>91</v>
      </c>
      <c r="F15" s="55">
        <v>6.6019263976620918E-3</v>
      </c>
      <c r="G15" s="24">
        <v>5.8669339999999996</v>
      </c>
      <c r="H15" s="24">
        <v>5.422218</v>
      </c>
      <c r="I15" s="24">
        <v>4.7407389999999996</v>
      </c>
      <c r="J15" s="24">
        <v>5.2385700000000002</v>
      </c>
      <c r="K15" s="24">
        <v>1.7243900000000001</v>
      </c>
      <c r="L15" s="24">
        <v>5.4063759999999998</v>
      </c>
      <c r="M15" s="24">
        <v>1.6609</v>
      </c>
      <c r="N15" s="24">
        <v>8.982778968286663</v>
      </c>
      <c r="O15" s="24">
        <v>4.3434343434343434</v>
      </c>
      <c r="P15" s="24">
        <v>7.9833688233539766</v>
      </c>
      <c r="Q15" s="24">
        <v>7.1819307287018095</v>
      </c>
      <c r="R15" s="24">
        <v>7.59</v>
      </c>
      <c r="S15" s="24">
        <v>7.4721379248713964</v>
      </c>
      <c r="T15" s="24">
        <v>0.30242839973661784</v>
      </c>
      <c r="U15" s="24" t="s">
        <v>2894</v>
      </c>
      <c r="V15">
        <v>0</v>
      </c>
      <c r="W15" s="21">
        <v>0</v>
      </c>
      <c r="X15" s="56">
        <f>IFERROR(VLOOKUP(A15,Output!A:F,6,0),"-")</f>
        <v>1.0000000000000092E-2</v>
      </c>
    </row>
    <row r="16" spans="1:24" hidden="1" x14ac:dyDescent="0.25">
      <c r="A16" s="21" t="s">
        <v>4437</v>
      </c>
      <c r="B16" s="40" t="s">
        <v>374</v>
      </c>
      <c r="C16" s="21" t="s">
        <v>305</v>
      </c>
      <c r="D16" s="21" t="s">
        <v>74</v>
      </c>
      <c r="E16" s="21" t="s">
        <v>91</v>
      </c>
      <c r="F16" s="55">
        <v>6.4490879301903102E-3</v>
      </c>
      <c r="G16" s="21">
        <v>7.2562519999999999</v>
      </c>
      <c r="H16" s="21">
        <v>5.9929579999999998</v>
      </c>
      <c r="I16" s="21">
        <v>3.033909</v>
      </c>
      <c r="J16" s="21">
        <v>5.0619969999999999</v>
      </c>
      <c r="K16" s="24">
        <v>1.345971</v>
      </c>
      <c r="L16" s="24">
        <v>3.3414480000000002</v>
      </c>
      <c r="M16" s="24">
        <v>11.078799999999999</v>
      </c>
      <c r="N16" s="24">
        <v>10</v>
      </c>
      <c r="O16" s="24">
        <v>10</v>
      </c>
      <c r="P16" s="24">
        <v>10</v>
      </c>
      <c r="Q16" s="24">
        <v>0.87106051172581467</v>
      </c>
      <c r="R16" s="24">
        <v>5.94</v>
      </c>
      <c r="S16" s="24">
        <v>5.7192566499571571</v>
      </c>
      <c r="T16" s="24">
        <v>0.67411620080268808</v>
      </c>
      <c r="U16" s="24" t="s">
        <v>2892</v>
      </c>
      <c r="V16">
        <v>0</v>
      </c>
      <c r="W16" s="21">
        <v>0</v>
      </c>
      <c r="X16" s="56" t="str">
        <f>IFERROR(VLOOKUP(A16,Output!A:F,6,0),"-")</f>
        <v>-</v>
      </c>
    </row>
    <row r="17" spans="1:24" hidden="1" x14ac:dyDescent="0.25">
      <c r="A17" s="21" t="s">
        <v>2718</v>
      </c>
      <c r="B17" s="40" t="s">
        <v>2719</v>
      </c>
      <c r="C17" s="21" t="s">
        <v>244</v>
      </c>
      <c r="D17" s="21" t="s">
        <v>73</v>
      </c>
      <c r="E17" s="21" t="s">
        <v>92</v>
      </c>
      <c r="F17" s="55">
        <v>6.2648962280342901E-3</v>
      </c>
      <c r="G17" s="21">
        <v>7.7745990000000003</v>
      </c>
      <c r="H17" s="21">
        <v>5.7516670000000003</v>
      </c>
      <c r="I17" s="21">
        <v>7.3772729999999997</v>
      </c>
      <c r="J17" s="21">
        <v>6.9275080000000004</v>
      </c>
      <c r="K17" s="24">
        <v>0.5161135</v>
      </c>
      <c r="L17" s="24">
        <v>3.4664009999999998</v>
      </c>
      <c r="M17" s="24">
        <v>3.2604000000000002</v>
      </c>
      <c r="N17" s="24">
        <v>7.1780298295454559</v>
      </c>
      <c r="O17" s="24">
        <v>7.7777777777777777</v>
      </c>
      <c r="P17" s="24">
        <v>9.2893923819180539</v>
      </c>
      <c r="Q17" s="24">
        <v>0.72860844173082018</v>
      </c>
      <c r="R17" s="24">
        <v>4.53</v>
      </c>
      <c r="S17" s="24">
        <v>5.3835700483537066</v>
      </c>
      <c r="T17" s="24">
        <v>1.048766387659855</v>
      </c>
      <c r="U17" s="24" t="s">
        <v>4087</v>
      </c>
      <c r="V17">
        <v>0</v>
      </c>
      <c r="W17" s="21">
        <v>0</v>
      </c>
      <c r="X17" s="56" t="str">
        <f>IFERROR(VLOOKUP(A17,Output!A:F,6,0),"-")</f>
        <v>-</v>
      </c>
    </row>
    <row r="18" spans="1:24" hidden="1" x14ac:dyDescent="0.25">
      <c r="A18" s="21" t="s">
        <v>2760</v>
      </c>
      <c r="B18" s="40" t="s">
        <v>2761</v>
      </c>
      <c r="C18" s="21" t="s">
        <v>298</v>
      </c>
      <c r="D18" s="21" t="s">
        <v>74</v>
      </c>
      <c r="E18" s="21" t="s">
        <v>99</v>
      </c>
      <c r="F18" s="55">
        <v>6.0588003214903461E-3</v>
      </c>
      <c r="G18" s="21">
        <v>8.4560499999999994</v>
      </c>
      <c r="H18" s="21">
        <v>7.0694650000000001</v>
      </c>
      <c r="I18" s="21">
        <v>8.2289250000000003</v>
      </c>
      <c r="J18" s="21">
        <v>7.9719369999999996</v>
      </c>
      <c r="K18" s="24">
        <v>0.76368829999999999</v>
      </c>
      <c r="L18" s="24">
        <v>2.7757459999999998</v>
      </c>
      <c r="M18" s="24">
        <v>9.9080999999999992</v>
      </c>
      <c r="N18" s="24">
        <v>6.5738290223497673</v>
      </c>
      <c r="O18" s="24">
        <v>8.571428571428573</v>
      </c>
      <c r="P18" s="24">
        <v>9.8991596570863631</v>
      </c>
      <c r="Q18" s="24">
        <v>0.38389361453337106</v>
      </c>
      <c r="R18" s="24">
        <v>5.37</v>
      </c>
      <c r="S18" s="24">
        <v>4.5258783645099712</v>
      </c>
      <c r="T18" s="24">
        <v>1.3271351968888674</v>
      </c>
      <c r="U18" s="24" t="s">
        <v>4109</v>
      </c>
      <c r="V18">
        <v>0</v>
      </c>
      <c r="W18" s="21">
        <v>0</v>
      </c>
      <c r="X18" s="56" t="str">
        <f>IFERROR(VLOOKUP(A18,Output!A:F,6,0),"-")</f>
        <v>-</v>
      </c>
    </row>
    <row r="19" spans="1:24" hidden="1" x14ac:dyDescent="0.25">
      <c r="A19" s="21" t="s">
        <v>2714</v>
      </c>
      <c r="B19" s="40" t="s">
        <v>2715</v>
      </c>
      <c r="C19" s="21" t="s">
        <v>244</v>
      </c>
      <c r="D19" s="21" t="s">
        <v>73</v>
      </c>
      <c r="E19" s="21" t="s">
        <v>91</v>
      </c>
      <c r="F19" s="55">
        <v>5.9082204861539162E-3</v>
      </c>
      <c r="G19" s="21">
        <v>7.8985269999999996</v>
      </c>
      <c r="H19" s="21">
        <v>7.7293950000000002</v>
      </c>
      <c r="I19" s="21">
        <v>7.4614649999999996</v>
      </c>
      <c r="J19" s="21">
        <v>7.6560490000000003</v>
      </c>
      <c r="K19" s="24">
        <v>3.0530919999999999</v>
      </c>
      <c r="L19" s="24">
        <v>6.9764679999999997</v>
      </c>
      <c r="M19" s="24">
        <v>11.9308</v>
      </c>
      <c r="N19" s="24">
        <v>6.0574051841648497</v>
      </c>
      <c r="O19" s="24">
        <v>3.4343434343434343</v>
      </c>
      <c r="P19" s="24">
        <v>7.7234927329584515</v>
      </c>
      <c r="Q19" s="24">
        <v>6.6192566147467824</v>
      </c>
      <c r="R19" s="24">
        <v>7.89</v>
      </c>
      <c r="S19" s="24">
        <v>7.5764047372207148</v>
      </c>
      <c r="T19" s="24">
        <v>0.35831848799133986</v>
      </c>
      <c r="U19" s="24" t="s">
        <v>4108</v>
      </c>
      <c r="V19">
        <v>0</v>
      </c>
      <c r="W19" s="21">
        <v>0</v>
      </c>
      <c r="X19" s="56">
        <f>IFERROR(VLOOKUP(A19,Output!A:F,6,0),"-")</f>
        <v>3.4999999999999941E-2</v>
      </c>
    </row>
    <row r="20" spans="1:24" hidden="1" x14ac:dyDescent="0.25">
      <c r="A20" s="21" t="s">
        <v>2724</v>
      </c>
      <c r="B20" s="40" t="s">
        <v>2725</v>
      </c>
      <c r="C20" s="21" t="s">
        <v>244</v>
      </c>
      <c r="D20" s="21" t="s">
        <v>73</v>
      </c>
      <c r="E20" s="21" t="s">
        <v>96</v>
      </c>
      <c r="F20" s="55">
        <v>5.8885467438791672E-3</v>
      </c>
      <c r="G20" s="24">
        <v>1.5052410000000001</v>
      </c>
      <c r="H20" s="24">
        <v>3.6684489999999998</v>
      </c>
      <c r="I20" s="24">
        <v>5.8555849999999996</v>
      </c>
      <c r="J20" s="24">
        <v>3.4593060000000002</v>
      </c>
      <c r="K20" s="24">
        <v>2.3833820000000001</v>
      </c>
      <c r="L20" s="24">
        <v>4.3082640000000003</v>
      </c>
      <c r="M20" s="24">
        <v>72.862499999999997</v>
      </c>
      <c r="N20" s="24">
        <v>9.2694059120403747</v>
      </c>
      <c r="O20" s="24">
        <v>6.5979381443298966</v>
      </c>
      <c r="P20" s="24">
        <v>6.4730290456431527</v>
      </c>
      <c r="Q20" s="24">
        <v>1.6702064653138273</v>
      </c>
      <c r="R20" s="24">
        <v>5</v>
      </c>
      <c r="S20" s="24">
        <v>5.2931094917295463</v>
      </c>
      <c r="T20" s="24">
        <v>0.47515262288464727</v>
      </c>
      <c r="U20" s="24" t="s">
        <v>4091</v>
      </c>
      <c r="V20">
        <v>0</v>
      </c>
      <c r="W20" s="21">
        <v>1</v>
      </c>
      <c r="X20" s="56" t="str">
        <f>IFERROR(VLOOKUP(A20,Output!A:F,6,0),"-")</f>
        <v>-</v>
      </c>
    </row>
    <row r="21" spans="1:24" hidden="1" x14ac:dyDescent="0.25">
      <c r="A21" s="21" t="s">
        <v>156</v>
      </c>
      <c r="B21" s="40" t="s">
        <v>223</v>
      </c>
      <c r="C21" s="21" t="s">
        <v>244</v>
      </c>
      <c r="D21" s="21" t="s">
        <v>73</v>
      </c>
      <c r="E21" s="21" t="s">
        <v>98</v>
      </c>
      <c r="F21" s="55">
        <v>5.6131596252826169E-3</v>
      </c>
      <c r="G21" s="21">
        <v>5.0996629999999996</v>
      </c>
      <c r="H21" s="21">
        <v>4.7137640000000003</v>
      </c>
      <c r="I21" s="21">
        <v>5.1610050000000003</v>
      </c>
      <c r="J21" s="21">
        <v>4.9698409999999997</v>
      </c>
      <c r="K21" s="24">
        <v>2.4493200000000002</v>
      </c>
      <c r="L21" s="24">
        <v>4.3534100000000002</v>
      </c>
      <c r="M21" s="24">
        <v>15.153700000000001</v>
      </c>
      <c r="N21" s="24">
        <v>5.295609002636656</v>
      </c>
      <c r="O21" s="24">
        <v>4.2857142857142856</v>
      </c>
      <c r="P21" s="24">
        <v>8.1520692902870824</v>
      </c>
      <c r="Q21" s="24">
        <v>3.5210135589235767</v>
      </c>
      <c r="R21" s="24">
        <v>7.68</v>
      </c>
      <c r="S21" s="24">
        <v>6.1608126302918205</v>
      </c>
      <c r="T21" s="24">
        <v>1.0992351751728471</v>
      </c>
      <c r="U21" s="24" t="s">
        <v>2882</v>
      </c>
      <c r="V21">
        <v>0</v>
      </c>
      <c r="W21" s="21">
        <v>0</v>
      </c>
      <c r="X21" s="56">
        <f>IFERROR(VLOOKUP(A21,Output!A:F,6,0),"-")</f>
        <v>3.4999999999999705E-2</v>
      </c>
    </row>
    <row r="22" spans="1:24" hidden="1" x14ac:dyDescent="0.25">
      <c r="A22" s="21" t="s">
        <v>158</v>
      </c>
      <c r="B22" s="40" t="s">
        <v>225</v>
      </c>
      <c r="C22" s="21" t="s">
        <v>244</v>
      </c>
      <c r="D22" s="21" t="s">
        <v>73</v>
      </c>
      <c r="E22" s="21" t="s">
        <v>91</v>
      </c>
      <c r="F22" s="55">
        <v>5.1337229510389189E-3</v>
      </c>
      <c r="G22" s="24">
        <v>5.6896089999999999</v>
      </c>
      <c r="H22" s="24">
        <v>6.9090449999999999</v>
      </c>
      <c r="I22" s="24">
        <v>6.2174170000000002</v>
      </c>
      <c r="J22" s="24">
        <v>6.3885059999999996</v>
      </c>
      <c r="K22" s="24">
        <v>2.5044689999999998</v>
      </c>
      <c r="L22" s="24">
        <v>8.0815199999999994</v>
      </c>
      <c r="M22" s="24">
        <v>24.982800000000001</v>
      </c>
      <c r="N22" s="24">
        <v>7.2766932466871879</v>
      </c>
      <c r="O22" s="24">
        <v>7.6767676767676765</v>
      </c>
      <c r="P22" s="24">
        <v>2.4844075156573493</v>
      </c>
      <c r="Q22" s="24">
        <v>4.3203869518901321</v>
      </c>
      <c r="R22" s="24">
        <v>8.6300000000000008</v>
      </c>
      <c r="S22" s="24">
        <v>5.8196554692251947</v>
      </c>
      <c r="T22" s="24">
        <v>0.47476678914255027</v>
      </c>
      <c r="U22" s="24" t="s">
        <v>2885</v>
      </c>
      <c r="V22">
        <v>0</v>
      </c>
      <c r="W22" s="21">
        <v>0</v>
      </c>
      <c r="X22" s="56" t="str">
        <f>IFERROR(VLOOKUP(A22,Output!A:F,6,0),"-")</f>
        <v>-</v>
      </c>
    </row>
    <row r="23" spans="1:24" hidden="1" x14ac:dyDescent="0.25">
      <c r="A23" s="21" t="s">
        <v>2698</v>
      </c>
      <c r="B23" s="40" t="s">
        <v>2699</v>
      </c>
      <c r="C23" s="21" t="s">
        <v>244</v>
      </c>
      <c r="D23" s="21" t="s">
        <v>73</v>
      </c>
      <c r="E23" s="21" t="s">
        <v>91</v>
      </c>
      <c r="F23" s="55">
        <v>4.9826702617587846E-3</v>
      </c>
      <c r="G23" s="24">
        <v>6.1371060000000002</v>
      </c>
      <c r="H23" s="24">
        <v>6.8317079999999999</v>
      </c>
      <c r="I23" s="24">
        <v>4.0992920000000002</v>
      </c>
      <c r="J23" s="24">
        <v>5.5998210000000004</v>
      </c>
      <c r="K23" s="24">
        <v>3.4455149999999999</v>
      </c>
      <c r="L23" s="24">
        <v>7.4014870000000004</v>
      </c>
      <c r="M23" s="24">
        <v>14.143800000000001</v>
      </c>
      <c r="N23" s="24">
        <v>4.3283582706444754</v>
      </c>
      <c r="O23" s="24">
        <v>3.7373737373737375</v>
      </c>
      <c r="P23" s="24">
        <v>7.5051975155709041</v>
      </c>
      <c r="Q23" s="24">
        <v>4.8591644833443688</v>
      </c>
      <c r="R23" s="24">
        <v>8.3800000000000008</v>
      </c>
      <c r="S23" s="24">
        <v>7.0476196610180848</v>
      </c>
      <c r="T23" s="24">
        <v>0.48127491604504979</v>
      </c>
      <c r="U23" s="24" t="s">
        <v>4072</v>
      </c>
      <c r="V23">
        <v>0</v>
      </c>
      <c r="W23" s="21">
        <v>0</v>
      </c>
      <c r="X23" s="56">
        <f>IFERROR(VLOOKUP(A23,Output!A:F,6,0),"-")</f>
        <v>1.0000000000000047E-2</v>
      </c>
    </row>
    <row r="24" spans="1:24" hidden="1" x14ac:dyDescent="0.25">
      <c r="A24" s="21" t="s">
        <v>2647</v>
      </c>
      <c r="B24" s="40" t="s">
        <v>2648</v>
      </c>
      <c r="C24" s="21" t="s">
        <v>244</v>
      </c>
      <c r="D24" s="21" t="s">
        <v>73</v>
      </c>
      <c r="E24" s="21" t="s">
        <v>98</v>
      </c>
      <c r="F24" s="55">
        <v>4.9105399138995101E-3</v>
      </c>
      <c r="G24" s="24">
        <v>4.9444730000000003</v>
      </c>
      <c r="H24" s="24">
        <v>5.4146559999999999</v>
      </c>
      <c r="I24" s="24">
        <v>6.029604</v>
      </c>
      <c r="J24" s="24">
        <v>5.5665979999999999</v>
      </c>
      <c r="K24" s="24">
        <v>2.6500710000000001</v>
      </c>
      <c r="L24" s="24">
        <v>2.9614799999999999</v>
      </c>
      <c r="M24" s="24">
        <v>15.9305</v>
      </c>
      <c r="N24" s="24">
        <v>7.2719606878311982</v>
      </c>
      <c r="O24" s="24">
        <v>8.8775510204081645</v>
      </c>
      <c r="P24" s="24">
        <v>7.0548604313950358</v>
      </c>
      <c r="Q24" s="24">
        <v>2.0990111179742401</v>
      </c>
      <c r="R24" s="24">
        <v>9.3099989999999995</v>
      </c>
      <c r="S24" s="24">
        <v>5.8442238923851129</v>
      </c>
      <c r="T24" s="24">
        <v>1.0294823606816219</v>
      </c>
      <c r="U24" s="24" t="s">
        <v>4045</v>
      </c>
      <c r="V24">
        <v>0</v>
      </c>
      <c r="W24" s="21">
        <v>0</v>
      </c>
      <c r="X24" s="56" t="str">
        <f>IFERROR(VLOOKUP(A24,Output!A:F,6,0),"-")</f>
        <v>-</v>
      </c>
    </row>
    <row r="25" spans="1:24" hidden="1" x14ac:dyDescent="0.25">
      <c r="A25" s="21" t="s">
        <v>2649</v>
      </c>
      <c r="B25" s="40" t="s">
        <v>2650</v>
      </c>
      <c r="C25" s="21" t="s">
        <v>244</v>
      </c>
      <c r="D25" s="21" t="s">
        <v>73</v>
      </c>
      <c r="E25" s="21" t="s">
        <v>99</v>
      </c>
      <c r="F25" s="55">
        <v>4.5929822721023274E-3</v>
      </c>
      <c r="G25" s="24">
        <v>6.2260809999999998</v>
      </c>
      <c r="H25" s="24">
        <v>5.2561200000000001</v>
      </c>
      <c r="I25" s="24">
        <v>4.6657510000000002</v>
      </c>
      <c r="J25" s="24">
        <v>5.3826510000000001</v>
      </c>
      <c r="K25" s="24">
        <v>0.1169591</v>
      </c>
      <c r="L25" s="24">
        <v>3.5160179999999999</v>
      </c>
      <c r="M25" s="24">
        <v>16.6861</v>
      </c>
      <c r="N25" s="24">
        <v>6.74230518881651</v>
      </c>
      <c r="O25" s="24">
        <v>7.0833333333333339</v>
      </c>
      <c r="P25" s="24">
        <v>3.7910447761194028</v>
      </c>
      <c r="Q25" s="24">
        <v>4.7558610137409687</v>
      </c>
      <c r="R25" s="24" t="e">
        <v>#N/A</v>
      </c>
      <c r="S25" s="24">
        <v>5.0136178602735191</v>
      </c>
      <c r="T25" s="24">
        <v>1.6057398814315413</v>
      </c>
      <c r="U25" s="24" t="s">
        <v>4046</v>
      </c>
      <c r="V25">
        <v>0</v>
      </c>
      <c r="W25" s="21">
        <v>0</v>
      </c>
      <c r="X25" s="56" t="str">
        <f>IFERROR(VLOOKUP(A25,Output!A:F,6,0),"-")</f>
        <v>-</v>
      </c>
    </row>
    <row r="26" spans="1:24" hidden="1" x14ac:dyDescent="0.25">
      <c r="A26" s="21" t="s">
        <v>2597</v>
      </c>
      <c r="B26" s="40" t="s">
        <v>2598</v>
      </c>
      <c r="C26" s="21" t="s">
        <v>244</v>
      </c>
      <c r="D26" s="21" t="s">
        <v>73</v>
      </c>
      <c r="E26" s="21" t="s">
        <v>99</v>
      </c>
      <c r="F26" s="55">
        <v>4.4985905642168011E-3</v>
      </c>
      <c r="G26" s="21">
        <v>5.7443429999999998</v>
      </c>
      <c r="H26" s="21">
        <v>7.5253750000000004</v>
      </c>
      <c r="I26" s="21">
        <v>6.2781120000000001</v>
      </c>
      <c r="J26" s="21">
        <v>6.4387829999999999</v>
      </c>
      <c r="K26" s="24">
        <v>0</v>
      </c>
      <c r="L26" s="24">
        <v>2.5740500000000002</v>
      </c>
      <c r="M26" s="24">
        <v>4.6425999999999998</v>
      </c>
      <c r="N26" s="24">
        <v>6.8232045637888366</v>
      </c>
      <c r="O26" s="24">
        <v>7.9166666666666679</v>
      </c>
      <c r="P26" s="24">
        <v>3.1044776119402986</v>
      </c>
      <c r="Q26" s="24">
        <v>2.0990791218955653</v>
      </c>
      <c r="R26" s="24" t="e">
        <v>#N/A</v>
      </c>
      <c r="S26" s="24">
        <v>2.9247088795964866</v>
      </c>
      <c r="T26" s="24">
        <v>2.709478287792296</v>
      </c>
      <c r="U26" s="24" t="s">
        <v>3980</v>
      </c>
      <c r="V26">
        <v>0</v>
      </c>
      <c r="W26" s="21">
        <v>0</v>
      </c>
      <c r="X26" s="56" t="str">
        <f>IFERROR(VLOOKUP(A26,Output!A:F,6,0),"-")</f>
        <v>-</v>
      </c>
    </row>
    <row r="27" spans="1:24" hidden="1" x14ac:dyDescent="0.25">
      <c r="A27" s="21" t="s">
        <v>2704</v>
      </c>
      <c r="B27" s="40" t="s">
        <v>2705</v>
      </c>
      <c r="C27" s="21" t="s">
        <v>244</v>
      </c>
      <c r="D27" s="21" t="s">
        <v>73</v>
      </c>
      <c r="E27" s="21" t="s">
        <v>95</v>
      </c>
      <c r="F27" s="55">
        <v>4.4905389682349649E-3</v>
      </c>
      <c r="G27" s="24">
        <v>2.0290249999999999</v>
      </c>
      <c r="H27" s="24">
        <v>3.6780279999999999</v>
      </c>
      <c r="I27" s="24">
        <v>5.1540699999999999</v>
      </c>
      <c r="J27" s="24">
        <v>3.2963390000000001</v>
      </c>
      <c r="K27" s="24">
        <v>4.0773950000000001</v>
      </c>
      <c r="L27" s="24">
        <v>8.6434309999999996</v>
      </c>
      <c r="M27" s="24">
        <v>283.26870000000002</v>
      </c>
      <c r="N27" s="24">
        <v>9.8293395311772738</v>
      </c>
      <c r="O27" s="24">
        <v>2.3711340206185563</v>
      </c>
      <c r="P27" s="24">
        <v>5.0501672240802673</v>
      </c>
      <c r="Q27" s="24">
        <v>7.2445987192530961</v>
      </c>
      <c r="R27" s="24">
        <v>7.55</v>
      </c>
      <c r="S27" s="24">
        <v>6.8474415077092079</v>
      </c>
      <c r="T27" s="24">
        <v>0.57747439074987739</v>
      </c>
      <c r="U27" s="24" t="s">
        <v>4075</v>
      </c>
      <c r="V27">
        <v>1</v>
      </c>
      <c r="W27" s="21">
        <v>1</v>
      </c>
      <c r="X27" s="56" t="str">
        <f>IFERROR(VLOOKUP(A27,Output!A:F,6,0),"-")</f>
        <v>-</v>
      </c>
    </row>
    <row r="28" spans="1:24" hidden="1" x14ac:dyDescent="0.25">
      <c r="A28" s="21" t="s">
        <v>2775</v>
      </c>
      <c r="B28" s="40" t="s">
        <v>2776</v>
      </c>
      <c r="C28" s="21" t="s">
        <v>254</v>
      </c>
      <c r="D28" s="21" t="s">
        <v>74</v>
      </c>
      <c r="E28" s="21" t="s">
        <v>90</v>
      </c>
      <c r="F28" s="55">
        <v>4.3412147110299011E-3</v>
      </c>
      <c r="G28" s="24">
        <v>5.0076679999999998</v>
      </c>
      <c r="H28" s="24">
        <v>4.5129159999999997</v>
      </c>
      <c r="I28" s="24">
        <v>6.0553020000000002</v>
      </c>
      <c r="J28" s="24">
        <v>5.1735319999999998</v>
      </c>
      <c r="K28" s="24">
        <v>3.3429500000000001</v>
      </c>
      <c r="L28" s="24">
        <v>4.8712400000000002</v>
      </c>
      <c r="M28" s="24">
        <v>70.783600000000007</v>
      </c>
      <c r="N28" s="24">
        <v>3.9408719256855793</v>
      </c>
      <c r="O28" s="24">
        <v>2.3157894736842102</v>
      </c>
      <c r="P28" s="24">
        <v>8.1276595744680851</v>
      </c>
      <c r="Q28" s="24">
        <v>2.1227936427875065</v>
      </c>
      <c r="R28" s="24">
        <v>6.38</v>
      </c>
      <c r="S28" s="24">
        <v>5.5519296182806235</v>
      </c>
      <c r="T28" s="24">
        <v>0.10746744058199927</v>
      </c>
      <c r="U28" s="24" t="s">
        <v>4116</v>
      </c>
      <c r="V28">
        <v>0</v>
      </c>
      <c r="W28" s="21">
        <v>0</v>
      </c>
      <c r="X28" s="56" t="str">
        <f>IFERROR(VLOOKUP(A28,Output!A:F,6,0),"-")</f>
        <v>-</v>
      </c>
    </row>
    <row r="29" spans="1:24" hidden="1" x14ac:dyDescent="0.25">
      <c r="A29" s="21" t="s">
        <v>2611</v>
      </c>
      <c r="B29" s="40" t="s">
        <v>2612</v>
      </c>
      <c r="C29" s="21" t="s">
        <v>244</v>
      </c>
      <c r="D29" s="21" t="s">
        <v>73</v>
      </c>
      <c r="E29" s="21" t="s">
        <v>94</v>
      </c>
      <c r="F29" s="55">
        <v>4.1966159750452163E-3</v>
      </c>
      <c r="G29" s="21">
        <v>7.1474869999999999</v>
      </c>
      <c r="H29" s="21">
        <v>4.5516579999999998</v>
      </c>
      <c r="I29" s="21">
        <v>4.0581909999999999</v>
      </c>
      <c r="J29" s="21">
        <v>4.873437</v>
      </c>
      <c r="K29" s="24">
        <v>0</v>
      </c>
      <c r="L29" s="24">
        <v>3.6180189999999999</v>
      </c>
      <c r="M29" s="24">
        <v>2.6772</v>
      </c>
      <c r="N29" s="24">
        <v>9.7107279916770253</v>
      </c>
      <c r="O29" s="24">
        <v>9.591836734693878</v>
      </c>
      <c r="P29" s="24">
        <v>6.708373423323863</v>
      </c>
      <c r="Q29" s="24">
        <v>1.8363281762271422</v>
      </c>
      <c r="R29" s="24" t="e">
        <v>#N/A</v>
      </c>
      <c r="S29" s="24">
        <v>4.2326817183185526</v>
      </c>
      <c r="T29" s="24">
        <v>1.3612766960678893</v>
      </c>
      <c r="U29" s="24" t="s">
        <v>3991</v>
      </c>
      <c r="V29">
        <v>0</v>
      </c>
      <c r="W29" s="21">
        <v>0</v>
      </c>
      <c r="X29" s="56" t="str">
        <f>IFERROR(VLOOKUP(A29,Output!A:F,6,0),"-")</f>
        <v>-</v>
      </c>
    </row>
    <row r="30" spans="1:24" hidden="1" x14ac:dyDescent="0.25">
      <c r="A30" s="21" t="s">
        <v>794</v>
      </c>
      <c r="B30" s="40" t="s">
        <v>795</v>
      </c>
      <c r="C30" s="21" t="s">
        <v>244</v>
      </c>
      <c r="D30" s="21" t="s">
        <v>73</v>
      </c>
      <c r="E30" s="21" t="s">
        <v>85</v>
      </c>
      <c r="F30" s="55">
        <v>4.1233930327543205E-3</v>
      </c>
      <c r="G30" s="24">
        <v>4.3742970000000003</v>
      </c>
      <c r="H30" s="24">
        <v>5.3847589999999999</v>
      </c>
      <c r="I30" s="24">
        <v>4.5295209999999999</v>
      </c>
      <c r="J30" s="24">
        <v>4.7822870000000002</v>
      </c>
      <c r="K30" s="24">
        <v>2.681263</v>
      </c>
      <c r="L30" s="24">
        <v>9.5620770000000004</v>
      </c>
      <c r="M30" s="24">
        <v>7.9977</v>
      </c>
      <c r="N30" s="24">
        <v>4.9207903645833335</v>
      </c>
      <c r="O30" s="24">
        <v>1.0309278350515463</v>
      </c>
      <c r="P30" s="24">
        <v>3.00518134715026</v>
      </c>
      <c r="Q30" s="24">
        <v>6.3753770841868747</v>
      </c>
      <c r="R30" s="24">
        <v>5.37</v>
      </c>
      <c r="S30" s="24">
        <v>4.6325973541850143</v>
      </c>
      <c r="T30" s="24">
        <v>1.094270176269055</v>
      </c>
      <c r="U30" s="24" t="s">
        <v>4043</v>
      </c>
      <c r="V30">
        <v>0</v>
      </c>
      <c r="W30" s="21">
        <v>0</v>
      </c>
      <c r="X30" s="56" t="str">
        <f>IFERROR(VLOOKUP(A30,Output!A:F,6,0),"-")</f>
        <v>-</v>
      </c>
    </row>
    <row r="31" spans="1:24" hidden="1" x14ac:dyDescent="0.25">
      <c r="A31" s="21" t="s">
        <v>2740</v>
      </c>
      <c r="B31" s="40" t="s">
        <v>2741</v>
      </c>
      <c r="C31" s="21" t="s">
        <v>244</v>
      </c>
      <c r="D31" s="21" t="s">
        <v>73</v>
      </c>
      <c r="E31" s="21" t="s">
        <v>98</v>
      </c>
      <c r="F31" s="55">
        <v>4.0941525497334404E-3</v>
      </c>
      <c r="G31" s="24">
        <v>7.6160550000000002</v>
      </c>
      <c r="H31" s="24">
        <v>4.5632339999999996</v>
      </c>
      <c r="I31" s="24">
        <v>5.3043800000000001</v>
      </c>
      <c r="J31" s="24">
        <v>5.4702570000000001</v>
      </c>
      <c r="K31" s="24">
        <v>1.420261</v>
      </c>
      <c r="L31" s="24">
        <v>4.3229470000000001</v>
      </c>
      <c r="M31" s="24">
        <v>36.444600000000001</v>
      </c>
      <c r="N31" s="24">
        <v>4.4636827641356023</v>
      </c>
      <c r="O31" s="24">
        <v>5.3061224489795924</v>
      </c>
      <c r="P31" s="24">
        <v>5.8132819858066682</v>
      </c>
      <c r="Q31" s="24">
        <v>4.8285759627925291</v>
      </c>
      <c r="R31" s="24">
        <v>6.31</v>
      </c>
      <c r="S31" s="24">
        <v>5.6916295454992518</v>
      </c>
      <c r="T31" s="24">
        <v>0.49289737255389759</v>
      </c>
      <c r="U31" s="24" t="s">
        <v>4099</v>
      </c>
      <c r="V31">
        <v>0</v>
      </c>
      <c r="W31" s="21">
        <v>0</v>
      </c>
      <c r="X31" s="56" t="str">
        <f>IFERROR(VLOOKUP(A31,Output!A:F,6,0),"-")</f>
        <v>-</v>
      </c>
    </row>
    <row r="32" spans="1:24" x14ac:dyDescent="0.25">
      <c r="A32" s="21" t="s">
        <v>2744</v>
      </c>
      <c r="B32" s="40" t="s">
        <v>2745</v>
      </c>
      <c r="C32" s="21" t="s">
        <v>248</v>
      </c>
      <c r="D32" s="21" t="s">
        <v>75</v>
      </c>
      <c r="E32" s="21" t="s">
        <v>103</v>
      </c>
      <c r="F32" s="55">
        <v>3.9420253753216557E-3</v>
      </c>
      <c r="G32" s="24">
        <v>4.8305899999999999</v>
      </c>
      <c r="H32" s="24">
        <v>5.3328699999999998</v>
      </c>
      <c r="I32" s="24">
        <v>4.5803799999999999</v>
      </c>
      <c r="J32" s="24">
        <v>4.9062109999999999</v>
      </c>
      <c r="K32" s="24">
        <v>2.3239359999999998</v>
      </c>
      <c r="L32" s="24">
        <v>15.953799999999999</v>
      </c>
      <c r="M32" s="24">
        <v>33.988399999999999</v>
      </c>
      <c r="N32" s="24">
        <v>9.7295872790542024</v>
      </c>
      <c r="O32" s="24">
        <v>10</v>
      </c>
      <c r="P32" s="24">
        <v>3.2954545454545459</v>
      </c>
      <c r="Q32" s="24">
        <v>5.1191050314845343</v>
      </c>
      <c r="R32" s="24">
        <v>5.74</v>
      </c>
      <c r="S32" s="24">
        <v>5.7345557139787893</v>
      </c>
      <c r="T32" s="24">
        <v>0.51558386056637961</v>
      </c>
      <c r="U32" s="24" t="s">
        <v>4100</v>
      </c>
      <c r="V32">
        <v>0</v>
      </c>
      <c r="W32" s="21">
        <v>0</v>
      </c>
      <c r="X32" s="56" t="str">
        <f>IFERROR(VLOOKUP(A32,Output!A:F,6,0),"-")</f>
        <v>-</v>
      </c>
    </row>
    <row r="33" spans="1:24" hidden="1" x14ac:dyDescent="0.25">
      <c r="A33" s="21" t="s">
        <v>796</v>
      </c>
      <c r="B33" s="40" t="s">
        <v>797</v>
      </c>
      <c r="C33" s="21" t="s">
        <v>244</v>
      </c>
      <c r="D33" s="21" t="s">
        <v>73</v>
      </c>
      <c r="E33" s="21" t="s">
        <v>90</v>
      </c>
      <c r="F33" s="55">
        <v>3.8441959186581794E-3</v>
      </c>
      <c r="G33" s="24">
        <v>5.5316239999999999</v>
      </c>
      <c r="H33" s="24">
        <v>3.6913830000000001</v>
      </c>
      <c r="I33" s="24">
        <v>6.3764380000000003</v>
      </c>
      <c r="J33" s="24">
        <v>5.232996</v>
      </c>
      <c r="K33" s="24">
        <v>3.238216</v>
      </c>
      <c r="L33" s="24">
        <v>4.9000649999999997</v>
      </c>
      <c r="M33" s="24">
        <v>60.230400000000003</v>
      </c>
      <c r="N33" s="24">
        <v>4.6983893294881032</v>
      </c>
      <c r="O33" s="24">
        <v>5.7731958762886588</v>
      </c>
      <c r="P33" s="24">
        <v>5.228215767634854</v>
      </c>
      <c r="Q33" s="24">
        <v>1.491662340726758</v>
      </c>
      <c r="R33" s="24">
        <v>6.35</v>
      </c>
      <c r="S33" s="24">
        <v>4.8187404021102935</v>
      </c>
      <c r="T33" s="24">
        <v>0.45238736638516319</v>
      </c>
      <c r="U33" s="24" t="s">
        <v>4085</v>
      </c>
      <c r="V33">
        <v>0</v>
      </c>
      <c r="W33" s="21">
        <v>0</v>
      </c>
      <c r="X33" s="56" t="str">
        <f>IFERROR(VLOOKUP(A33,Output!A:F,6,0),"-")</f>
        <v>-</v>
      </c>
    </row>
    <row r="34" spans="1:24" hidden="1" x14ac:dyDescent="0.25">
      <c r="A34" s="21" t="s">
        <v>2756</v>
      </c>
      <c r="B34" s="40" t="s">
        <v>2757</v>
      </c>
      <c r="C34" s="21" t="s">
        <v>249</v>
      </c>
      <c r="D34" s="21" t="s">
        <v>74</v>
      </c>
      <c r="E34" s="21" t="s">
        <v>96</v>
      </c>
      <c r="F34" s="55">
        <v>3.7920914383508808E-3</v>
      </c>
      <c r="G34" s="21">
        <v>6.2236149999999997</v>
      </c>
      <c r="H34" s="21">
        <v>7.6232839999999999</v>
      </c>
      <c r="I34" s="21">
        <v>5.8775890000000004</v>
      </c>
      <c r="J34" s="21">
        <v>6.5748300000000004</v>
      </c>
      <c r="K34" s="24">
        <v>1.734971</v>
      </c>
      <c r="L34" s="24">
        <v>4.4174879999999996</v>
      </c>
      <c r="M34" s="24">
        <v>8.6640999999999995</v>
      </c>
      <c r="N34" s="24">
        <v>8.3435439976286467</v>
      </c>
      <c r="O34" s="24">
        <v>2.9292929292929291</v>
      </c>
      <c r="P34" s="24">
        <v>6.8842729970326406</v>
      </c>
      <c r="Q34" s="24">
        <v>1.7460517224980585</v>
      </c>
      <c r="R34" s="24">
        <v>4.41</v>
      </c>
      <c r="S34" s="24">
        <v>4.1137930693462472</v>
      </c>
      <c r="T34" s="24">
        <v>0.60954874980607121</v>
      </c>
      <c r="U34" s="24" t="s">
        <v>4106</v>
      </c>
      <c r="V34">
        <v>0</v>
      </c>
      <c r="W34" s="21">
        <v>0</v>
      </c>
      <c r="X34" s="56" t="str">
        <f>IFERROR(VLOOKUP(A34,Output!A:F,6,0),"-")</f>
        <v>-</v>
      </c>
    </row>
    <row r="35" spans="1:24" hidden="1" x14ac:dyDescent="0.25">
      <c r="A35" s="21" t="s">
        <v>2674</v>
      </c>
      <c r="B35" s="40" t="s">
        <v>2675</v>
      </c>
      <c r="C35" s="21" t="s">
        <v>244</v>
      </c>
      <c r="D35" s="21" t="s">
        <v>73</v>
      </c>
      <c r="E35" s="21" t="s">
        <v>90</v>
      </c>
      <c r="F35" s="55">
        <v>3.6788811495781556E-3</v>
      </c>
      <c r="G35" s="24">
        <v>4.7646610000000003</v>
      </c>
      <c r="H35" s="24">
        <v>2.9677210000000001</v>
      </c>
      <c r="I35" s="24">
        <v>5.3007710000000001</v>
      </c>
      <c r="J35" s="24">
        <v>4.386412</v>
      </c>
      <c r="K35" s="24">
        <v>3.0904780000000001</v>
      </c>
      <c r="L35" s="24">
        <v>4.9315790000000002</v>
      </c>
      <c r="M35" s="24">
        <v>76.965500000000006</v>
      </c>
      <c r="N35" s="24">
        <v>7.7000720980533526</v>
      </c>
      <c r="O35" s="24">
        <v>4.4329896907216497</v>
      </c>
      <c r="P35" s="24">
        <v>5.7261410788381752</v>
      </c>
      <c r="Q35" s="24">
        <v>2.1142048135913165</v>
      </c>
      <c r="R35" s="24">
        <v>6.83</v>
      </c>
      <c r="S35" s="24">
        <v>5.3397829996102235</v>
      </c>
      <c r="T35" s="24">
        <v>0.49099914839648151</v>
      </c>
      <c r="U35" s="24" t="s">
        <v>4090</v>
      </c>
      <c r="V35">
        <v>0</v>
      </c>
      <c r="W35" s="21">
        <v>1</v>
      </c>
      <c r="X35" s="56" t="str">
        <f>IFERROR(VLOOKUP(A35,Output!A:F,6,0),"-")</f>
        <v>-</v>
      </c>
    </row>
    <row r="36" spans="1:24" hidden="1" x14ac:dyDescent="0.25">
      <c r="A36" s="21" t="s">
        <v>2596</v>
      </c>
      <c r="B36" s="40" t="s">
        <v>4554</v>
      </c>
      <c r="C36" s="21" t="s">
        <v>244</v>
      </c>
      <c r="D36" s="21" t="s">
        <v>73</v>
      </c>
      <c r="E36" s="21" t="s">
        <v>99</v>
      </c>
      <c r="F36" s="55">
        <v>3.52770169519822E-3</v>
      </c>
      <c r="G36" s="24">
        <v>7.4522620000000002</v>
      </c>
      <c r="H36" s="24">
        <v>6.682188</v>
      </c>
      <c r="I36" s="24">
        <v>6.5078639999999996</v>
      </c>
      <c r="J36" s="24">
        <v>6.8807720000000003</v>
      </c>
      <c r="K36" s="24">
        <v>0</v>
      </c>
      <c r="L36" s="24">
        <v>2.9797340000000001</v>
      </c>
      <c r="M36" s="24">
        <v>4.5644999999999998</v>
      </c>
      <c r="N36" s="24">
        <v>6.5982637409837199</v>
      </c>
      <c r="O36" s="24">
        <v>5.6250000000000009</v>
      </c>
      <c r="P36" s="24">
        <v>7.6417910447761193</v>
      </c>
      <c r="Q36" s="24">
        <v>3.3960271550917569</v>
      </c>
      <c r="R36" s="24" t="e">
        <v>#N/A</v>
      </c>
      <c r="S36" s="24">
        <v>4.7014427665252221</v>
      </c>
      <c r="T36" s="24">
        <v>1.9560262332172358</v>
      </c>
      <c r="U36" s="24" t="s">
        <v>4011</v>
      </c>
      <c r="V36">
        <v>0</v>
      </c>
      <c r="W36" s="21">
        <v>0</v>
      </c>
      <c r="X36" s="56" t="str">
        <f>IFERROR(VLOOKUP(A36,Output!A:F,6,0),"-")</f>
        <v>-</v>
      </c>
    </row>
    <row r="37" spans="1:24" hidden="1" x14ac:dyDescent="0.25">
      <c r="A37" s="21" t="s">
        <v>4392</v>
      </c>
      <c r="B37" s="40" t="s">
        <v>4393</v>
      </c>
      <c r="C37" s="21" t="s">
        <v>247</v>
      </c>
      <c r="D37" s="21" t="s">
        <v>74</v>
      </c>
      <c r="E37" s="21" t="s">
        <v>95</v>
      </c>
      <c r="F37" s="55">
        <v>3.4961734039475902E-3</v>
      </c>
      <c r="G37" s="21">
        <v>5.5514239999999999</v>
      </c>
      <c r="H37" s="21">
        <v>3.524079</v>
      </c>
      <c r="I37" s="21">
        <v>4.852951</v>
      </c>
      <c r="J37" s="21">
        <v>4.9364129999999999</v>
      </c>
      <c r="K37" s="24">
        <v>4.0660610000000004</v>
      </c>
      <c r="L37" s="24">
        <v>11.94131</v>
      </c>
      <c r="M37" s="24">
        <v>300.07769999999999</v>
      </c>
      <c r="N37" s="24">
        <v>8.1005413545730658</v>
      </c>
      <c r="O37" s="24">
        <v>6.8539325842696623</v>
      </c>
      <c r="P37" s="24">
        <v>3.8113207547169807</v>
      </c>
      <c r="Q37" s="24">
        <v>6.1856641799560208</v>
      </c>
      <c r="R37" s="24">
        <v>4.1500000000000004</v>
      </c>
      <c r="S37" s="24">
        <v>5.952752068112753</v>
      </c>
      <c r="T37" s="24">
        <v>0.26596504418762146</v>
      </c>
      <c r="U37" s="24" t="s">
        <v>4394</v>
      </c>
      <c r="V37">
        <v>1</v>
      </c>
      <c r="W37" s="21">
        <v>0</v>
      </c>
      <c r="X37" s="56" t="str">
        <f>IFERROR(VLOOKUP(A37,Output!A:F,6,0),"-")</f>
        <v>-</v>
      </c>
    </row>
    <row r="38" spans="1:24" hidden="1" x14ac:dyDescent="0.25">
      <c r="A38" s="21" t="s">
        <v>2653</v>
      </c>
      <c r="B38" s="40" t="s">
        <v>2654</v>
      </c>
      <c r="C38" s="21" t="s">
        <v>244</v>
      </c>
      <c r="D38" s="21" t="s">
        <v>73</v>
      </c>
      <c r="E38" s="21" t="s">
        <v>94</v>
      </c>
      <c r="F38" s="55">
        <v>3.4943443646504543E-3</v>
      </c>
      <c r="G38" s="24">
        <v>6.1396379999999997</v>
      </c>
      <c r="H38" s="24">
        <v>4.9226289999999997</v>
      </c>
      <c r="I38" s="24">
        <v>6.2800339999999997</v>
      </c>
      <c r="J38" s="24">
        <v>5.7089930000000004</v>
      </c>
      <c r="K38" s="24">
        <v>0.59462459999999995</v>
      </c>
      <c r="L38" s="24">
        <v>5.6917369999999998</v>
      </c>
      <c r="M38" s="24">
        <v>20.277000000000001</v>
      </c>
      <c r="N38" s="24">
        <v>4.5038014364529459</v>
      </c>
      <c r="O38" s="24">
        <v>7.5510204081632644</v>
      </c>
      <c r="P38" s="24">
        <v>2.7815206651839111</v>
      </c>
      <c r="Q38" s="24">
        <v>4.6119704324108861</v>
      </c>
      <c r="R38" s="24">
        <v>4.63</v>
      </c>
      <c r="S38" s="24">
        <v>4.2078932758652492</v>
      </c>
      <c r="T38" s="24">
        <v>0.99818883094590294</v>
      </c>
      <c r="U38" s="24" t="s">
        <v>4047</v>
      </c>
      <c r="V38">
        <v>0</v>
      </c>
      <c r="W38" s="21">
        <v>0</v>
      </c>
      <c r="X38" s="56" t="str">
        <f>IFERROR(VLOOKUP(A38,Output!A:F,6,0),"-")</f>
        <v>-</v>
      </c>
    </row>
    <row r="39" spans="1:24" hidden="1" x14ac:dyDescent="0.25">
      <c r="A39" s="21" t="s">
        <v>4389</v>
      </c>
      <c r="B39" s="40" t="s">
        <v>4390</v>
      </c>
      <c r="C39" s="21" t="s">
        <v>244</v>
      </c>
      <c r="D39" s="21" t="s">
        <v>73</v>
      </c>
      <c r="E39" s="21" t="s">
        <v>87</v>
      </c>
      <c r="F39" s="55">
        <v>3.4735528761385666E-3</v>
      </c>
      <c r="G39" s="21">
        <v>5.2339169999999999</v>
      </c>
      <c r="H39" s="21">
        <v>5.1961430000000002</v>
      </c>
      <c r="I39" s="21">
        <v>4.9945919999999999</v>
      </c>
      <c r="J39" s="21">
        <v>5.1415509999999998</v>
      </c>
      <c r="K39" s="24">
        <v>1.2143029999999999</v>
      </c>
      <c r="L39" s="24">
        <v>3.8675639999999998</v>
      </c>
      <c r="M39" s="24">
        <v>1393.6179999999999</v>
      </c>
      <c r="N39" s="24">
        <v>7.9467974146073042</v>
      </c>
      <c r="O39" s="24">
        <v>8.6597938144329891</v>
      </c>
      <c r="P39" s="24">
        <v>5.4074074074074074</v>
      </c>
      <c r="Q39" s="24">
        <v>1.0476329790546544</v>
      </c>
      <c r="R39" s="24">
        <v>4.6100000000000003</v>
      </c>
      <c r="S39" s="24">
        <v>4.9004568833832902</v>
      </c>
      <c r="T39" s="24">
        <v>0.68612690645042418</v>
      </c>
      <c r="U39" s="24" t="s">
        <v>4391</v>
      </c>
      <c r="V39">
        <v>0</v>
      </c>
      <c r="W39" s="21">
        <v>0</v>
      </c>
      <c r="X39" s="56" t="str">
        <f>IFERROR(VLOOKUP(A39,Output!A:F,6,0),"-")</f>
        <v>-</v>
      </c>
    </row>
    <row r="40" spans="1:24" hidden="1" x14ac:dyDescent="0.25">
      <c r="A40" s="21" t="s">
        <v>2684</v>
      </c>
      <c r="B40" s="40" t="s">
        <v>2685</v>
      </c>
      <c r="C40" s="21" t="s">
        <v>244</v>
      </c>
      <c r="D40" s="21" t="s">
        <v>73</v>
      </c>
      <c r="E40" s="21" t="s">
        <v>91</v>
      </c>
      <c r="F40" s="55">
        <v>3.4418927894270322E-3</v>
      </c>
      <c r="G40" s="24">
        <v>4.9173749999999998</v>
      </c>
      <c r="H40" s="24">
        <v>3.1566550000000002</v>
      </c>
      <c r="I40" s="24">
        <v>6.7297019999999996</v>
      </c>
      <c r="J40" s="24">
        <v>4.9380179999999996</v>
      </c>
      <c r="K40" s="24">
        <v>0.26547979999999999</v>
      </c>
      <c r="L40" s="24">
        <v>4.164345</v>
      </c>
      <c r="M40" s="24">
        <v>19.241099999999999</v>
      </c>
      <c r="N40" s="24">
        <v>5.1894374108438655</v>
      </c>
      <c r="O40" s="24">
        <v>2.9292929292929291</v>
      </c>
      <c r="P40" s="24">
        <v>5.0415800621971734</v>
      </c>
      <c r="Q40" s="24">
        <v>3.8487893357901699</v>
      </c>
      <c r="R40" s="24">
        <v>5.9</v>
      </c>
      <c r="S40" s="24">
        <v>5.0213856675282607</v>
      </c>
      <c r="T40" s="24">
        <v>0.99410487737268793</v>
      </c>
      <c r="U40" s="24" t="s">
        <v>4065</v>
      </c>
      <c r="V40">
        <v>0</v>
      </c>
      <c r="W40" s="21">
        <v>0</v>
      </c>
      <c r="X40" s="56" t="str">
        <f>IFERROR(VLOOKUP(A40,Output!A:F,6,0),"-")</f>
        <v>-</v>
      </c>
    </row>
    <row r="41" spans="1:24" hidden="1" x14ac:dyDescent="0.25">
      <c r="A41" s="21" t="s">
        <v>152</v>
      </c>
      <c r="B41" s="40" t="s">
        <v>219</v>
      </c>
      <c r="C41" s="21" t="s">
        <v>244</v>
      </c>
      <c r="D41" s="21" t="s">
        <v>73</v>
      </c>
      <c r="E41" s="21" t="s">
        <v>92</v>
      </c>
      <c r="F41" s="55">
        <v>3.2824816521377638E-3</v>
      </c>
      <c r="G41" s="24">
        <v>8.1320300000000003</v>
      </c>
      <c r="H41" s="24">
        <v>5.2007190000000003</v>
      </c>
      <c r="I41" s="24">
        <v>7.5077850000000002</v>
      </c>
      <c r="J41" s="24">
        <v>6.9468449999999997</v>
      </c>
      <c r="K41" s="24">
        <v>1.5163059999999999</v>
      </c>
      <c r="L41" s="24">
        <v>3.773247</v>
      </c>
      <c r="M41" s="24">
        <v>3.8546999999999998</v>
      </c>
      <c r="N41" s="24">
        <v>5.5539772727272734</v>
      </c>
      <c r="O41" s="24">
        <v>3.9393939393939394</v>
      </c>
      <c r="P41" s="24">
        <v>8.2389289464925692</v>
      </c>
      <c r="Q41" s="24">
        <v>3.3103265197770106</v>
      </c>
      <c r="R41" s="24">
        <v>7.27</v>
      </c>
      <c r="S41" s="24">
        <v>5.137088068080903</v>
      </c>
      <c r="T41" s="24">
        <v>1.213271871269062</v>
      </c>
      <c r="U41" s="24" t="s">
        <v>2874</v>
      </c>
      <c r="V41">
        <v>0</v>
      </c>
      <c r="W41" s="21">
        <v>0</v>
      </c>
      <c r="X41" s="56" t="str">
        <f>IFERROR(VLOOKUP(A41,Output!A:F,6,0),"-")</f>
        <v>-</v>
      </c>
    </row>
    <row r="42" spans="1:24" hidden="1" x14ac:dyDescent="0.25">
      <c r="A42" s="21" t="s">
        <v>792</v>
      </c>
      <c r="B42" s="40" t="s">
        <v>793</v>
      </c>
      <c r="C42" s="21" t="s">
        <v>244</v>
      </c>
      <c r="D42" s="21" t="s">
        <v>73</v>
      </c>
      <c r="E42" s="21" t="s">
        <v>85</v>
      </c>
      <c r="F42" s="55">
        <v>3.2471383350264407E-3</v>
      </c>
      <c r="G42" s="24">
        <v>3.204609</v>
      </c>
      <c r="H42" s="24">
        <v>4.9504570000000001</v>
      </c>
      <c r="I42" s="24">
        <v>5.5208899999999996</v>
      </c>
      <c r="J42" s="24">
        <v>4.6263540000000001</v>
      </c>
      <c r="K42" s="24">
        <v>2.5739079999999999</v>
      </c>
      <c r="L42" s="24">
        <v>9.9733040000000006</v>
      </c>
      <c r="M42" s="24">
        <v>8.8153000000000006</v>
      </c>
      <c r="N42" s="24">
        <v>1.2760416666666665</v>
      </c>
      <c r="O42" s="24">
        <v>5.1546391752577314</v>
      </c>
      <c r="P42" s="24">
        <v>3.2901554404145084</v>
      </c>
      <c r="Q42" s="24">
        <v>7.5950629823431797</v>
      </c>
      <c r="R42" s="24">
        <v>5.24</v>
      </c>
      <c r="S42" s="24">
        <v>4.5168123597406185</v>
      </c>
      <c r="T42" s="24">
        <v>0.9181191290769577</v>
      </c>
      <c r="U42" s="24" t="s">
        <v>4030</v>
      </c>
      <c r="V42">
        <v>0</v>
      </c>
      <c r="W42" s="21">
        <v>0</v>
      </c>
      <c r="X42" s="56" t="str">
        <f>IFERROR(VLOOKUP(A42,Output!A:F,6,0),"-")</f>
        <v>-</v>
      </c>
    </row>
    <row r="43" spans="1:24" hidden="1" x14ac:dyDescent="0.25">
      <c r="A43" s="21" t="s">
        <v>2670</v>
      </c>
      <c r="B43" s="40" t="s">
        <v>2671</v>
      </c>
      <c r="C43" s="21" t="s">
        <v>244</v>
      </c>
      <c r="D43" s="21" t="s">
        <v>73</v>
      </c>
      <c r="E43" s="21" t="s">
        <v>99</v>
      </c>
      <c r="F43" s="55">
        <v>3.191177579897403E-3</v>
      </c>
      <c r="G43" s="21">
        <v>4.7593069999999997</v>
      </c>
      <c r="H43" s="21">
        <v>2.763328</v>
      </c>
      <c r="I43" s="21">
        <v>6.128031</v>
      </c>
      <c r="J43" s="21">
        <v>4.5502219999999998</v>
      </c>
      <c r="K43" s="24">
        <v>1.236327</v>
      </c>
      <c r="L43" s="24">
        <v>5.2233309999999999</v>
      </c>
      <c r="M43" s="24">
        <v>19.8538</v>
      </c>
      <c r="N43" s="24">
        <v>4.2028416892534874</v>
      </c>
      <c r="O43" s="24">
        <v>3.75</v>
      </c>
      <c r="P43" s="24">
        <v>5.6716417910447756</v>
      </c>
      <c r="Q43" s="24">
        <v>4.3650838789024853</v>
      </c>
      <c r="R43" s="24">
        <v>8.2100000000000009</v>
      </c>
      <c r="S43" s="24">
        <v>5.6067182768941715</v>
      </c>
      <c r="T43" s="24">
        <v>1.562837737043979</v>
      </c>
      <c r="U43" s="24" t="s">
        <v>4059</v>
      </c>
      <c r="V43">
        <v>0</v>
      </c>
      <c r="W43" s="21">
        <v>1</v>
      </c>
      <c r="X43" s="56" t="str">
        <f>IFERROR(VLOOKUP(A43,Output!A:F,6,0),"-")</f>
        <v>-</v>
      </c>
    </row>
    <row r="44" spans="1:24" hidden="1" x14ac:dyDescent="0.25">
      <c r="A44" s="21" t="s">
        <v>2758</v>
      </c>
      <c r="B44" s="40" t="s">
        <v>2759</v>
      </c>
      <c r="C44" s="21" t="s">
        <v>247</v>
      </c>
      <c r="D44" s="21" t="s">
        <v>74</v>
      </c>
      <c r="E44" s="21" t="s">
        <v>91</v>
      </c>
      <c r="F44" s="55">
        <v>3.1752776145223005E-3</v>
      </c>
      <c r="G44" s="21">
        <v>6.6815569999999997</v>
      </c>
      <c r="H44" s="21">
        <v>5.8361499999999999</v>
      </c>
      <c r="I44" s="21">
        <v>6.281288</v>
      </c>
      <c r="J44" s="21">
        <v>6.183287</v>
      </c>
      <c r="K44" s="24">
        <v>2.3204180000000001</v>
      </c>
      <c r="L44" s="24">
        <v>6.1573460000000004</v>
      </c>
      <c r="M44" s="24">
        <v>13.7652</v>
      </c>
      <c r="N44" s="24">
        <v>6.8782703071672362</v>
      </c>
      <c r="O44" s="24">
        <v>2.474226804123711</v>
      </c>
      <c r="P44" s="24">
        <v>5.2991452991452999</v>
      </c>
      <c r="Q44" s="24">
        <v>4.7850016306442527</v>
      </c>
      <c r="R44" s="24">
        <v>6.53</v>
      </c>
      <c r="S44" s="24">
        <v>6.4249620805688128</v>
      </c>
      <c r="T44" s="24">
        <v>0.40207557729291943</v>
      </c>
      <c r="U44" s="24" t="s">
        <v>4107</v>
      </c>
      <c r="V44">
        <v>0</v>
      </c>
      <c r="W44" s="21">
        <v>0</v>
      </c>
      <c r="X44" s="56" t="str">
        <f>IFERROR(VLOOKUP(A44,Output!A:F,6,0),"-")</f>
        <v>-</v>
      </c>
    </row>
    <row r="45" spans="1:24" hidden="1" x14ac:dyDescent="0.25">
      <c r="A45" s="21" t="s">
        <v>2771</v>
      </c>
      <c r="B45" s="40" t="s">
        <v>2772</v>
      </c>
      <c r="C45" s="21" t="s">
        <v>257</v>
      </c>
      <c r="D45" s="21" t="s">
        <v>74</v>
      </c>
      <c r="E45" s="21" t="s">
        <v>99</v>
      </c>
      <c r="F45" s="55">
        <v>3.1431879349725499E-3</v>
      </c>
      <c r="G45" s="21">
        <v>6.3673359999999999</v>
      </c>
      <c r="H45" s="21">
        <v>5.8930819999999997</v>
      </c>
      <c r="I45" s="21">
        <v>4.5364870000000002</v>
      </c>
      <c r="J45" s="21">
        <v>5.5989690000000003</v>
      </c>
      <c r="K45" s="24">
        <v>1.2195119999999999</v>
      </c>
      <c r="L45" s="24">
        <v>3.586805</v>
      </c>
      <c r="M45" s="24">
        <v>7.4637000000000002</v>
      </c>
      <c r="N45" s="24">
        <v>0.85654037972472419</v>
      </c>
      <c r="O45" s="24">
        <v>2.087912087912088</v>
      </c>
      <c r="P45" s="24">
        <v>0.82352879485907837</v>
      </c>
      <c r="Q45" s="24">
        <v>3.6004161243999793</v>
      </c>
      <c r="R45" s="24">
        <v>5.72</v>
      </c>
      <c r="S45" s="24">
        <v>3.401505362698805</v>
      </c>
      <c r="T45" s="24">
        <v>0.70764553898836358</v>
      </c>
      <c r="U45" s="24" t="s">
        <v>4114</v>
      </c>
      <c r="V45">
        <v>0</v>
      </c>
      <c r="W45" s="21">
        <v>0</v>
      </c>
      <c r="X45" s="56" t="str">
        <f>IFERROR(VLOOKUP(A45,Output!A:F,6,0),"-")</f>
        <v>-</v>
      </c>
    </row>
    <row r="46" spans="1:24" hidden="1" x14ac:dyDescent="0.25">
      <c r="A46" s="21" t="s">
        <v>674</v>
      </c>
      <c r="B46" s="40" t="s">
        <v>675</v>
      </c>
      <c r="C46" s="21" t="s">
        <v>244</v>
      </c>
      <c r="D46" s="21" t="s">
        <v>73</v>
      </c>
      <c r="E46" s="21" t="s">
        <v>101</v>
      </c>
      <c r="F46" s="55">
        <v>3.1389986502457761E-3</v>
      </c>
      <c r="G46" s="24">
        <v>5.3102910000000003</v>
      </c>
      <c r="H46" s="24">
        <v>3.610503</v>
      </c>
      <c r="I46" s="24">
        <v>4.9734670000000003</v>
      </c>
      <c r="J46" s="24">
        <v>4.4956459999999998</v>
      </c>
      <c r="K46" s="24">
        <v>2.4250409999999998</v>
      </c>
      <c r="L46" s="24">
        <v>4.299506</v>
      </c>
      <c r="M46" s="24">
        <v>31.0974</v>
      </c>
      <c r="N46" s="24">
        <v>4.0751687626974267</v>
      </c>
      <c r="O46" s="24">
        <v>3.0612244897959178</v>
      </c>
      <c r="P46" s="24">
        <v>5.3897974798452264</v>
      </c>
      <c r="Q46" s="24">
        <v>2.7351356951777896</v>
      </c>
      <c r="R46" s="24">
        <v>7.74</v>
      </c>
      <c r="S46" s="24">
        <v>5.216784294728777</v>
      </c>
      <c r="T46" s="24">
        <v>0.58080949687634253</v>
      </c>
      <c r="U46" s="24" t="s">
        <v>4056</v>
      </c>
      <c r="V46">
        <v>0</v>
      </c>
      <c r="W46" s="21">
        <v>1</v>
      </c>
      <c r="X46" s="56" t="str">
        <f>IFERROR(VLOOKUP(A46,Output!A:F,6,0),"-")</f>
        <v>-</v>
      </c>
    </row>
    <row r="47" spans="1:24" hidden="1" x14ac:dyDescent="0.25">
      <c r="A47" s="21" t="s">
        <v>154</v>
      </c>
      <c r="B47" s="40" t="s">
        <v>221</v>
      </c>
      <c r="C47" s="21" t="s">
        <v>244</v>
      </c>
      <c r="D47" s="21" t="s">
        <v>73</v>
      </c>
      <c r="E47" s="21" t="s">
        <v>100</v>
      </c>
      <c r="F47" s="55">
        <v>3.1302548765761344E-3</v>
      </c>
      <c r="G47" s="24">
        <v>6.8625480000000003</v>
      </c>
      <c r="H47" s="24">
        <v>6.1167629999999997</v>
      </c>
      <c r="I47" s="24">
        <v>9.1105169999999998</v>
      </c>
      <c r="J47" s="24">
        <v>7.3132029999999997</v>
      </c>
      <c r="K47" s="24">
        <v>3.1931120000000002</v>
      </c>
      <c r="L47" s="24">
        <v>7.2851549999999996</v>
      </c>
      <c r="M47" s="24">
        <v>14.4331</v>
      </c>
      <c r="N47" s="24">
        <v>3.5033321643968609</v>
      </c>
      <c r="O47" s="24">
        <v>3.5555555555555558</v>
      </c>
      <c r="P47" s="24">
        <v>8.9473684210526301</v>
      </c>
      <c r="Q47" s="24">
        <v>4.2192859842980877</v>
      </c>
      <c r="R47" s="24">
        <v>6.35</v>
      </c>
      <c r="S47" s="24">
        <v>6.1740010013143758</v>
      </c>
      <c r="T47" s="24">
        <v>0.94161132661236835</v>
      </c>
      <c r="U47" s="24" t="s">
        <v>2876</v>
      </c>
      <c r="V47">
        <v>0</v>
      </c>
      <c r="W47" s="21">
        <v>0</v>
      </c>
      <c r="X47" s="56">
        <f>IFERROR(VLOOKUP(A47,Output!A:F,6,0),"-")</f>
        <v>2.3952622439854448E-2</v>
      </c>
    </row>
    <row r="48" spans="1:24" hidden="1" x14ac:dyDescent="0.25">
      <c r="A48" s="21" t="s">
        <v>2764</v>
      </c>
      <c r="B48" s="40" t="s">
        <v>2765</v>
      </c>
      <c r="C48" s="21" t="s">
        <v>254</v>
      </c>
      <c r="D48" s="21" t="s">
        <v>74</v>
      </c>
      <c r="E48" s="21" t="s">
        <v>91</v>
      </c>
      <c r="F48" s="55">
        <v>3.0247762528190802E-3</v>
      </c>
      <c r="G48" s="21">
        <v>5.2189670000000001</v>
      </c>
      <c r="H48" s="21">
        <v>5.4668789999999996</v>
      </c>
      <c r="I48" s="21">
        <v>5.0660860000000003</v>
      </c>
      <c r="J48" s="21">
        <v>5.2569790000000003</v>
      </c>
      <c r="K48" s="24">
        <v>3.8594889999999999</v>
      </c>
      <c r="L48" s="24">
        <v>7.205171</v>
      </c>
      <c r="M48" s="24" t="e">
        <v>#N/A</v>
      </c>
      <c r="N48" s="24">
        <v>6.3708764505119468</v>
      </c>
      <c r="O48" s="24">
        <v>7.3195876288659791</v>
      </c>
      <c r="P48" s="24">
        <v>6.752136752136753</v>
      </c>
      <c r="Q48" s="24">
        <v>6.6405763586231439</v>
      </c>
      <c r="R48" s="24">
        <v>7.7000010000000003</v>
      </c>
      <c r="S48" s="24">
        <v>7.3568307413970295</v>
      </c>
      <c r="T48" s="24">
        <v>0.23304974630995789</v>
      </c>
      <c r="U48" s="24" t="s">
        <v>4110</v>
      </c>
      <c r="V48">
        <v>0</v>
      </c>
      <c r="W48" s="21">
        <v>0</v>
      </c>
      <c r="X48" s="56">
        <f>IFERROR(VLOOKUP(A48,Output!A:F,6,0),"-")</f>
        <v>5.0000000000000001E-3</v>
      </c>
    </row>
    <row r="49" spans="1:24" hidden="1" x14ac:dyDescent="0.25">
      <c r="A49" s="21" t="s">
        <v>351</v>
      </c>
      <c r="B49" s="40" t="s">
        <v>352</v>
      </c>
      <c r="C49" s="21" t="s">
        <v>244</v>
      </c>
      <c r="D49" s="21" t="s">
        <v>73</v>
      </c>
      <c r="E49" s="21" t="s">
        <v>91</v>
      </c>
      <c r="F49" s="55">
        <v>3.0203535593371169E-3</v>
      </c>
      <c r="G49" s="24">
        <v>5.3265089999999997</v>
      </c>
      <c r="H49" s="24">
        <v>8.4724640000000004</v>
      </c>
      <c r="I49" s="24">
        <v>7.2838599999999998</v>
      </c>
      <c r="J49" s="24">
        <v>7.3678309999999998</v>
      </c>
      <c r="K49" s="24">
        <v>1.8900870000000001</v>
      </c>
      <c r="L49" s="24">
        <v>4.3064039999999997</v>
      </c>
      <c r="M49" s="24">
        <v>26.692499999999999</v>
      </c>
      <c r="N49" s="24">
        <v>7.104477418647309</v>
      </c>
      <c r="O49" s="24">
        <v>5.8585858585858581</v>
      </c>
      <c r="P49" s="24">
        <v>6.6320166460207215</v>
      </c>
      <c r="Q49" s="24">
        <v>4.3578153341202892</v>
      </c>
      <c r="R49" s="24">
        <v>7.01</v>
      </c>
      <c r="S49" s="24">
        <v>5.9806126253869172</v>
      </c>
      <c r="T49" s="24">
        <v>0.47454286488328434</v>
      </c>
      <c r="U49" s="24" t="s">
        <v>4041</v>
      </c>
      <c r="V49">
        <v>0</v>
      </c>
      <c r="W49" s="21">
        <v>0</v>
      </c>
      <c r="X49" s="56">
        <f>IFERROR(VLOOKUP(A49,Output!A:F,6,0),"-")</f>
        <v>1.000000000000033E-2</v>
      </c>
    </row>
    <row r="50" spans="1:24" hidden="1" x14ac:dyDescent="0.25">
      <c r="A50" s="21" t="s">
        <v>172</v>
      </c>
      <c r="B50" s="40" t="s">
        <v>239</v>
      </c>
      <c r="C50" s="21" t="s">
        <v>244</v>
      </c>
      <c r="D50" s="21" t="s">
        <v>73</v>
      </c>
      <c r="E50" s="21" t="s">
        <v>99</v>
      </c>
      <c r="F50" s="55">
        <v>2.9968446697572633E-3</v>
      </c>
      <c r="G50" s="24">
        <v>5.768777</v>
      </c>
      <c r="H50" s="24">
        <v>6.4530859999999999</v>
      </c>
      <c r="I50" s="24">
        <v>5.093102</v>
      </c>
      <c r="J50" s="24">
        <v>5.7713679999999998</v>
      </c>
      <c r="K50" s="24">
        <v>1.9543539999999999</v>
      </c>
      <c r="L50" s="24">
        <v>9.0234609999999993</v>
      </c>
      <c r="M50" s="53">
        <v>12.948700000000001</v>
      </c>
      <c r="N50" s="24">
        <v>7.0047365433888338</v>
      </c>
      <c r="O50" s="24">
        <v>6.8750000000000009</v>
      </c>
      <c r="P50" s="24">
        <v>6.7761194029850742</v>
      </c>
      <c r="Q50" s="24">
        <v>6.7443604309047531</v>
      </c>
      <c r="R50" s="24">
        <v>8.01</v>
      </c>
      <c r="S50" s="24">
        <v>7.2023838888012657</v>
      </c>
      <c r="T50" s="24">
        <v>1.5814026383591617</v>
      </c>
      <c r="U50" s="24" t="s">
        <v>2860</v>
      </c>
      <c r="V50">
        <v>0</v>
      </c>
      <c r="W50" s="21">
        <v>0</v>
      </c>
      <c r="X50" s="56">
        <f>IFERROR(VLOOKUP(A50,Output!A:F,6,0),"-")</f>
        <v>3.0091835550148802E-2</v>
      </c>
    </row>
    <row r="51" spans="1:24" hidden="1" x14ac:dyDescent="0.25">
      <c r="A51" s="21" t="s">
        <v>137</v>
      </c>
      <c r="B51" s="40" t="s">
        <v>206</v>
      </c>
      <c r="C51" s="21" t="s">
        <v>244</v>
      </c>
      <c r="D51" s="21" t="s">
        <v>73</v>
      </c>
      <c r="E51" s="21" t="s">
        <v>92</v>
      </c>
      <c r="F51" s="55">
        <v>2.9054027656226734E-3</v>
      </c>
      <c r="G51" s="24">
        <v>3.8266529999999999</v>
      </c>
      <c r="H51" s="24">
        <v>3.5951270000000002</v>
      </c>
      <c r="I51" s="24">
        <v>3.2973150000000002</v>
      </c>
      <c r="J51" s="24">
        <v>3.5983939999999999</v>
      </c>
      <c r="K51" s="24">
        <v>1.4947699999999999</v>
      </c>
      <c r="L51" s="24">
        <v>7.3845919999999996</v>
      </c>
      <c r="M51" s="24">
        <v>24.1097</v>
      </c>
      <c r="N51" s="24">
        <v>4.0696022727272734</v>
      </c>
      <c r="O51" s="24">
        <v>8.282828282828282</v>
      </c>
      <c r="P51" s="24">
        <v>7.7445932121746939</v>
      </c>
      <c r="Q51" s="24">
        <v>6.4705771170692863</v>
      </c>
      <c r="R51" s="24">
        <v>6.3</v>
      </c>
      <c r="S51" s="24">
        <v>6.5898987928163715</v>
      </c>
      <c r="T51" s="24">
        <v>1.3645014653459169</v>
      </c>
      <c r="U51" s="24" t="s">
        <v>3919</v>
      </c>
      <c r="V51">
        <v>0</v>
      </c>
      <c r="W51" s="21">
        <v>1</v>
      </c>
      <c r="X51" s="56" t="str">
        <f>IFERROR(VLOOKUP(A51,Output!A:F,6,0),"-")</f>
        <v>-</v>
      </c>
    </row>
    <row r="52" spans="1:24" hidden="1" x14ac:dyDescent="0.25">
      <c r="A52" s="21" t="s">
        <v>2555</v>
      </c>
      <c r="B52" s="40" t="s">
        <v>2556</v>
      </c>
      <c r="C52" s="21" t="s">
        <v>244</v>
      </c>
      <c r="D52" s="21" t="s">
        <v>73</v>
      </c>
      <c r="E52" s="21" t="s">
        <v>99</v>
      </c>
      <c r="F52" s="55">
        <v>2.8912875723669986E-3</v>
      </c>
      <c r="G52" s="21">
        <v>3.7189920000000001</v>
      </c>
      <c r="H52" s="21">
        <v>5.4705060000000003</v>
      </c>
      <c r="I52" s="21">
        <v>5.6804309999999996</v>
      </c>
      <c r="J52" s="21">
        <v>4.832878</v>
      </c>
      <c r="K52" s="24">
        <v>1.1484190000000001</v>
      </c>
      <c r="L52" s="24">
        <v>2.790896</v>
      </c>
      <c r="M52" s="24">
        <v>85.894099999999995</v>
      </c>
      <c r="N52" s="24">
        <v>2.7801892486337216</v>
      </c>
      <c r="O52" s="24">
        <v>1.7708333333333335</v>
      </c>
      <c r="P52" s="24">
        <v>1.3432835820895521</v>
      </c>
      <c r="Q52" s="24">
        <v>5.7096289818222932</v>
      </c>
      <c r="R52" s="24">
        <v>5.75</v>
      </c>
      <c r="S52" s="24">
        <v>3.9184275214732258</v>
      </c>
      <c r="T52" s="24">
        <v>1.503328792638543</v>
      </c>
      <c r="U52" s="24" t="s">
        <v>3987</v>
      </c>
      <c r="V52">
        <v>0</v>
      </c>
      <c r="W52" s="21">
        <v>0</v>
      </c>
      <c r="X52" s="56" t="str">
        <f>IFERROR(VLOOKUP(A52,Output!A:F,6,0),"-")</f>
        <v>-</v>
      </c>
    </row>
    <row r="53" spans="1:24" hidden="1" x14ac:dyDescent="0.25">
      <c r="A53" s="21" t="s">
        <v>2629</v>
      </c>
      <c r="B53" s="40" t="s">
        <v>2630</v>
      </c>
      <c r="C53" s="21" t="s">
        <v>244</v>
      </c>
      <c r="D53" s="21" t="s">
        <v>73</v>
      </c>
      <c r="E53" s="21" t="s">
        <v>100</v>
      </c>
      <c r="F53" s="55">
        <v>2.7829496913588663E-3</v>
      </c>
      <c r="G53" s="24">
        <v>4.5923959999999999</v>
      </c>
      <c r="H53" s="24">
        <v>4.8259999999999996</v>
      </c>
      <c r="I53" s="24">
        <v>5.3549249999999997</v>
      </c>
      <c r="J53" s="24">
        <v>4.9244399999999997</v>
      </c>
      <c r="K53" s="24">
        <v>6.3279750000000003</v>
      </c>
      <c r="L53" s="24">
        <v>12.503769999999999</v>
      </c>
      <c r="M53" s="24">
        <v>32.891599999999997</v>
      </c>
      <c r="N53" s="24">
        <v>3.8278763356779866</v>
      </c>
      <c r="O53" s="24">
        <v>7.6666666666666661</v>
      </c>
      <c r="P53" s="24">
        <v>4.5510835913312686</v>
      </c>
      <c r="Q53" s="24">
        <v>8.215993128414155</v>
      </c>
      <c r="R53" s="24">
        <v>7.3200010000000004</v>
      </c>
      <c r="S53" s="24">
        <v>6.2555765472843019</v>
      </c>
      <c r="T53" s="24">
        <v>0.52036758224555979</v>
      </c>
      <c r="U53" s="24" t="s">
        <v>4029</v>
      </c>
      <c r="V53">
        <v>0</v>
      </c>
      <c r="W53" s="21">
        <v>0</v>
      </c>
      <c r="X53" s="56" t="str">
        <f>IFERROR(VLOOKUP(A53,Output!A:F,6,0),"-")</f>
        <v>-</v>
      </c>
    </row>
    <row r="54" spans="1:24" hidden="1" x14ac:dyDescent="0.25">
      <c r="A54" s="21" t="s">
        <v>2557</v>
      </c>
      <c r="B54" s="40" t="s">
        <v>2558</v>
      </c>
      <c r="C54" s="21" t="s">
        <v>244</v>
      </c>
      <c r="D54" s="21" t="s">
        <v>73</v>
      </c>
      <c r="E54" s="21" t="s">
        <v>99</v>
      </c>
      <c r="F54" s="55">
        <v>2.7261297505533954E-3</v>
      </c>
      <c r="G54" s="21">
        <v>8.0276910000000008</v>
      </c>
      <c r="H54" s="21">
        <v>3.4410780000000001</v>
      </c>
      <c r="I54" s="21">
        <v>5.154655</v>
      </c>
      <c r="J54" s="21">
        <v>5.5411409999999997</v>
      </c>
      <c r="K54" s="24">
        <v>0.55680379999999996</v>
      </c>
      <c r="L54" s="24">
        <v>3.285962</v>
      </c>
      <c r="M54" s="24">
        <v>1.3523000000000001</v>
      </c>
      <c r="N54" s="24">
        <v>7.1053679641174394</v>
      </c>
      <c r="O54" s="24">
        <v>6.1458333333333339</v>
      </c>
      <c r="P54" s="24">
        <v>4.8358208955223878</v>
      </c>
      <c r="Q54" s="24">
        <v>2.7290900909143261</v>
      </c>
      <c r="R54" s="24">
        <v>7.39</v>
      </c>
      <c r="S54" s="24">
        <v>5.259275599928765</v>
      </c>
      <c r="T54" s="24">
        <v>1.7875442646482231</v>
      </c>
      <c r="U54" s="24" t="s">
        <v>3957</v>
      </c>
      <c r="V54">
        <v>0</v>
      </c>
      <c r="W54" s="21">
        <v>0</v>
      </c>
      <c r="X54" s="56" t="str">
        <f>IFERROR(VLOOKUP(A54,Output!A:F,6,0),"-")</f>
        <v>-</v>
      </c>
    </row>
    <row r="55" spans="1:24" hidden="1" x14ac:dyDescent="0.25">
      <c r="A55" s="21" t="s">
        <v>160</v>
      </c>
      <c r="B55" s="40" t="s">
        <v>227</v>
      </c>
      <c r="C55" s="21" t="s">
        <v>254</v>
      </c>
      <c r="D55" s="21" t="s">
        <v>74</v>
      </c>
      <c r="E55" s="21" t="s">
        <v>91</v>
      </c>
      <c r="F55" s="55">
        <v>2.7166948052681698E-3</v>
      </c>
      <c r="G55" s="24">
        <v>5.2488440000000001</v>
      </c>
      <c r="H55" s="24">
        <v>6.4207999999999998</v>
      </c>
      <c r="I55" s="24">
        <v>4.7686760000000001</v>
      </c>
      <c r="J55" s="24">
        <v>5.5255590000000003</v>
      </c>
      <c r="K55" s="24">
        <v>4.2928490000000004</v>
      </c>
      <c r="L55" s="24">
        <v>6.9377300000000002</v>
      </c>
      <c r="M55" s="24">
        <v>1.5907</v>
      </c>
      <c r="N55" s="24">
        <v>2.2684860068259387</v>
      </c>
      <c r="O55" s="24">
        <v>1.0309278350515463</v>
      </c>
      <c r="P55" s="24">
        <v>8.6894586894586912</v>
      </c>
      <c r="Q55" s="24">
        <v>6.8726223724391478</v>
      </c>
      <c r="R55" s="24">
        <v>7.57</v>
      </c>
      <c r="S55" s="24">
        <v>7.3125495730072316</v>
      </c>
      <c r="T55" s="24">
        <v>0.31462676742518009</v>
      </c>
      <c r="U55" s="24" t="s">
        <v>2891</v>
      </c>
      <c r="V55">
        <v>0</v>
      </c>
      <c r="W55" s="21">
        <v>0</v>
      </c>
      <c r="X55" s="56">
        <f>IFERROR(VLOOKUP(A55,Output!A:F,6,0),"-")</f>
        <v>8.185259083724479E-3</v>
      </c>
    </row>
    <row r="56" spans="1:24" hidden="1" x14ac:dyDescent="0.25">
      <c r="A56" s="21" t="s">
        <v>2651</v>
      </c>
      <c r="B56" s="40" t="s">
        <v>2652</v>
      </c>
      <c r="C56" s="21" t="s">
        <v>244</v>
      </c>
      <c r="D56" s="21" t="s">
        <v>73</v>
      </c>
      <c r="E56" s="21" t="s">
        <v>91</v>
      </c>
      <c r="F56" s="55">
        <v>2.6962976970667757E-3</v>
      </c>
      <c r="G56" s="21">
        <v>4.6639350000000004</v>
      </c>
      <c r="H56" s="21">
        <v>5.7448199999999998</v>
      </c>
      <c r="I56" s="21">
        <v>7.7738240000000003</v>
      </c>
      <c r="J56" s="21">
        <v>6.3402450000000004</v>
      </c>
      <c r="K56" s="24">
        <v>0.39477679999999998</v>
      </c>
      <c r="L56" s="24">
        <v>3.391912</v>
      </c>
      <c r="M56" s="24">
        <v>14.5694</v>
      </c>
      <c r="N56" s="24">
        <v>4.7853033492258685</v>
      </c>
      <c r="O56" s="24">
        <v>4.0404040404040407</v>
      </c>
      <c r="P56" s="24">
        <v>4.5114345342559901</v>
      </c>
      <c r="Q56" s="24">
        <v>3.638422249733682</v>
      </c>
      <c r="R56" s="24">
        <v>5.01</v>
      </c>
      <c r="S56" s="24">
        <v>4.358489847078034</v>
      </c>
      <c r="T56" s="24">
        <v>0.81319347901148487</v>
      </c>
      <c r="U56" s="24" t="s">
        <v>4013</v>
      </c>
      <c r="V56">
        <v>0</v>
      </c>
      <c r="W56" s="21">
        <v>0</v>
      </c>
      <c r="X56" s="56" t="str">
        <f>IFERROR(VLOOKUP(A56,Output!A:F,6,0),"-")</f>
        <v>-</v>
      </c>
    </row>
    <row r="57" spans="1:24" hidden="1" x14ac:dyDescent="0.25">
      <c r="A57" s="21" t="s">
        <v>2507</v>
      </c>
      <c r="B57" s="40" t="s">
        <v>2508</v>
      </c>
      <c r="C57" s="21" t="s">
        <v>244</v>
      </c>
      <c r="D57" s="21" t="s">
        <v>73</v>
      </c>
      <c r="E57" s="21" t="s">
        <v>99</v>
      </c>
      <c r="F57" s="55">
        <v>2.6655360328482788E-3</v>
      </c>
      <c r="G57" s="21">
        <v>4.4513920000000002</v>
      </c>
      <c r="H57" s="21">
        <v>5.83908</v>
      </c>
      <c r="I57" s="21">
        <v>5.4140990000000002</v>
      </c>
      <c r="J57" s="21">
        <v>5.2348569999999999</v>
      </c>
      <c r="K57" s="24">
        <v>3.6308799999999999</v>
      </c>
      <c r="L57" s="24">
        <v>6.3180350000000001</v>
      </c>
      <c r="M57" s="24">
        <v>15.4786</v>
      </c>
      <c r="N57" s="24">
        <v>0.67482246841534854</v>
      </c>
      <c r="O57" s="24">
        <v>5.3125000000000009</v>
      </c>
      <c r="P57" s="24">
        <v>4.2985074626865662</v>
      </c>
      <c r="Q57" s="24">
        <v>7.2872554928431956</v>
      </c>
      <c r="R57" s="24">
        <v>7.9600010000000001</v>
      </c>
      <c r="S57" s="24">
        <v>6.1751903269488242</v>
      </c>
      <c r="T57" s="24">
        <v>0.92077190620078531</v>
      </c>
      <c r="U57" s="24" t="s">
        <v>3956</v>
      </c>
      <c r="V57">
        <v>0</v>
      </c>
      <c r="W57" s="21">
        <v>0</v>
      </c>
      <c r="X57" s="56" t="str">
        <f>IFERROR(VLOOKUP(A57,Output!A:F,6,0),"-")</f>
        <v>-</v>
      </c>
    </row>
    <row r="58" spans="1:24" hidden="1" x14ac:dyDescent="0.25">
      <c r="A58" s="21" t="s">
        <v>134</v>
      </c>
      <c r="B58" s="40" t="s">
        <v>202</v>
      </c>
      <c r="C58" s="21" t="s">
        <v>244</v>
      </c>
      <c r="D58" s="21" t="s">
        <v>73</v>
      </c>
      <c r="E58" s="21" t="s">
        <v>99</v>
      </c>
      <c r="F58" s="55">
        <v>2.6580156429989441E-3</v>
      </c>
      <c r="G58" s="24">
        <v>7.7808659999999996</v>
      </c>
      <c r="H58" s="24">
        <v>7.0371810000000004</v>
      </c>
      <c r="I58" s="24">
        <v>6.76424</v>
      </c>
      <c r="J58" s="24">
        <v>7.2527720000000002</v>
      </c>
      <c r="K58" s="24">
        <v>0.59433279999999999</v>
      </c>
      <c r="L58" s="24">
        <v>6.1824830000000004</v>
      </c>
      <c r="M58" s="24">
        <v>9.6908999999999992</v>
      </c>
      <c r="N58" s="24">
        <v>5.0157861101646493</v>
      </c>
      <c r="O58" s="24">
        <v>8.9583333333333339</v>
      </c>
      <c r="P58" s="24">
        <v>8.2686567164179099</v>
      </c>
      <c r="Q58" s="24">
        <v>5.6364552660988316</v>
      </c>
      <c r="R58" s="24">
        <v>6.6</v>
      </c>
      <c r="S58" s="24">
        <v>6.3067907904489449</v>
      </c>
      <c r="T58" s="24">
        <v>1.9281064504660876</v>
      </c>
      <c r="U58" s="24" t="s">
        <v>3915</v>
      </c>
      <c r="V58">
        <v>0</v>
      </c>
      <c r="W58" s="21">
        <v>0</v>
      </c>
      <c r="X58" s="56">
        <f>IFERROR(VLOOKUP(A58,Output!A:F,6,0),"-")</f>
        <v>1.0000000000000184E-2</v>
      </c>
    </row>
    <row r="59" spans="1:24" hidden="1" x14ac:dyDescent="0.25">
      <c r="A59" s="21" t="s">
        <v>2599</v>
      </c>
      <c r="B59" s="40" t="s">
        <v>2600</v>
      </c>
      <c r="C59" s="21" t="s">
        <v>244</v>
      </c>
      <c r="D59" s="21" t="s">
        <v>73</v>
      </c>
      <c r="E59" s="21" t="s">
        <v>100</v>
      </c>
      <c r="F59" s="55">
        <v>2.6125683425756653E-3</v>
      </c>
      <c r="G59" s="24">
        <v>4.1278309999999996</v>
      </c>
      <c r="H59" s="24">
        <v>3.0268449999999998</v>
      </c>
      <c r="I59" s="24">
        <v>4.4056819999999997</v>
      </c>
      <c r="J59" s="24">
        <v>3.7985769999999999</v>
      </c>
      <c r="K59" s="24">
        <v>2.9640059999999999</v>
      </c>
      <c r="L59" s="24">
        <v>9.9526210000000006</v>
      </c>
      <c r="M59" s="24">
        <v>20.237300000000001</v>
      </c>
      <c r="N59" s="24">
        <v>6.2068961920083341</v>
      </c>
      <c r="O59" s="24">
        <v>8.2222222222222214</v>
      </c>
      <c r="P59" s="24">
        <v>5.3869969040247669</v>
      </c>
      <c r="Q59" s="24">
        <v>8.1887060092793256</v>
      </c>
      <c r="R59" s="24">
        <v>6.31</v>
      </c>
      <c r="S59" s="24">
        <v>6.5345578540182405</v>
      </c>
      <c r="T59" s="24">
        <v>0.95964670928587326</v>
      </c>
      <c r="U59" s="24" t="s">
        <v>4012</v>
      </c>
      <c r="V59">
        <v>0</v>
      </c>
      <c r="W59" s="21">
        <v>1</v>
      </c>
      <c r="X59" s="56" t="str">
        <f>IFERROR(VLOOKUP(A59,Output!A:F,6,0),"-")</f>
        <v>-</v>
      </c>
    </row>
    <row r="60" spans="1:24" hidden="1" x14ac:dyDescent="0.25">
      <c r="A60" s="21" t="s">
        <v>2498</v>
      </c>
      <c r="B60" s="40" t="s">
        <v>2499</v>
      </c>
      <c r="C60" s="21" t="s">
        <v>244</v>
      </c>
      <c r="D60" s="21" t="s">
        <v>73</v>
      </c>
      <c r="E60" s="21" t="s">
        <v>95</v>
      </c>
      <c r="F60" s="55">
        <v>2.4272951127824495E-3</v>
      </c>
      <c r="G60" s="24">
        <v>5.3232689999999998</v>
      </c>
      <c r="H60" s="24">
        <v>5.3478810000000001</v>
      </c>
      <c r="I60" s="24">
        <v>5.4622200000000003</v>
      </c>
      <c r="J60" s="24">
        <v>5.3698769999999998</v>
      </c>
      <c r="K60" s="24">
        <v>2.2728220000000001</v>
      </c>
      <c r="L60" s="24">
        <v>7.5809480000000002</v>
      </c>
      <c r="M60" s="24">
        <v>456.2722</v>
      </c>
      <c r="N60" s="24">
        <v>8.2365264529026057</v>
      </c>
      <c r="O60" s="24">
        <v>2.9896907216494837</v>
      </c>
      <c r="P60" s="24">
        <v>6.3879598662207364</v>
      </c>
      <c r="Q60" s="24">
        <v>5.0208474474833906</v>
      </c>
      <c r="R60" s="24">
        <v>4.16</v>
      </c>
      <c r="S60" s="24">
        <v>5.7776618599942937</v>
      </c>
      <c r="T60" s="24">
        <v>0.66390551821151911</v>
      </c>
      <c r="U60" s="24" t="s">
        <v>3984</v>
      </c>
      <c r="V60">
        <v>1</v>
      </c>
      <c r="W60" s="21">
        <v>0</v>
      </c>
      <c r="X60" s="56" t="str">
        <f>IFERROR(VLOOKUP(A60,Output!A:F,6,0),"-")</f>
        <v>-</v>
      </c>
    </row>
    <row r="61" spans="1:24" hidden="1" x14ac:dyDescent="0.25">
      <c r="A61" s="21" t="s">
        <v>155</v>
      </c>
      <c r="B61" s="40" t="s">
        <v>222</v>
      </c>
      <c r="C61" s="21" t="s">
        <v>244</v>
      </c>
      <c r="D61" s="21" t="s">
        <v>73</v>
      </c>
      <c r="E61" s="21" t="s">
        <v>91</v>
      </c>
      <c r="F61" s="55">
        <v>2.4248654483695876E-3</v>
      </c>
      <c r="G61" s="24">
        <v>4.0671530000000002</v>
      </c>
      <c r="H61" s="24">
        <v>4.2838789999999998</v>
      </c>
      <c r="I61" s="24">
        <v>5.3509820000000001</v>
      </c>
      <c r="J61" s="24">
        <v>4.6673749999999998</v>
      </c>
      <c r="K61" s="24">
        <v>6.1902980000000003</v>
      </c>
      <c r="L61" s="24">
        <v>7.8913260000000003</v>
      </c>
      <c r="M61" s="24">
        <v>16.293099999999999</v>
      </c>
      <c r="N61" s="24">
        <v>7.2238808519971656</v>
      </c>
      <c r="O61" s="24">
        <v>2.6262626262626263</v>
      </c>
      <c r="P61" s="24">
        <v>0.89397093183380072</v>
      </c>
      <c r="Q61" s="24">
        <v>7.0227161489073788</v>
      </c>
      <c r="R61" s="24">
        <v>8.09</v>
      </c>
      <c r="S61" s="24">
        <v>6.0709801992834613</v>
      </c>
      <c r="T61" s="24">
        <v>0.44061682781866962</v>
      </c>
      <c r="U61" s="24" t="s">
        <v>2880</v>
      </c>
      <c r="V61">
        <v>0</v>
      </c>
      <c r="W61" s="21">
        <v>0</v>
      </c>
      <c r="X61" s="56" t="str">
        <f>IFERROR(VLOOKUP(A61,Output!A:F,6,0),"-")</f>
        <v>-</v>
      </c>
    </row>
    <row r="62" spans="1:24" hidden="1" x14ac:dyDescent="0.25">
      <c r="A62" s="21" t="s">
        <v>839</v>
      </c>
      <c r="B62" s="40" t="s">
        <v>840</v>
      </c>
      <c r="C62" s="21" t="s">
        <v>244</v>
      </c>
      <c r="D62" s="21" t="s">
        <v>73</v>
      </c>
      <c r="E62" s="21" t="s">
        <v>99</v>
      </c>
      <c r="F62" s="55">
        <v>2.4151176146237404E-3</v>
      </c>
      <c r="G62" s="24">
        <v>3.7111800000000001</v>
      </c>
      <c r="H62" s="24">
        <v>5.5685339999999997</v>
      </c>
      <c r="I62" s="24">
        <v>5.8574380000000001</v>
      </c>
      <c r="J62" s="24">
        <v>4.9122630000000003</v>
      </c>
      <c r="K62" s="24">
        <v>3.0605229999999999</v>
      </c>
      <c r="L62" s="24">
        <v>3.0264850000000001</v>
      </c>
      <c r="M62" s="24">
        <v>142.7647</v>
      </c>
      <c r="N62" s="24">
        <v>3.301104838287674</v>
      </c>
      <c r="O62" s="24">
        <v>0</v>
      </c>
      <c r="P62" s="24">
        <v>7.4029850746268657</v>
      </c>
      <c r="Q62" s="24">
        <v>3.1537148001351727</v>
      </c>
      <c r="R62" s="24">
        <v>7.96</v>
      </c>
      <c r="S62" s="24">
        <v>5.7766195810928096</v>
      </c>
      <c r="T62" s="24">
        <v>1.4240905809253903</v>
      </c>
      <c r="U62" s="24" t="s">
        <v>2870</v>
      </c>
      <c r="V62">
        <v>0</v>
      </c>
      <c r="W62" s="21">
        <v>0</v>
      </c>
      <c r="X62" s="56" t="str">
        <f>IFERROR(VLOOKUP(A62,Output!A:F,6,0),"-")</f>
        <v>-</v>
      </c>
    </row>
    <row r="63" spans="1:24" hidden="1" x14ac:dyDescent="0.25">
      <c r="A63" s="21" t="s">
        <v>2416</v>
      </c>
      <c r="B63" s="40" t="s">
        <v>2417</v>
      </c>
      <c r="C63" s="21" t="s">
        <v>244</v>
      </c>
      <c r="D63" s="21" t="s">
        <v>73</v>
      </c>
      <c r="E63" s="21" t="s">
        <v>99</v>
      </c>
      <c r="F63" s="55">
        <v>2.4149254548295972E-3</v>
      </c>
      <c r="G63" s="21">
        <v>6.1258600000000003</v>
      </c>
      <c r="H63" s="21">
        <v>4.2935889999999999</v>
      </c>
      <c r="I63" s="21">
        <v>7.5335260000000002</v>
      </c>
      <c r="J63" s="21">
        <v>5.9843250000000001</v>
      </c>
      <c r="K63" s="24">
        <v>0</v>
      </c>
      <c r="L63" s="24">
        <v>1.9116869999999999</v>
      </c>
      <c r="M63" s="24">
        <v>6.8052999999999999</v>
      </c>
      <c r="N63" s="24">
        <v>8.0584067133706956</v>
      </c>
      <c r="O63" s="24">
        <v>8.7499999999999982</v>
      </c>
      <c r="P63" s="24">
        <v>6.5970149253731343</v>
      </c>
      <c r="Q63" s="24">
        <v>1.0588667981176576</v>
      </c>
      <c r="R63" s="24" t="e">
        <v>#N/A</v>
      </c>
      <c r="S63" s="24">
        <v>4.4296145274592185</v>
      </c>
      <c r="T63" s="24">
        <v>1.8236982147358709</v>
      </c>
      <c r="U63" s="24" t="s">
        <v>3897</v>
      </c>
      <c r="V63">
        <v>0</v>
      </c>
      <c r="W63" s="21">
        <v>0</v>
      </c>
      <c r="X63" s="56" t="str">
        <f>IFERROR(VLOOKUP(A63,Output!A:F,6,0),"-")</f>
        <v>-</v>
      </c>
    </row>
    <row r="64" spans="1:24" hidden="1" x14ac:dyDescent="0.25">
      <c r="A64" s="21" t="s">
        <v>846</v>
      </c>
      <c r="B64" s="40" t="s">
        <v>375</v>
      </c>
      <c r="C64" s="21" t="s">
        <v>249</v>
      </c>
      <c r="D64" s="21" t="s">
        <v>74</v>
      </c>
      <c r="E64" s="21" t="s">
        <v>95</v>
      </c>
      <c r="F64" s="55">
        <v>2.4043757815238945E-3</v>
      </c>
      <c r="G64" s="24">
        <v>6.8305030000000002</v>
      </c>
      <c r="H64" s="24">
        <v>5.5703069999999997</v>
      </c>
      <c r="I64" s="24">
        <v>4.4967240000000004</v>
      </c>
      <c r="J64" s="24">
        <v>5.8783300000000001</v>
      </c>
      <c r="K64" s="24">
        <v>4.778359</v>
      </c>
      <c r="L64" s="24">
        <v>13.463150000000001</v>
      </c>
      <c r="M64" s="24">
        <v>217.88910000000001</v>
      </c>
      <c r="N64" s="24">
        <v>9.8434671978647081</v>
      </c>
      <c r="O64" s="24">
        <v>5.6179775280898872</v>
      </c>
      <c r="P64" s="24">
        <v>7.7358490566037741</v>
      </c>
      <c r="Q64" s="24">
        <v>6.7549955802852484</v>
      </c>
      <c r="R64" s="24">
        <v>5.38</v>
      </c>
      <c r="S64" s="24">
        <v>7.8329100313162705</v>
      </c>
      <c r="T64" s="24">
        <v>0.15876945689064623</v>
      </c>
      <c r="U64" s="24" t="s">
        <v>2893</v>
      </c>
      <c r="V64">
        <v>1</v>
      </c>
      <c r="W64" s="21">
        <v>0</v>
      </c>
      <c r="X64" s="56" t="str">
        <f>IFERROR(VLOOKUP(A64,Output!A:F,6,0),"-")</f>
        <v>-</v>
      </c>
    </row>
    <row r="65" spans="1:24" hidden="1" x14ac:dyDescent="0.25">
      <c r="A65" s="21" t="s">
        <v>157</v>
      </c>
      <c r="B65" s="40" t="s">
        <v>224</v>
      </c>
      <c r="C65" s="21" t="s">
        <v>247</v>
      </c>
      <c r="D65" s="21" t="s">
        <v>74</v>
      </c>
      <c r="E65" s="21" t="s">
        <v>85</v>
      </c>
      <c r="F65" s="55">
        <v>2.3279233474047217E-3</v>
      </c>
      <c r="G65" s="24">
        <v>5.2611869999999996</v>
      </c>
      <c r="H65" s="24">
        <v>5.9825970000000002</v>
      </c>
      <c r="I65" s="24">
        <v>4.3013700000000004</v>
      </c>
      <c r="J65" s="24">
        <v>5.1777449999999998</v>
      </c>
      <c r="K65" s="24">
        <v>10.07504</v>
      </c>
      <c r="L65" s="24">
        <v>15.63782</v>
      </c>
      <c r="M65" s="24">
        <v>9.1919000000000004</v>
      </c>
      <c r="N65" s="24">
        <v>6.8408177774690593</v>
      </c>
      <c r="O65" s="24">
        <v>3.1313131313131315</v>
      </c>
      <c r="P65" s="24">
        <v>4.5789473684210522</v>
      </c>
      <c r="Q65" s="24">
        <v>7.4641675854465266</v>
      </c>
      <c r="R65" s="24">
        <v>8.14</v>
      </c>
      <c r="S65" s="24">
        <v>6.4026080261112241</v>
      </c>
      <c r="T65" s="24">
        <v>0.42518552020767386</v>
      </c>
      <c r="U65" s="24" t="s">
        <v>2889</v>
      </c>
      <c r="V65">
        <v>0</v>
      </c>
      <c r="W65" s="21">
        <v>0</v>
      </c>
      <c r="X65" s="56">
        <f>IFERROR(VLOOKUP(A65,Output!A:F,6,0),"-")</f>
        <v>1.9999999999999924E-2</v>
      </c>
    </row>
    <row r="66" spans="1:24" hidden="1" x14ac:dyDescent="0.25">
      <c r="A66" s="21" t="s">
        <v>2754</v>
      </c>
      <c r="B66" s="40" t="s">
        <v>2755</v>
      </c>
      <c r="C66" s="21" t="s">
        <v>250</v>
      </c>
      <c r="D66" s="21" t="s">
        <v>76</v>
      </c>
      <c r="E66" s="21" t="s">
        <v>86</v>
      </c>
      <c r="F66" s="55">
        <v>2.3243397181547778E-3</v>
      </c>
      <c r="G66" s="21">
        <v>3.154023</v>
      </c>
      <c r="H66" s="21">
        <v>5.6874609999999999</v>
      </c>
      <c r="I66" s="21">
        <v>7.87256</v>
      </c>
      <c r="J66" s="21">
        <v>5.5713480000000004</v>
      </c>
      <c r="K66" s="24">
        <v>5.4942650000000004</v>
      </c>
      <c r="L66" s="24">
        <v>9.4270899999999997</v>
      </c>
      <c r="M66" s="24">
        <v>671.04359999999997</v>
      </c>
      <c r="N66" s="24">
        <v>9.6639028487805572</v>
      </c>
      <c r="O66" s="24">
        <v>3.6904761904761916</v>
      </c>
      <c r="P66" s="24">
        <v>6.1403508771929829</v>
      </c>
      <c r="Q66" s="24">
        <v>5.955003608116912</v>
      </c>
      <c r="R66" s="24">
        <v>7.39</v>
      </c>
      <c r="S66" s="24">
        <v>7.3690595103187855</v>
      </c>
      <c r="T66" s="24">
        <v>0.62534382832146862</v>
      </c>
      <c r="U66" s="24" t="s">
        <v>4105</v>
      </c>
      <c r="V66">
        <v>1</v>
      </c>
      <c r="W66" s="21">
        <v>0</v>
      </c>
      <c r="X66" s="56" t="str">
        <f>IFERROR(VLOOKUP(A66,Output!A:F,6,0),"-")</f>
        <v>-</v>
      </c>
    </row>
    <row r="67" spans="1:24" hidden="1" x14ac:dyDescent="0.25">
      <c r="A67" s="21" t="s">
        <v>2458</v>
      </c>
      <c r="B67" s="40" t="s">
        <v>4576</v>
      </c>
      <c r="C67" s="21" t="s">
        <v>244</v>
      </c>
      <c r="D67" s="21" t="s">
        <v>73</v>
      </c>
      <c r="E67" s="21" t="s">
        <v>92</v>
      </c>
      <c r="F67" s="55">
        <v>2.3103351928433742E-3</v>
      </c>
      <c r="G67" s="24">
        <v>5.8382199999999997</v>
      </c>
      <c r="H67" s="24">
        <v>5.2911440000000001</v>
      </c>
      <c r="I67" s="24">
        <v>5.4225969999999997</v>
      </c>
      <c r="J67" s="24">
        <v>5.54941</v>
      </c>
      <c r="K67" s="24">
        <v>0.22875090000000001</v>
      </c>
      <c r="L67" s="24">
        <v>3.073086</v>
      </c>
      <c r="M67" s="24">
        <v>27.793800000000001</v>
      </c>
      <c r="N67" s="24">
        <v>6.4962116477272733</v>
      </c>
      <c r="O67" s="24">
        <v>9.2929292929292924</v>
      </c>
      <c r="P67" s="24">
        <v>5.0875386402161125</v>
      </c>
      <c r="Q67" s="24">
        <v>3.9090342447571009</v>
      </c>
      <c r="R67" s="24">
        <v>1.89</v>
      </c>
      <c r="S67" s="24">
        <v>4.4934719094950193</v>
      </c>
      <c r="T67" s="24">
        <v>1.1862253611334996</v>
      </c>
      <c r="U67" s="24" t="s">
        <v>3924</v>
      </c>
      <c r="V67">
        <v>0</v>
      </c>
      <c r="W67" s="21">
        <v>0</v>
      </c>
      <c r="X67" s="56" t="str">
        <f>IFERROR(VLOOKUP(A67,Output!A:F,6,0),"-")</f>
        <v>-</v>
      </c>
    </row>
    <row r="68" spans="1:24" hidden="1" x14ac:dyDescent="0.25">
      <c r="A68" s="21" t="s">
        <v>143</v>
      </c>
      <c r="B68" s="40" t="s">
        <v>212</v>
      </c>
      <c r="C68" s="21" t="s">
        <v>244</v>
      </c>
      <c r="D68" s="21" t="s">
        <v>73</v>
      </c>
      <c r="E68" s="21" t="s">
        <v>91</v>
      </c>
      <c r="F68" s="55">
        <v>2.3042162615974004E-3</v>
      </c>
      <c r="G68" s="24">
        <v>6.1334479999999996</v>
      </c>
      <c r="H68" s="24">
        <v>6.1081380000000003</v>
      </c>
      <c r="I68" s="24">
        <v>5.4427190000000003</v>
      </c>
      <c r="J68" s="24">
        <v>5.8470329999999997</v>
      </c>
      <c r="K68" s="24">
        <v>3.3563170000000002</v>
      </c>
      <c r="L68" s="24">
        <v>6.9677379999999998</v>
      </c>
      <c r="M68" s="24">
        <v>12.635300000000001</v>
      </c>
      <c r="N68" s="24">
        <v>6.9437421865678814</v>
      </c>
      <c r="O68" s="24">
        <v>3.5353535353535355</v>
      </c>
      <c r="P68" s="24">
        <v>6.0706860870241748</v>
      </c>
      <c r="Q68" s="24">
        <v>5.2106066277027612</v>
      </c>
      <c r="R68" s="24">
        <v>8.57</v>
      </c>
      <c r="S68" s="24">
        <v>6.3114380204700051</v>
      </c>
      <c r="T68" s="24">
        <v>0.71518890434461435</v>
      </c>
      <c r="U68" s="24" t="s">
        <v>2856</v>
      </c>
      <c r="V68">
        <v>0</v>
      </c>
      <c r="W68" s="21">
        <v>0</v>
      </c>
      <c r="X68" s="56" t="str">
        <f>IFERROR(VLOOKUP(A68,Output!A:F,6,0),"-")</f>
        <v>-</v>
      </c>
    </row>
    <row r="69" spans="1:24" hidden="1" x14ac:dyDescent="0.25">
      <c r="A69" s="21" t="s">
        <v>2576</v>
      </c>
      <c r="B69" s="40" t="s">
        <v>2577</v>
      </c>
      <c r="C69" s="21" t="s">
        <v>244</v>
      </c>
      <c r="D69" s="21" t="s">
        <v>73</v>
      </c>
      <c r="E69" s="21" t="s">
        <v>92</v>
      </c>
      <c r="F69" s="55">
        <v>2.3006940027529158E-3</v>
      </c>
      <c r="G69" s="24">
        <v>3.3549310000000001</v>
      </c>
      <c r="H69" s="24">
        <v>3.3323740000000002</v>
      </c>
      <c r="I69" s="24">
        <v>6.0507780000000002</v>
      </c>
      <c r="J69" s="24">
        <v>4.1569180000000001</v>
      </c>
      <c r="K69" s="24">
        <v>2.215309</v>
      </c>
      <c r="L69" s="24">
        <v>4.6399119999999998</v>
      </c>
      <c r="M69" s="24">
        <v>9.1376000000000008</v>
      </c>
      <c r="N69" s="24">
        <v>4.5241463068181815</v>
      </c>
      <c r="O69" s="24">
        <v>4.545454545454545</v>
      </c>
      <c r="P69" s="24">
        <v>6.4469619095902706</v>
      </c>
      <c r="Q69" s="24">
        <v>3.4147417042739581</v>
      </c>
      <c r="R69" s="24">
        <v>7.16</v>
      </c>
      <c r="S69" s="24">
        <v>5.7157035207494413</v>
      </c>
      <c r="T69" s="24">
        <v>0.68733617565675376</v>
      </c>
      <c r="U69" s="24" t="s">
        <v>3972</v>
      </c>
      <c r="V69">
        <v>0</v>
      </c>
      <c r="W69" s="21">
        <v>1</v>
      </c>
      <c r="X69" s="56" t="str">
        <f>IFERROR(VLOOKUP(A69,Output!A:F,6,0),"-")</f>
        <v>-</v>
      </c>
    </row>
    <row r="70" spans="1:24" hidden="1" x14ac:dyDescent="0.25">
      <c r="A70" s="21" t="s">
        <v>2710</v>
      </c>
      <c r="B70" s="40" t="s">
        <v>4388</v>
      </c>
      <c r="C70" s="21" t="s">
        <v>257</v>
      </c>
      <c r="D70" s="21" t="s">
        <v>74</v>
      </c>
      <c r="E70" s="21" t="s">
        <v>92</v>
      </c>
      <c r="F70" s="55">
        <v>2.2307689652012997E-3</v>
      </c>
      <c r="G70" s="24">
        <v>7.4330679999999996</v>
      </c>
      <c r="H70" s="24">
        <v>4.7765829999999996</v>
      </c>
      <c r="I70" s="24">
        <v>7.2059610000000003</v>
      </c>
      <c r="J70" s="24">
        <v>6.56799</v>
      </c>
      <c r="K70" s="24">
        <v>2.843083</v>
      </c>
      <c r="L70" s="24">
        <v>7.8496370000000004</v>
      </c>
      <c r="M70" s="24">
        <v>18.3249</v>
      </c>
      <c r="N70" s="24">
        <v>5.6691362962962968</v>
      </c>
      <c r="O70" s="24">
        <v>6.0204081632653059</v>
      </c>
      <c r="P70" s="24">
        <v>3.8630136986301373</v>
      </c>
      <c r="Q70" s="24">
        <v>5.3419426652446047</v>
      </c>
      <c r="R70" s="24">
        <v>6.21</v>
      </c>
      <c r="S70" s="24">
        <v>5.5052483363042448</v>
      </c>
      <c r="T70" s="24">
        <v>0.67917218286483827</v>
      </c>
      <c r="U70" s="24" t="s">
        <v>4078</v>
      </c>
      <c r="V70">
        <v>0</v>
      </c>
      <c r="W70" s="21">
        <v>0</v>
      </c>
      <c r="X70" s="56" t="str">
        <f>IFERROR(VLOOKUP(A70,Output!A:F,6,0),"-")</f>
        <v>-</v>
      </c>
    </row>
    <row r="71" spans="1:24" hidden="1" x14ac:dyDescent="0.25">
      <c r="A71" s="21" t="s">
        <v>2571</v>
      </c>
      <c r="B71" s="40" t="s">
        <v>4594</v>
      </c>
      <c r="C71" s="21" t="s">
        <v>244</v>
      </c>
      <c r="D71" s="21" t="s">
        <v>73</v>
      </c>
      <c r="E71" s="21" t="s">
        <v>92</v>
      </c>
      <c r="F71" s="55">
        <v>2.226350296008219E-3</v>
      </c>
      <c r="G71" s="24">
        <v>5.344341</v>
      </c>
      <c r="H71" s="24">
        <v>5.2355710000000002</v>
      </c>
      <c r="I71" s="24">
        <v>6.8469889999999998</v>
      </c>
      <c r="J71" s="24">
        <v>5.762505</v>
      </c>
      <c r="K71" s="24">
        <v>2.505773</v>
      </c>
      <c r="L71" s="24">
        <v>6.5826849999999997</v>
      </c>
      <c r="M71" s="24">
        <v>24.523900000000001</v>
      </c>
      <c r="N71" s="24">
        <v>3.129734375</v>
      </c>
      <c r="O71" s="24">
        <v>3.2323232323232327</v>
      </c>
      <c r="P71" s="24">
        <v>1.2564366992525779</v>
      </c>
      <c r="Q71" s="24">
        <v>6.0173432439607124</v>
      </c>
      <c r="R71" s="24">
        <v>7.48</v>
      </c>
      <c r="S71" s="24">
        <v>5.153224045225774</v>
      </c>
      <c r="T71" s="24">
        <v>0.60438961915828016</v>
      </c>
      <c r="U71" s="24" t="s">
        <v>3996</v>
      </c>
      <c r="V71">
        <v>1</v>
      </c>
      <c r="W71" s="21">
        <v>0</v>
      </c>
      <c r="X71" s="56" t="str">
        <f>IFERROR(VLOOKUP(A71,Output!A:F,6,0),"-")</f>
        <v>-</v>
      </c>
    </row>
    <row r="72" spans="1:24" hidden="1" x14ac:dyDescent="0.25">
      <c r="A72" s="21" t="s">
        <v>2266</v>
      </c>
      <c r="B72" s="40" t="s">
        <v>2267</v>
      </c>
      <c r="C72" s="21" t="s">
        <v>244</v>
      </c>
      <c r="D72" s="21" t="s">
        <v>73</v>
      </c>
      <c r="E72" s="21" t="s">
        <v>92</v>
      </c>
      <c r="F72" s="55">
        <v>2.2186296977869751E-3</v>
      </c>
      <c r="G72" s="21">
        <v>6.5444560000000003</v>
      </c>
      <c r="H72" s="21">
        <v>3.3120539999999998</v>
      </c>
      <c r="I72" s="21">
        <v>6.2304040000000001</v>
      </c>
      <c r="J72" s="21">
        <v>5.4805200000000003</v>
      </c>
      <c r="K72" s="21">
        <v>0</v>
      </c>
      <c r="L72" s="21">
        <v>2.0757780000000001</v>
      </c>
      <c r="M72" s="21">
        <v>11.414300000000001</v>
      </c>
      <c r="N72" s="21">
        <v>9.3771134927556581</v>
      </c>
      <c r="O72" s="21">
        <v>10</v>
      </c>
      <c r="P72" s="21">
        <v>4.3984600361827146</v>
      </c>
      <c r="Q72" s="21">
        <v>1.4221912103570364</v>
      </c>
      <c r="R72" s="21" t="e">
        <v>#N/A</v>
      </c>
      <c r="S72" s="21">
        <v>3.2192926830926694</v>
      </c>
      <c r="T72" s="21">
        <v>1.6566678939374768</v>
      </c>
      <c r="U72" s="21" t="s">
        <v>3807</v>
      </c>
      <c r="V72">
        <v>0</v>
      </c>
      <c r="W72" s="21">
        <v>0</v>
      </c>
      <c r="X72" s="56" t="str">
        <f>IFERROR(VLOOKUP(A72,Output!A:F,6,0),"-")</f>
        <v>-</v>
      </c>
    </row>
    <row r="73" spans="1:24" hidden="1" x14ac:dyDescent="0.25">
      <c r="A73" s="21" t="s">
        <v>140</v>
      </c>
      <c r="B73" s="40" t="s">
        <v>209</v>
      </c>
      <c r="C73" s="21" t="s">
        <v>244</v>
      </c>
      <c r="D73" s="21" t="s">
        <v>73</v>
      </c>
      <c r="E73" s="21" t="s">
        <v>98</v>
      </c>
      <c r="F73" s="55">
        <v>2.2138689640388742E-3</v>
      </c>
      <c r="G73" s="24">
        <v>5.8188709999999997</v>
      </c>
      <c r="H73" s="24">
        <v>3.8148010000000001</v>
      </c>
      <c r="I73" s="24">
        <v>6.2234189999999998</v>
      </c>
      <c r="J73" s="24">
        <v>5.1790620000000001</v>
      </c>
      <c r="K73" s="24">
        <v>1.853343</v>
      </c>
      <c r="L73" s="24">
        <v>5.594697</v>
      </c>
      <c r="M73" s="24">
        <v>22.472100000000001</v>
      </c>
      <c r="N73" s="24">
        <v>3.9125846980717398</v>
      </c>
      <c r="O73" s="24">
        <v>2.3469387755102038</v>
      </c>
      <c r="P73" s="24">
        <v>6.390760332591956</v>
      </c>
      <c r="Q73" s="24">
        <v>5.6272960382241504</v>
      </c>
      <c r="R73" s="24">
        <v>6.72</v>
      </c>
      <c r="S73" s="24">
        <v>5.7884034591815983</v>
      </c>
      <c r="T73" s="24">
        <v>1.1865799880440391</v>
      </c>
      <c r="U73" s="24" t="s">
        <v>2854</v>
      </c>
      <c r="V73">
        <v>0</v>
      </c>
      <c r="W73" s="21">
        <v>0</v>
      </c>
      <c r="X73" s="56" t="str">
        <f>IFERROR(VLOOKUP(A73,Output!A:F,6,0),"-")</f>
        <v>-</v>
      </c>
    </row>
    <row r="74" spans="1:24" hidden="1" x14ac:dyDescent="0.25">
      <c r="A74" s="21" t="s">
        <v>2615</v>
      </c>
      <c r="B74" s="40" t="s">
        <v>2616</v>
      </c>
      <c r="C74" s="21" t="s">
        <v>244</v>
      </c>
      <c r="D74" s="21" t="s">
        <v>73</v>
      </c>
      <c r="E74" s="21" t="s">
        <v>90</v>
      </c>
      <c r="F74" s="55">
        <v>2.20092081455915E-3</v>
      </c>
      <c r="G74" s="24">
        <v>8.2683560000000007</v>
      </c>
      <c r="H74" s="24">
        <v>7.3776070000000002</v>
      </c>
      <c r="I74" s="24">
        <v>7.438053</v>
      </c>
      <c r="J74" s="24">
        <v>7.75204</v>
      </c>
      <c r="K74" s="24">
        <v>5.7601649999999998</v>
      </c>
      <c r="L74" s="24">
        <v>6.9772080000000001</v>
      </c>
      <c r="M74" s="24">
        <v>24.267700000000001</v>
      </c>
      <c r="N74" s="24">
        <v>8.2432112472963226</v>
      </c>
      <c r="O74" s="24">
        <v>2.9896907216494837</v>
      </c>
      <c r="P74" s="24">
        <v>3.8312580912863075</v>
      </c>
      <c r="Q74" s="24">
        <v>4.5038933459178851</v>
      </c>
      <c r="R74" s="24">
        <v>7.88</v>
      </c>
      <c r="S74" s="24">
        <v>6.085594134448451</v>
      </c>
      <c r="T74" s="24">
        <v>0.52434437808284529</v>
      </c>
      <c r="U74" s="24" t="s">
        <v>4022</v>
      </c>
      <c r="V74">
        <v>1</v>
      </c>
      <c r="W74" s="21">
        <v>0</v>
      </c>
      <c r="X74" s="56" t="str">
        <f>IFERROR(VLOOKUP(A74,Output!A:F,6,0),"-")</f>
        <v>-</v>
      </c>
    </row>
    <row r="75" spans="1:24" hidden="1" x14ac:dyDescent="0.25">
      <c r="A75" s="21" t="s">
        <v>338</v>
      </c>
      <c r="B75" s="40" t="s">
        <v>339</v>
      </c>
      <c r="C75" s="21" t="s">
        <v>245</v>
      </c>
      <c r="D75" s="21" t="s">
        <v>73</v>
      </c>
      <c r="E75" s="21" t="s">
        <v>85</v>
      </c>
      <c r="F75" s="55">
        <v>2.1757388268763599E-3</v>
      </c>
      <c r="G75" s="24">
        <v>6.156256</v>
      </c>
      <c r="H75" s="24">
        <v>5.3675769999999998</v>
      </c>
      <c r="I75" s="24">
        <v>5.1411689999999997</v>
      </c>
      <c r="J75" s="24">
        <v>5.5249379999999997</v>
      </c>
      <c r="K75" s="24">
        <v>4.1578119999999998</v>
      </c>
      <c r="L75" s="24">
        <v>10.23298</v>
      </c>
      <c r="M75" s="24">
        <v>2.5975000000000001</v>
      </c>
      <c r="N75" s="24">
        <v>6.0069440104166656</v>
      </c>
      <c r="O75" s="24">
        <v>0.51546391752577314</v>
      </c>
      <c r="P75" s="24">
        <v>6.1658031088082907</v>
      </c>
      <c r="Q75" s="24">
        <v>4.6850331829492688</v>
      </c>
      <c r="R75" s="24">
        <v>6.73</v>
      </c>
      <c r="S75" s="24">
        <v>6.6817574184707018</v>
      </c>
      <c r="T75" s="24">
        <v>0.72926199262039471</v>
      </c>
      <c r="U75" s="24" t="s">
        <v>3974</v>
      </c>
      <c r="V75">
        <v>0</v>
      </c>
      <c r="W75" s="21">
        <v>0</v>
      </c>
      <c r="X75" s="56" t="str">
        <f>IFERROR(VLOOKUP(A75,Output!A:F,6,0),"-")</f>
        <v>-</v>
      </c>
    </row>
    <row r="76" spans="1:24" hidden="1" x14ac:dyDescent="0.25">
      <c r="A76" s="21" t="s">
        <v>2521</v>
      </c>
      <c r="B76" s="40" t="s">
        <v>2522</v>
      </c>
      <c r="C76" s="21" t="s">
        <v>244</v>
      </c>
      <c r="D76" s="21" t="s">
        <v>73</v>
      </c>
      <c r="E76" s="21" t="s">
        <v>89</v>
      </c>
      <c r="F76" s="55">
        <v>2.159517924462871E-3</v>
      </c>
      <c r="G76" s="24">
        <v>7.6170410000000004</v>
      </c>
      <c r="H76" s="24">
        <v>7.2324029999999997</v>
      </c>
      <c r="I76" s="24">
        <v>8.3186610000000005</v>
      </c>
      <c r="J76" s="24">
        <v>7.7279850000000003</v>
      </c>
      <c r="K76" s="24">
        <v>0.87395270000000003</v>
      </c>
      <c r="L76" s="24">
        <v>3.2647370000000002</v>
      </c>
      <c r="M76" s="24">
        <v>1.8123</v>
      </c>
      <c r="N76" s="24">
        <v>7.4848085937499986</v>
      </c>
      <c r="O76" s="24">
        <v>2.3711340206185563</v>
      </c>
      <c r="P76" s="24">
        <v>5.3886010362694314</v>
      </c>
      <c r="Q76" s="24">
        <v>0.52566158408246999</v>
      </c>
      <c r="R76" s="24">
        <v>3.49</v>
      </c>
      <c r="S76" s="24">
        <v>3.6166464480361644</v>
      </c>
      <c r="T76" s="24">
        <v>1.1295111665184976</v>
      </c>
      <c r="U76" s="24" t="s">
        <v>3968</v>
      </c>
      <c r="V76">
        <v>0</v>
      </c>
      <c r="W76" s="21">
        <v>0</v>
      </c>
      <c r="X76" s="56" t="str">
        <f>IFERROR(VLOOKUP(A76,Output!A:F,6,0),"-")</f>
        <v>-</v>
      </c>
    </row>
    <row r="77" spans="1:24" hidden="1" x14ac:dyDescent="0.25">
      <c r="A77" s="21" t="s">
        <v>2256</v>
      </c>
      <c r="B77" s="40" t="s">
        <v>2257</v>
      </c>
      <c r="C77" s="21" t="s">
        <v>244</v>
      </c>
      <c r="D77" s="21" t="s">
        <v>73</v>
      </c>
      <c r="E77" s="21" t="s">
        <v>99</v>
      </c>
      <c r="F77" s="55">
        <v>2.117159265756978E-3</v>
      </c>
      <c r="G77" s="21">
        <v>3.4403000000000001</v>
      </c>
      <c r="H77" s="21">
        <v>5.5381419999999997</v>
      </c>
      <c r="I77" s="21">
        <v>6.4862690000000001</v>
      </c>
      <c r="J77" s="21">
        <v>4.9834430000000003</v>
      </c>
      <c r="K77" s="24">
        <v>0.38085540000000001</v>
      </c>
      <c r="L77" s="24">
        <v>1.0120610000000001</v>
      </c>
      <c r="M77" s="24">
        <v>295.7783</v>
      </c>
      <c r="N77" s="24">
        <v>2.338200658105813</v>
      </c>
      <c r="O77" s="24">
        <v>9.1666666666666661</v>
      </c>
      <c r="P77" s="24">
        <v>0.47761194029850745</v>
      </c>
      <c r="Q77" s="24">
        <v>4.3229676838743174</v>
      </c>
      <c r="R77" s="24">
        <v>5.99</v>
      </c>
      <c r="S77" s="24">
        <v>2.3249348478567287</v>
      </c>
      <c r="T77" s="24">
        <v>1.7455135608227856</v>
      </c>
      <c r="U77" s="24" t="s">
        <v>3830</v>
      </c>
      <c r="V77">
        <v>0</v>
      </c>
      <c r="W77" s="21">
        <v>0</v>
      </c>
      <c r="X77" s="56" t="str">
        <f>IFERROR(VLOOKUP(A77,Output!A:F,6,0),"-")</f>
        <v>-</v>
      </c>
    </row>
    <row r="78" spans="1:24" hidden="1" x14ac:dyDescent="0.25">
      <c r="A78" s="21" t="s">
        <v>2403</v>
      </c>
      <c r="B78" s="40" t="s">
        <v>2404</v>
      </c>
      <c r="C78" s="21" t="s">
        <v>244</v>
      </c>
      <c r="D78" s="21" t="s">
        <v>73</v>
      </c>
      <c r="E78" s="21" t="s">
        <v>91</v>
      </c>
      <c r="F78" s="55">
        <v>2.0869680444875875E-3</v>
      </c>
      <c r="G78" s="24">
        <v>3.4282879999999998</v>
      </c>
      <c r="H78" s="24">
        <v>7.4446260000000004</v>
      </c>
      <c r="I78" s="24">
        <v>4.0862259999999999</v>
      </c>
      <c r="J78" s="24">
        <v>5.2979979999999998</v>
      </c>
      <c r="K78" s="24">
        <v>0</v>
      </c>
      <c r="L78" s="24">
        <v>1.901297</v>
      </c>
      <c r="M78" s="24">
        <v>23.657299999999999</v>
      </c>
      <c r="N78" s="24">
        <v>7.3455795779031385</v>
      </c>
      <c r="O78" s="24">
        <v>5.9595959595959602</v>
      </c>
      <c r="P78" s="24">
        <v>8.3783783851210885</v>
      </c>
      <c r="Q78" s="24">
        <v>0.61747237497480767</v>
      </c>
      <c r="R78" s="24" t="e">
        <v>#N/A</v>
      </c>
      <c r="S78" s="24">
        <v>3.9251455644201636</v>
      </c>
      <c r="T78" s="24">
        <v>1.2820295724115416</v>
      </c>
      <c r="U78" s="24" t="s">
        <v>3929</v>
      </c>
      <c r="V78">
        <v>0</v>
      </c>
      <c r="W78" s="21">
        <v>0</v>
      </c>
      <c r="X78" s="56" t="str">
        <f>IFERROR(VLOOKUP(A78,Output!A:F,6,0),"-")</f>
        <v>-</v>
      </c>
    </row>
    <row r="79" spans="1:24" hidden="1" x14ac:dyDescent="0.25">
      <c r="A79" s="21" t="s">
        <v>2502</v>
      </c>
      <c r="B79" s="40" t="s">
        <v>2503</v>
      </c>
      <c r="C79" s="21" t="s">
        <v>244</v>
      </c>
      <c r="D79" s="21" t="s">
        <v>73</v>
      </c>
      <c r="E79" s="21" t="s">
        <v>89</v>
      </c>
      <c r="F79" s="55">
        <v>2.0787554769504477E-3</v>
      </c>
      <c r="G79" s="21">
        <v>4.6419949999999996</v>
      </c>
      <c r="H79" s="21">
        <v>5.7287540000000003</v>
      </c>
      <c r="I79" s="21">
        <v>5.7648770000000003</v>
      </c>
      <c r="J79" s="21">
        <v>5.4153690000000001</v>
      </c>
      <c r="K79" s="24">
        <v>2.773037</v>
      </c>
      <c r="L79" s="24">
        <v>9.0166989999999991</v>
      </c>
      <c r="M79" s="24">
        <v>2.8552</v>
      </c>
      <c r="N79" s="24">
        <v>9.9045143229166666</v>
      </c>
      <c r="O79" s="24">
        <v>2.68041237113402</v>
      </c>
      <c r="P79" s="24">
        <v>3.1865284974093271</v>
      </c>
      <c r="Q79" s="24">
        <v>5.9506378590170339</v>
      </c>
      <c r="R79" s="24">
        <v>6.36</v>
      </c>
      <c r="S79" s="24">
        <v>5.456897372242226</v>
      </c>
      <c r="T79" s="24">
        <v>1.0668526239786438</v>
      </c>
      <c r="U79" s="24" t="s">
        <v>3953</v>
      </c>
      <c r="V79">
        <v>0</v>
      </c>
      <c r="W79" s="21">
        <v>0</v>
      </c>
      <c r="X79" s="56" t="str">
        <f>IFERROR(VLOOKUP(A79,Output!A:F,6,0),"-")</f>
        <v>-</v>
      </c>
    </row>
    <row r="80" spans="1:24" hidden="1" x14ac:dyDescent="0.25">
      <c r="A80" s="21" t="s">
        <v>2553</v>
      </c>
      <c r="B80" s="40" t="s">
        <v>2554</v>
      </c>
      <c r="C80" s="21" t="s">
        <v>244</v>
      </c>
      <c r="D80" s="21" t="s">
        <v>73</v>
      </c>
      <c r="E80" s="21" t="s">
        <v>92</v>
      </c>
      <c r="F80" s="55">
        <v>2.0591763054644396E-3</v>
      </c>
      <c r="G80" s="24">
        <v>4.6533519999999999</v>
      </c>
      <c r="H80" s="24">
        <v>5.734731</v>
      </c>
      <c r="I80" s="24">
        <v>4.964289</v>
      </c>
      <c r="J80" s="24">
        <v>5.0710470000000001</v>
      </c>
      <c r="K80" s="24">
        <v>2.2384759999999999</v>
      </c>
      <c r="L80" s="24">
        <v>4.8714449999999996</v>
      </c>
      <c r="M80" s="24">
        <v>66.731800000000007</v>
      </c>
      <c r="N80" s="24">
        <v>2.9285028409090907</v>
      </c>
      <c r="O80" s="24">
        <v>2.8282828282828283</v>
      </c>
      <c r="P80" s="24">
        <v>7.1884655110670836</v>
      </c>
      <c r="Q80" s="24">
        <v>4.4911069816830373</v>
      </c>
      <c r="R80" s="24">
        <v>7.49</v>
      </c>
      <c r="S80" s="24">
        <v>6.0678480842419553</v>
      </c>
      <c r="T80" s="24">
        <v>0.89019840843871323</v>
      </c>
      <c r="U80" s="24" t="s">
        <v>3986</v>
      </c>
      <c r="V80">
        <v>0</v>
      </c>
      <c r="W80" s="21">
        <v>0</v>
      </c>
      <c r="X80" s="56">
        <f>IFERROR(VLOOKUP(A80,Output!A:F,6,0),"-")</f>
        <v>1.1806082977123582E-2</v>
      </c>
    </row>
    <row r="81" spans="1:24" hidden="1" x14ac:dyDescent="0.25">
      <c r="A81" s="21" t="s">
        <v>2496</v>
      </c>
      <c r="B81" s="40" t="s">
        <v>2497</v>
      </c>
      <c r="C81" s="21" t="s">
        <v>244</v>
      </c>
      <c r="D81" s="21" t="s">
        <v>73</v>
      </c>
      <c r="E81" s="21" t="s">
        <v>92</v>
      </c>
      <c r="F81" s="55">
        <v>2.0460742269349562E-3</v>
      </c>
      <c r="G81" s="24">
        <v>7.2862109999999998</v>
      </c>
      <c r="H81" s="24">
        <v>6.3486830000000003</v>
      </c>
      <c r="I81" s="24">
        <v>5.2156029999999998</v>
      </c>
      <c r="J81" s="24">
        <v>6.2333639999999999</v>
      </c>
      <c r="K81" s="24">
        <v>1.211846</v>
      </c>
      <c r="L81" s="24">
        <v>7.0482370000000003</v>
      </c>
      <c r="M81" s="24">
        <v>2.5503</v>
      </c>
      <c r="N81" s="24">
        <v>8.7476335227272735</v>
      </c>
      <c r="O81" s="24">
        <v>9.1919191919191903</v>
      </c>
      <c r="P81" s="24">
        <v>5.8702364742729705</v>
      </c>
      <c r="Q81" s="24">
        <v>6.7432970533581091</v>
      </c>
      <c r="R81" s="24">
        <v>5.75</v>
      </c>
      <c r="S81" s="24">
        <v>6.495911602136494</v>
      </c>
      <c r="T81" s="24">
        <v>1.2611970282075455</v>
      </c>
      <c r="U81" s="24" t="s">
        <v>3951</v>
      </c>
      <c r="V81">
        <v>0</v>
      </c>
      <c r="W81" s="21">
        <v>0</v>
      </c>
      <c r="X81" s="56" t="str">
        <f>IFERROR(VLOOKUP(A81,Output!A:F,6,0),"-")</f>
        <v>-</v>
      </c>
    </row>
    <row r="82" spans="1:24" hidden="1" x14ac:dyDescent="0.25">
      <c r="A82" s="21" t="s">
        <v>2609</v>
      </c>
      <c r="B82" s="40" t="s">
        <v>2610</v>
      </c>
      <c r="C82" s="21" t="s">
        <v>244</v>
      </c>
      <c r="D82" s="21" t="s">
        <v>73</v>
      </c>
      <c r="E82" s="21" t="s">
        <v>102</v>
      </c>
      <c r="F82" s="55">
        <v>2.019395203787844E-3</v>
      </c>
      <c r="G82" s="24">
        <v>5.7075870000000002</v>
      </c>
      <c r="H82" s="24">
        <v>5.7952360000000001</v>
      </c>
      <c r="I82" s="24">
        <v>5.2588999999999997</v>
      </c>
      <c r="J82" s="24">
        <v>5.6353790000000004</v>
      </c>
      <c r="K82" s="24">
        <v>3.2724120000000001</v>
      </c>
      <c r="L82" s="24">
        <v>5.7455109999999996</v>
      </c>
      <c r="M82" s="24">
        <v>2869.2510000000002</v>
      </c>
      <c r="N82" s="24">
        <v>5.4157889036011673</v>
      </c>
      <c r="O82" s="24">
        <v>2.474226804123711</v>
      </c>
      <c r="P82" s="24">
        <v>2.3015873015873014</v>
      </c>
      <c r="Q82" s="24">
        <v>0.88595942114371995</v>
      </c>
      <c r="R82" s="24">
        <v>4.78</v>
      </c>
      <c r="S82" s="24">
        <v>2.3170403264157446</v>
      </c>
      <c r="T82" s="24">
        <v>0.71987462753686271</v>
      </c>
      <c r="U82" s="24" t="s">
        <v>4019</v>
      </c>
      <c r="V82">
        <v>0</v>
      </c>
      <c r="W82" s="21">
        <v>0</v>
      </c>
      <c r="X82" s="56" t="str">
        <f>IFERROR(VLOOKUP(A82,Output!A:F,6,0),"-")</f>
        <v>-</v>
      </c>
    </row>
    <row r="83" spans="1:24" hidden="1" x14ac:dyDescent="0.25">
      <c r="A83" s="21" t="s">
        <v>376</v>
      </c>
      <c r="B83" s="40" t="s">
        <v>377</v>
      </c>
      <c r="C83" s="21" t="s">
        <v>250</v>
      </c>
      <c r="D83" s="21" t="s">
        <v>76</v>
      </c>
      <c r="E83" s="21" t="s">
        <v>85</v>
      </c>
      <c r="F83" s="55">
        <v>1.9954526970808908E-3</v>
      </c>
      <c r="G83" s="21">
        <v>8.0445250000000001</v>
      </c>
      <c r="H83" s="21">
        <v>5.0930109999999997</v>
      </c>
      <c r="I83" s="21">
        <v>5.459524</v>
      </c>
      <c r="J83" s="21">
        <v>6.1067450000000001</v>
      </c>
      <c r="K83" s="24">
        <v>3.789676</v>
      </c>
      <c r="L83" s="24">
        <v>5.6931310000000002</v>
      </c>
      <c r="M83" s="24">
        <v>6.8795999999999999</v>
      </c>
      <c r="N83" s="24">
        <v>5.4112096069869011</v>
      </c>
      <c r="O83" s="24">
        <v>1.1904761904761905</v>
      </c>
      <c r="P83" s="24">
        <v>9.1724137360285329</v>
      </c>
      <c r="Q83" s="24">
        <v>1.994808306709265</v>
      </c>
      <c r="R83" s="24">
        <v>4.45</v>
      </c>
      <c r="S83" s="24">
        <v>5.7537465363970215</v>
      </c>
      <c r="T83" s="24">
        <v>0.42577709479024306</v>
      </c>
      <c r="U83" s="24" t="s">
        <v>4118</v>
      </c>
      <c r="V83">
        <v>0</v>
      </c>
      <c r="W83" s="21">
        <v>0</v>
      </c>
      <c r="X83" s="56" t="str">
        <f>IFERROR(VLOOKUP(A83,Output!A:F,6,0),"-")</f>
        <v>-</v>
      </c>
    </row>
    <row r="84" spans="1:24" hidden="1" x14ac:dyDescent="0.25">
      <c r="A84" s="21" t="s">
        <v>128</v>
      </c>
      <c r="B84" s="40" t="s">
        <v>196</v>
      </c>
      <c r="C84" s="21" t="s">
        <v>244</v>
      </c>
      <c r="D84" s="21" t="s">
        <v>73</v>
      </c>
      <c r="E84" s="21" t="s">
        <v>99</v>
      </c>
      <c r="F84" s="55">
        <v>1.9801795146992514E-3</v>
      </c>
      <c r="G84" s="24">
        <v>5.829466</v>
      </c>
      <c r="H84" s="24">
        <v>4.8638500000000002</v>
      </c>
      <c r="I84" s="24">
        <v>6.878571</v>
      </c>
      <c r="J84" s="24">
        <v>5.8545129999999999</v>
      </c>
      <c r="K84" s="24">
        <v>0.80584160000000005</v>
      </c>
      <c r="L84" s="24">
        <v>4.8433710000000003</v>
      </c>
      <c r="M84" s="24">
        <v>13.088800000000001</v>
      </c>
      <c r="N84" s="24">
        <v>3.612864531402094</v>
      </c>
      <c r="O84" s="24">
        <v>8.9583333333333339</v>
      </c>
      <c r="P84" s="24">
        <v>8.2388059701492544</v>
      </c>
      <c r="Q84" s="24">
        <v>4.032769792104884</v>
      </c>
      <c r="R84" s="24">
        <v>7.77</v>
      </c>
      <c r="S84" s="24">
        <v>5.6364919367009705</v>
      </c>
      <c r="T84" s="24">
        <v>2.105526263198481</v>
      </c>
      <c r="U84" s="24" t="s">
        <v>2844</v>
      </c>
      <c r="V84">
        <v>0</v>
      </c>
      <c r="W84" s="21">
        <v>0</v>
      </c>
      <c r="X84" s="56">
        <f>IFERROR(VLOOKUP(A84,Output!A:F,6,0),"-")</f>
        <v>1.9999999999999987E-2</v>
      </c>
    </row>
    <row r="85" spans="1:24" hidden="1" x14ac:dyDescent="0.25">
      <c r="A85" s="21" t="s">
        <v>2296</v>
      </c>
      <c r="B85" s="40" t="s">
        <v>2297</v>
      </c>
      <c r="C85" s="21" t="s">
        <v>244</v>
      </c>
      <c r="D85" s="21" t="s">
        <v>73</v>
      </c>
      <c r="E85" s="21" t="s">
        <v>92</v>
      </c>
      <c r="F85" s="55">
        <v>1.963539080169753E-3</v>
      </c>
      <c r="G85" s="24">
        <v>4.9589809999999996</v>
      </c>
      <c r="H85" s="24">
        <v>4.3334890000000001</v>
      </c>
      <c r="I85" s="24">
        <v>4.764202</v>
      </c>
      <c r="J85" s="24">
        <v>4.7129000000000003</v>
      </c>
      <c r="K85" s="24">
        <v>1.149408</v>
      </c>
      <c r="L85" s="24">
        <v>4.3718649999999997</v>
      </c>
      <c r="M85" s="24">
        <v>48.084099999999999</v>
      </c>
      <c r="N85" s="24">
        <v>5.8214957386363642</v>
      </c>
      <c r="O85" s="24">
        <v>9.8989898989898997</v>
      </c>
      <c r="P85" s="24">
        <v>5.8599382250877934</v>
      </c>
      <c r="Q85" s="24">
        <v>2.199805680913193</v>
      </c>
      <c r="R85" s="24">
        <v>5.4600010000000001</v>
      </c>
      <c r="S85" s="24">
        <v>4.4602901502386523</v>
      </c>
      <c r="T85" s="24">
        <v>1.5557252612032721</v>
      </c>
      <c r="U85" s="24" t="s">
        <v>3791</v>
      </c>
      <c r="V85">
        <v>0</v>
      </c>
      <c r="W85" s="21">
        <v>0</v>
      </c>
      <c r="X85" s="56" t="str">
        <f>IFERROR(VLOOKUP(A85,Output!A:F,6,0),"-")</f>
        <v>-</v>
      </c>
    </row>
    <row r="86" spans="1:24" hidden="1" x14ac:dyDescent="0.25">
      <c r="A86" s="21" t="s">
        <v>2450</v>
      </c>
      <c r="B86" s="40" t="s">
        <v>2451</v>
      </c>
      <c r="C86" s="21" t="s">
        <v>244</v>
      </c>
      <c r="D86" s="21" t="s">
        <v>73</v>
      </c>
      <c r="E86" s="21" t="s">
        <v>101</v>
      </c>
      <c r="F86" s="55">
        <v>1.9628529389152721E-3</v>
      </c>
      <c r="G86" s="24">
        <v>6.4296139999999999</v>
      </c>
      <c r="H86" s="24">
        <v>4.5857159999999997</v>
      </c>
      <c r="I86" s="24">
        <v>6.5769039999999999</v>
      </c>
      <c r="J86" s="24">
        <v>5.7509709999999998</v>
      </c>
      <c r="K86" s="24">
        <v>0.9912782</v>
      </c>
      <c r="L86" s="24">
        <v>5.057188</v>
      </c>
      <c r="M86" s="24">
        <v>477.49020000000002</v>
      </c>
      <c r="N86" s="24">
        <v>5.0295616603989304</v>
      </c>
      <c r="O86" s="24">
        <v>6.6326530612244898</v>
      </c>
      <c r="P86" s="24">
        <v>8.5563041330367824</v>
      </c>
      <c r="Q86" s="24">
        <v>3.9030472617184495</v>
      </c>
      <c r="R86" s="24" t="e">
        <v>#N/A</v>
      </c>
      <c r="S86" s="24">
        <v>5.5989584790773108</v>
      </c>
      <c r="T86" s="24">
        <v>1.3081138242802746</v>
      </c>
      <c r="U86" s="24" t="s">
        <v>3917</v>
      </c>
      <c r="V86">
        <v>0</v>
      </c>
      <c r="W86" s="21">
        <v>0</v>
      </c>
      <c r="X86" s="56" t="str">
        <f>IFERROR(VLOOKUP(A86,Output!A:F,6,0),"-")</f>
        <v>-</v>
      </c>
    </row>
    <row r="87" spans="1:24" hidden="1" x14ac:dyDescent="0.25">
      <c r="A87" s="21" t="s">
        <v>2574</v>
      </c>
      <c r="B87" s="40" t="s">
        <v>2575</v>
      </c>
      <c r="C87" s="21" t="s">
        <v>244</v>
      </c>
      <c r="D87" s="21" t="s">
        <v>73</v>
      </c>
      <c r="E87" s="21" t="s">
        <v>100</v>
      </c>
      <c r="F87" s="55">
        <v>1.9380814286985056E-3</v>
      </c>
      <c r="G87" s="24">
        <v>3.9077519999999999</v>
      </c>
      <c r="H87" s="24">
        <v>5.2691429999999997</v>
      </c>
      <c r="I87" s="24">
        <v>5.9657369999999998</v>
      </c>
      <c r="J87" s="24">
        <v>5.0475440000000003</v>
      </c>
      <c r="K87" s="24">
        <v>6.3952359999999997</v>
      </c>
      <c r="L87" s="24">
        <v>13.575659999999999</v>
      </c>
      <c r="M87" s="24">
        <v>381.47410000000002</v>
      </c>
      <c r="N87" s="24">
        <v>0</v>
      </c>
      <c r="O87" s="24">
        <v>0.66666666666666674</v>
      </c>
      <c r="P87" s="24">
        <v>3.9009287925696583</v>
      </c>
      <c r="Q87" s="24">
        <v>10</v>
      </c>
      <c r="R87" s="24">
        <v>6.42</v>
      </c>
      <c r="S87" s="24">
        <v>6.2084338150244172</v>
      </c>
      <c r="T87" s="24">
        <v>0.3971274933406605</v>
      </c>
      <c r="U87" s="24" t="s">
        <v>4000</v>
      </c>
      <c r="V87">
        <v>0</v>
      </c>
      <c r="W87" s="21">
        <v>0</v>
      </c>
      <c r="X87" s="56" t="str">
        <f>IFERROR(VLOOKUP(A87,Output!A:F,6,0),"-")</f>
        <v>-</v>
      </c>
    </row>
    <row r="88" spans="1:24" x14ac:dyDescent="0.25">
      <c r="A88" s="21" t="s">
        <v>162</v>
      </c>
      <c r="B88" s="40" t="s">
        <v>229</v>
      </c>
      <c r="C88" s="21" t="s">
        <v>248</v>
      </c>
      <c r="D88" s="21" t="s">
        <v>75</v>
      </c>
      <c r="E88" s="21" t="s">
        <v>99</v>
      </c>
      <c r="F88" s="55">
        <v>1.9180505307854277E-3</v>
      </c>
      <c r="G88" s="24">
        <v>5.4209820000000004</v>
      </c>
      <c r="H88" s="24">
        <v>6.3981149999999998</v>
      </c>
      <c r="I88" s="24">
        <v>1.3932519999999999</v>
      </c>
      <c r="J88" s="24">
        <v>4.5058030000000002</v>
      </c>
      <c r="K88" s="24">
        <v>0.92357820000000002</v>
      </c>
      <c r="L88" s="24">
        <v>4.0493439999999996</v>
      </c>
      <c r="M88" s="24">
        <v>12.1393</v>
      </c>
      <c r="N88" s="24">
        <v>4.774909050114589</v>
      </c>
      <c r="O88" s="24">
        <v>10</v>
      </c>
      <c r="P88" s="24">
        <v>9.1928251121076237</v>
      </c>
      <c r="Q88" s="24">
        <v>0.98714064349385744</v>
      </c>
      <c r="R88" s="24">
        <v>3.73</v>
      </c>
      <c r="S88" s="24">
        <v>4.1422757132374484</v>
      </c>
      <c r="T88" s="24">
        <v>0.78665115494326465</v>
      </c>
      <c r="U88" s="24" t="s">
        <v>4037</v>
      </c>
      <c r="V88">
        <v>0</v>
      </c>
      <c r="W88" s="21">
        <v>1</v>
      </c>
      <c r="X88" s="56" t="str">
        <f>IFERROR(VLOOKUP(A88,Output!A:F,6,0),"-")</f>
        <v>-</v>
      </c>
    </row>
    <row r="89" spans="1:24" hidden="1" x14ac:dyDescent="0.25">
      <c r="A89" s="21" t="s">
        <v>2418</v>
      </c>
      <c r="B89" s="40" t="s">
        <v>2419</v>
      </c>
      <c r="C89" s="21" t="s">
        <v>244</v>
      </c>
      <c r="D89" s="21" t="s">
        <v>73</v>
      </c>
      <c r="E89" s="21" t="s">
        <v>93</v>
      </c>
      <c r="F89" s="55">
        <v>1.9175072517862784E-3</v>
      </c>
      <c r="G89" s="24">
        <v>2.2822719999999999</v>
      </c>
      <c r="H89" s="24">
        <v>5.2563370000000003</v>
      </c>
      <c r="I89" s="24">
        <v>3.678782</v>
      </c>
      <c r="J89" s="24">
        <v>3.8119730000000001</v>
      </c>
      <c r="K89" s="24">
        <v>1.333143</v>
      </c>
      <c r="L89" s="24">
        <v>6.4013390000000001</v>
      </c>
      <c r="M89" s="24">
        <v>1.9398</v>
      </c>
      <c r="N89" s="24">
        <v>7.7842890624999992</v>
      </c>
      <c r="O89" s="24">
        <v>9.7938144329896897</v>
      </c>
      <c r="P89" s="24">
        <v>4.7150259067357521</v>
      </c>
      <c r="Q89" s="24">
        <v>3.5973593230180141</v>
      </c>
      <c r="R89" s="24">
        <v>3.95</v>
      </c>
      <c r="S89" s="24">
        <v>4.6330387679570375</v>
      </c>
      <c r="T89" s="24">
        <v>0.2765818120528718</v>
      </c>
      <c r="U89" s="24" t="s">
        <v>3868</v>
      </c>
      <c r="V89">
        <v>0</v>
      </c>
      <c r="W89" s="21">
        <v>1</v>
      </c>
      <c r="X89" s="56" t="str">
        <f>IFERROR(VLOOKUP(A89,Output!A:F,6,0),"-")</f>
        <v>-</v>
      </c>
    </row>
    <row r="90" spans="1:24" hidden="1" x14ac:dyDescent="0.25">
      <c r="A90" s="21" t="s">
        <v>2702</v>
      </c>
      <c r="B90" s="40" t="s">
        <v>2703</v>
      </c>
      <c r="C90" s="21" t="s">
        <v>247</v>
      </c>
      <c r="D90" s="21" t="s">
        <v>74</v>
      </c>
      <c r="E90" s="21" t="s">
        <v>96</v>
      </c>
      <c r="F90" s="55">
        <v>1.9162808497493098E-3</v>
      </c>
      <c r="G90" s="24">
        <v>5.6773490000000004</v>
      </c>
      <c r="H90" s="24">
        <v>4.1632530000000001</v>
      </c>
      <c r="I90" s="24">
        <v>6.4904070000000003</v>
      </c>
      <c r="J90" s="24">
        <v>5.4670370000000004</v>
      </c>
      <c r="K90" s="24">
        <v>3.9252910000000001</v>
      </c>
      <c r="L90" s="24">
        <v>6.2033579999999997</v>
      </c>
      <c r="M90" s="24">
        <v>34.522399999999998</v>
      </c>
      <c r="N90" s="24">
        <v>7.9487953641447948</v>
      </c>
      <c r="O90" s="24">
        <v>4.9473684210526319</v>
      </c>
      <c r="P90" s="24">
        <v>9.2340425531914896</v>
      </c>
      <c r="Q90" s="24">
        <v>4.004378983696613</v>
      </c>
      <c r="R90" s="24">
        <v>6.72</v>
      </c>
      <c r="S90" s="24">
        <v>7.1563770668101716</v>
      </c>
      <c r="T90" s="24">
        <v>0.16285696354333665</v>
      </c>
      <c r="U90" s="24" t="s">
        <v>4074</v>
      </c>
      <c r="V90">
        <v>0</v>
      </c>
      <c r="W90" s="21">
        <v>0</v>
      </c>
      <c r="X90" s="56">
        <f>IFERROR(VLOOKUP(A90,Output!A:F,6,0),"-")</f>
        <v>1.4999999999999999E-2</v>
      </c>
    </row>
    <row r="91" spans="1:24" hidden="1" x14ac:dyDescent="0.25">
      <c r="A91" s="21" t="s">
        <v>788</v>
      </c>
      <c r="B91" s="40" t="s">
        <v>789</v>
      </c>
      <c r="C91" s="21" t="s">
        <v>244</v>
      </c>
      <c r="D91" s="21" t="s">
        <v>73</v>
      </c>
      <c r="E91" s="21" t="s">
        <v>89</v>
      </c>
      <c r="F91" s="55">
        <v>1.8845634169211982E-3</v>
      </c>
      <c r="G91" s="24">
        <v>5.7870850000000003</v>
      </c>
      <c r="H91" s="24">
        <v>7.3323219999999996</v>
      </c>
      <c r="I91" s="24">
        <v>5.546068</v>
      </c>
      <c r="J91" s="24">
        <v>6.2435619999999998</v>
      </c>
      <c r="K91" s="24">
        <v>2.5446270000000002</v>
      </c>
      <c r="L91" s="24">
        <v>5.0963320000000003</v>
      </c>
      <c r="M91" s="24">
        <v>1.3527</v>
      </c>
      <c r="N91" s="24">
        <v>7.4023437499999991</v>
      </c>
      <c r="O91" s="24">
        <v>7.9381443298969065</v>
      </c>
      <c r="P91" s="24">
        <v>7.5129533678756486</v>
      </c>
      <c r="Q91" s="24">
        <v>1.9787628665503953</v>
      </c>
      <c r="R91" s="24">
        <v>5.67</v>
      </c>
      <c r="S91" s="24">
        <v>4.8658134608637749</v>
      </c>
      <c r="T91" s="24">
        <v>1.2551837651533886</v>
      </c>
      <c r="U91" s="24" t="s">
        <v>3918</v>
      </c>
      <c r="V91">
        <v>0</v>
      </c>
      <c r="W91" s="21">
        <v>0</v>
      </c>
      <c r="X91" s="56">
        <f>IFERROR(VLOOKUP(A91,Output!A:F,6,0),"-")</f>
        <v>3.499999999999992E-2</v>
      </c>
    </row>
    <row r="92" spans="1:24" hidden="1" x14ac:dyDescent="0.25">
      <c r="A92" s="21" t="s">
        <v>2728</v>
      </c>
      <c r="B92" s="40" t="s">
        <v>2729</v>
      </c>
      <c r="C92" s="21" t="s">
        <v>249</v>
      </c>
      <c r="D92" s="21" t="s">
        <v>74</v>
      </c>
      <c r="E92" s="21" t="s">
        <v>92</v>
      </c>
      <c r="F92" s="55">
        <v>1.8800441405060527E-3</v>
      </c>
      <c r="G92" s="24">
        <v>8.1684990000000006</v>
      </c>
      <c r="H92" s="24">
        <v>6.0373060000000001</v>
      </c>
      <c r="I92" s="24">
        <v>5.979552</v>
      </c>
      <c r="J92" s="24">
        <v>6.8724569999999998</v>
      </c>
      <c r="K92" s="24">
        <v>1.8303700000000001</v>
      </c>
      <c r="L92" s="24">
        <v>4.6017169999999998</v>
      </c>
      <c r="M92" s="24">
        <v>19.394200000000001</v>
      </c>
      <c r="N92" s="24">
        <v>8.6691377777777792</v>
      </c>
      <c r="O92" s="24">
        <v>6.224489795918366</v>
      </c>
      <c r="P92" s="24">
        <v>5.0684931506849313</v>
      </c>
      <c r="Q92" s="24">
        <v>2.6611930880269719</v>
      </c>
      <c r="R92" s="24">
        <v>5.22</v>
      </c>
      <c r="S92" s="24">
        <v>5.0178112109151529</v>
      </c>
      <c r="T92" s="24">
        <v>0.66382947434170969</v>
      </c>
      <c r="U92" s="24" t="s">
        <v>4093</v>
      </c>
      <c r="V92">
        <v>0</v>
      </c>
      <c r="W92" s="21">
        <v>0</v>
      </c>
      <c r="X92" s="56" t="str">
        <f>IFERROR(VLOOKUP(A92,Output!A:F,6,0),"-")</f>
        <v>-</v>
      </c>
    </row>
    <row r="93" spans="1:24" hidden="1" x14ac:dyDescent="0.25">
      <c r="A93" s="21" t="s">
        <v>784</v>
      </c>
      <c r="B93" s="40" t="s">
        <v>785</v>
      </c>
      <c r="C93" s="21" t="s">
        <v>244</v>
      </c>
      <c r="D93" s="21" t="s">
        <v>73</v>
      </c>
      <c r="E93" s="21" t="s">
        <v>85</v>
      </c>
      <c r="F93" s="55">
        <v>1.8685447350240594E-3</v>
      </c>
      <c r="G93" s="21">
        <v>5.6580820000000003</v>
      </c>
      <c r="H93" s="21">
        <v>4.7116480000000003</v>
      </c>
      <c r="I93" s="21">
        <v>5.7926909999999996</v>
      </c>
      <c r="J93" s="21">
        <v>5.3739429999999997</v>
      </c>
      <c r="K93" s="24">
        <v>3.4277880000000001</v>
      </c>
      <c r="L93" s="24">
        <v>11.42806</v>
      </c>
      <c r="M93" s="24">
        <v>7.7039999999999997</v>
      </c>
      <c r="N93" s="57">
        <v>6.8196614583333321</v>
      </c>
      <c r="O93" s="24">
        <v>3.5051546391752577</v>
      </c>
      <c r="P93" s="24">
        <v>0.75129533678756477</v>
      </c>
      <c r="Q93" s="24">
        <v>7.827519836129162</v>
      </c>
      <c r="R93" s="24">
        <v>5.51</v>
      </c>
      <c r="S93" s="24">
        <v>5.1216428673221222</v>
      </c>
      <c r="T93" s="24">
        <v>1.0901402396461266</v>
      </c>
      <c r="U93" s="24" t="s">
        <v>3883</v>
      </c>
      <c r="V93">
        <v>0</v>
      </c>
      <c r="W93" s="21">
        <v>0</v>
      </c>
      <c r="X93" s="56" t="str">
        <f>IFERROR(VLOOKUP(A93,Output!A:F,6,0),"-")</f>
        <v>-</v>
      </c>
    </row>
    <row r="94" spans="1:24" hidden="1" x14ac:dyDescent="0.25">
      <c r="A94" s="21" t="s">
        <v>2711</v>
      </c>
      <c r="B94" s="40" t="s">
        <v>2712</v>
      </c>
      <c r="C94" s="21" t="s">
        <v>257</v>
      </c>
      <c r="D94" s="21" t="s">
        <v>74</v>
      </c>
      <c r="E94" s="21" t="s">
        <v>93</v>
      </c>
      <c r="F94" s="55">
        <v>1.8539476331746946E-3</v>
      </c>
      <c r="G94" s="24">
        <v>5.3009630000000003</v>
      </c>
      <c r="H94" s="24">
        <v>6.6496170000000001</v>
      </c>
      <c r="I94" s="24">
        <v>6.5600880000000004</v>
      </c>
      <c r="J94" s="24">
        <v>6.213686</v>
      </c>
      <c r="K94" s="24">
        <v>5.2799870000000002</v>
      </c>
      <c r="L94" s="24">
        <v>10.222329999999999</v>
      </c>
      <c r="M94" s="24">
        <v>4.2564000000000002</v>
      </c>
      <c r="N94" s="24">
        <v>6.2641001288870086</v>
      </c>
      <c r="O94" s="24">
        <v>2.7272727272727275</v>
      </c>
      <c r="P94" s="24">
        <v>5.9210526315789469</v>
      </c>
      <c r="Q94" s="24">
        <v>5.2025909592061739</v>
      </c>
      <c r="R94" s="24">
        <v>5.17</v>
      </c>
      <c r="S94" s="24">
        <v>5.9830170815866746</v>
      </c>
      <c r="T94" s="24">
        <v>0.41726688941457241</v>
      </c>
      <c r="U94" s="24" t="s">
        <v>4079</v>
      </c>
      <c r="V94">
        <v>0</v>
      </c>
      <c r="W94" s="21">
        <v>0</v>
      </c>
      <c r="X94" s="56" t="str">
        <f>IFERROR(VLOOKUP(A94,Output!A:F,6,0),"-")</f>
        <v>-</v>
      </c>
    </row>
    <row r="95" spans="1:24" hidden="1" x14ac:dyDescent="0.25">
      <c r="A95" s="21" t="s">
        <v>2481</v>
      </c>
      <c r="B95" s="40" t="s">
        <v>2482</v>
      </c>
      <c r="C95" s="21" t="s">
        <v>244</v>
      </c>
      <c r="D95" s="21" t="s">
        <v>73</v>
      </c>
      <c r="E95" s="21" t="s">
        <v>91</v>
      </c>
      <c r="F95" s="55">
        <v>1.8530391499594508E-3</v>
      </c>
      <c r="G95" s="24">
        <v>5.6948429999999997</v>
      </c>
      <c r="H95" s="24">
        <v>6.071275</v>
      </c>
      <c r="I95" s="24">
        <v>5.1994490000000004</v>
      </c>
      <c r="J95" s="24">
        <v>5.6472579999999999</v>
      </c>
      <c r="K95" s="24">
        <v>0.89269580000000004</v>
      </c>
      <c r="L95" s="24">
        <v>4.0656299999999996</v>
      </c>
      <c r="M95" s="24">
        <v>10.142799999999999</v>
      </c>
      <c r="N95" s="24">
        <v>7.0126285177838321</v>
      </c>
      <c r="O95" s="24">
        <v>9.1919191919191903</v>
      </c>
      <c r="P95" s="24">
        <v>6.7255717391868117</v>
      </c>
      <c r="Q95" s="24">
        <v>2.8349604122880252</v>
      </c>
      <c r="R95" s="24">
        <v>7.43</v>
      </c>
      <c r="S95" s="24">
        <v>5.3504886920410426</v>
      </c>
      <c r="T95" s="24">
        <v>0.76136416128784778</v>
      </c>
      <c r="U95" s="24" t="s">
        <v>3971</v>
      </c>
      <c r="V95">
        <v>0</v>
      </c>
      <c r="W95" s="21">
        <v>0</v>
      </c>
      <c r="X95" s="56" t="str">
        <f>IFERROR(VLOOKUP(A95,Output!A:F,6,0),"-")</f>
        <v>-</v>
      </c>
    </row>
    <row r="96" spans="1:24" hidden="1" x14ac:dyDescent="0.25">
      <c r="A96" s="21" t="s">
        <v>138</v>
      </c>
      <c r="B96" s="40" t="s">
        <v>207</v>
      </c>
      <c r="C96" s="21" t="s">
        <v>244</v>
      </c>
      <c r="D96" s="21" t="s">
        <v>73</v>
      </c>
      <c r="E96" s="21" t="s">
        <v>91</v>
      </c>
      <c r="F96" s="55">
        <v>1.8323221107918912E-3</v>
      </c>
      <c r="G96" s="24">
        <v>7.9944940000000004</v>
      </c>
      <c r="H96" s="24">
        <v>6.4614839999999996</v>
      </c>
      <c r="I96" s="24">
        <v>6.6167850000000001</v>
      </c>
      <c r="J96" s="24">
        <v>6.8302060000000004</v>
      </c>
      <c r="K96" s="24">
        <v>1.250259</v>
      </c>
      <c r="L96" s="24">
        <v>8.0780550000000009</v>
      </c>
      <c r="M96" s="24">
        <v>4.4583000000000004</v>
      </c>
      <c r="N96" s="24">
        <v>6.7600457625675539</v>
      </c>
      <c r="O96" s="24">
        <v>5.5555555555555554</v>
      </c>
      <c r="P96" s="24">
        <v>6.7359675811394286</v>
      </c>
      <c r="Q96" s="24">
        <v>8.6643825756485189</v>
      </c>
      <c r="R96" s="24">
        <v>7.05</v>
      </c>
      <c r="S96" s="24">
        <v>7.7399321678715056</v>
      </c>
      <c r="T96" s="24">
        <v>0.58836066165670253</v>
      </c>
      <c r="U96" s="24" t="s">
        <v>2848</v>
      </c>
      <c r="V96">
        <v>0</v>
      </c>
      <c r="W96" s="21">
        <v>0</v>
      </c>
      <c r="X96" s="56">
        <f>IFERROR(VLOOKUP(A96,Output!A:F,6,0),"-")</f>
        <v>2E-3</v>
      </c>
    </row>
    <row r="97" spans="1:24" hidden="1" x14ac:dyDescent="0.25">
      <c r="A97" s="21" t="s">
        <v>2511</v>
      </c>
      <c r="B97" s="40" t="s">
        <v>2512</v>
      </c>
      <c r="C97" s="21" t="s">
        <v>244</v>
      </c>
      <c r="D97" s="21" t="s">
        <v>73</v>
      </c>
      <c r="E97" s="21" t="s">
        <v>97</v>
      </c>
      <c r="F97" s="55">
        <v>1.8007555887968767E-3</v>
      </c>
      <c r="G97" s="24">
        <v>7.9884019999999998</v>
      </c>
      <c r="H97" s="24">
        <v>6.7128439999999996</v>
      </c>
      <c r="I97" s="24">
        <v>5.9771239999999999</v>
      </c>
      <c r="J97" s="24">
        <v>6.9287789999999996</v>
      </c>
      <c r="K97" s="24">
        <v>2.969481</v>
      </c>
      <c r="L97" s="24">
        <v>2.0388199999999999</v>
      </c>
      <c r="M97" s="24">
        <v>1.2806999999999999</v>
      </c>
      <c r="N97" s="24">
        <v>9.1639159795518168</v>
      </c>
      <c r="O97" s="24">
        <v>5.8762886597938131</v>
      </c>
      <c r="P97" s="24">
        <v>4.2272727272727284</v>
      </c>
      <c r="Q97" s="24">
        <v>1.6451285292878213</v>
      </c>
      <c r="R97" s="24">
        <v>4.72</v>
      </c>
      <c r="S97" s="24">
        <v>4.206549090122369</v>
      </c>
      <c r="T97" s="24">
        <v>1.1584369640243171</v>
      </c>
      <c r="U97" s="24" t="s">
        <v>3962</v>
      </c>
      <c r="V97">
        <v>0</v>
      </c>
      <c r="W97" s="21">
        <v>0</v>
      </c>
      <c r="X97" s="56" t="str">
        <f>IFERROR(VLOOKUP(A97,Output!A:F,6,0),"-")</f>
        <v>-</v>
      </c>
    </row>
    <row r="98" spans="1:24" hidden="1" x14ac:dyDescent="0.25">
      <c r="A98" s="21" t="s">
        <v>2561</v>
      </c>
      <c r="B98" s="40" t="s">
        <v>2562</v>
      </c>
      <c r="C98" s="21" t="s">
        <v>244</v>
      </c>
      <c r="D98" s="21" t="s">
        <v>73</v>
      </c>
      <c r="E98" s="21" t="s">
        <v>89</v>
      </c>
      <c r="F98" s="55">
        <v>1.7949958253336736E-3</v>
      </c>
      <c r="G98" s="21">
        <v>8.0593000000000004</v>
      </c>
      <c r="H98" s="21">
        <v>5.2365310000000003</v>
      </c>
      <c r="I98" s="21">
        <v>5.6044270000000003</v>
      </c>
      <c r="J98" s="21">
        <v>6.2121259999999996</v>
      </c>
      <c r="K98" s="24">
        <v>3.7821609999999999</v>
      </c>
      <c r="L98" s="24">
        <v>7.009061</v>
      </c>
      <c r="M98" s="24">
        <v>6.0814000000000004</v>
      </c>
      <c r="N98" s="24">
        <v>7.2721354166666661</v>
      </c>
      <c r="O98" s="24">
        <v>0.20618556701030927</v>
      </c>
      <c r="P98" s="24">
        <v>4.4559585492227978</v>
      </c>
      <c r="Q98" s="24">
        <v>3.204189616393788</v>
      </c>
      <c r="R98" s="24">
        <v>7.11</v>
      </c>
      <c r="S98" s="24">
        <v>4.5460700943577228</v>
      </c>
      <c r="T98" s="24">
        <v>1.108215169138256</v>
      </c>
      <c r="U98" s="24" t="s">
        <v>4018</v>
      </c>
      <c r="V98">
        <v>0</v>
      </c>
      <c r="W98" s="21">
        <v>0</v>
      </c>
      <c r="X98" s="56" t="str">
        <f>IFERROR(VLOOKUP(A98,Output!A:F,6,0),"-")</f>
        <v>-</v>
      </c>
    </row>
    <row r="99" spans="1:24" hidden="1" x14ac:dyDescent="0.25">
      <c r="A99" s="21" t="s">
        <v>171</v>
      </c>
      <c r="B99" s="40" t="s">
        <v>238</v>
      </c>
      <c r="C99" s="21" t="s">
        <v>244</v>
      </c>
      <c r="D99" s="21" t="s">
        <v>73</v>
      </c>
      <c r="E99" s="21" t="s">
        <v>98</v>
      </c>
      <c r="F99" s="55">
        <v>1.7736660881837406E-3</v>
      </c>
      <c r="G99" s="21">
        <v>6.4678050000000002</v>
      </c>
      <c r="H99" s="21">
        <v>4.1809209999999997</v>
      </c>
      <c r="I99" s="21">
        <v>7.1629810000000003</v>
      </c>
      <c r="J99" s="21">
        <v>5.8311210000000004</v>
      </c>
      <c r="K99" s="24">
        <v>1.4731860000000001</v>
      </c>
      <c r="L99" s="24">
        <v>4.228745</v>
      </c>
      <c r="M99" s="24">
        <v>26.4114</v>
      </c>
      <c r="N99" s="24">
        <v>5.4222982132260489</v>
      </c>
      <c r="O99" s="24">
        <v>5</v>
      </c>
      <c r="P99" s="24">
        <v>8.6140519677153122</v>
      </c>
      <c r="Q99" s="24">
        <v>3.2851469771525337</v>
      </c>
      <c r="R99" s="24">
        <v>6.56</v>
      </c>
      <c r="S99" s="24">
        <v>6.1692945358690512</v>
      </c>
      <c r="T99" s="24">
        <v>0.88536567046938097</v>
      </c>
      <c r="U99" s="24" t="s">
        <v>3907</v>
      </c>
      <c r="V99">
        <v>0</v>
      </c>
      <c r="W99" s="21">
        <v>0</v>
      </c>
      <c r="X99" s="56" t="str">
        <f>IFERROR(VLOOKUP(A99,Output!A:F,6,0),"-")</f>
        <v>-</v>
      </c>
    </row>
    <row r="100" spans="1:24" hidden="1" x14ac:dyDescent="0.25">
      <c r="A100" s="21" t="s">
        <v>2475</v>
      </c>
      <c r="B100" s="40" t="s">
        <v>2476</v>
      </c>
      <c r="C100" s="21" t="s">
        <v>244</v>
      </c>
      <c r="D100" s="21" t="s">
        <v>73</v>
      </c>
      <c r="E100" s="21" t="s">
        <v>91</v>
      </c>
      <c r="F100" s="55">
        <v>1.7719104921587116E-3</v>
      </c>
      <c r="G100" s="24">
        <v>6.0699560000000004</v>
      </c>
      <c r="H100" s="24">
        <v>5.9077120000000001</v>
      </c>
      <c r="I100" s="24">
        <v>4.5362369999999999</v>
      </c>
      <c r="J100" s="24">
        <v>5.3915709999999999</v>
      </c>
      <c r="K100" s="24">
        <v>3.0981160000000001</v>
      </c>
      <c r="L100" s="24">
        <v>5.8584509999999996</v>
      </c>
      <c r="M100" s="24">
        <v>21.977</v>
      </c>
      <c r="N100" s="24">
        <v>2.6521237518141216</v>
      </c>
      <c r="O100" s="24">
        <v>3.8383838383838382</v>
      </c>
      <c r="P100" s="24">
        <v>3.8877339131487156</v>
      </c>
      <c r="Q100" s="24">
        <v>6.6459367172429671</v>
      </c>
      <c r="R100" s="24">
        <v>7.59</v>
      </c>
      <c r="S100" s="24">
        <v>5.5792297869681828</v>
      </c>
      <c r="T100" s="24">
        <v>0.51422918340615609</v>
      </c>
      <c r="U100" s="24" t="s">
        <v>3960</v>
      </c>
      <c r="V100">
        <v>0</v>
      </c>
      <c r="W100" s="21">
        <v>0</v>
      </c>
      <c r="X100" s="56" t="str">
        <f>IFERROR(VLOOKUP(A100,Output!A:F,6,0),"-")</f>
        <v>-</v>
      </c>
    </row>
    <row r="101" spans="1:24" x14ac:dyDescent="0.25">
      <c r="A101" s="21" t="s">
        <v>369</v>
      </c>
      <c r="B101" s="40" t="s">
        <v>370</v>
      </c>
      <c r="C101" s="21" t="s">
        <v>248</v>
      </c>
      <c r="D101" s="21" t="s">
        <v>75</v>
      </c>
      <c r="E101" s="21" t="s">
        <v>85</v>
      </c>
      <c r="F101" s="55">
        <v>1.756778159887963E-3</v>
      </c>
      <c r="G101" s="24">
        <v>6.4861560000000003</v>
      </c>
      <c r="H101" s="24">
        <v>5.6975129999999998</v>
      </c>
      <c r="I101" s="24">
        <v>4.7383309999999996</v>
      </c>
      <c r="J101" s="24">
        <v>5.5983919999999996</v>
      </c>
      <c r="K101" s="24">
        <v>2.75291</v>
      </c>
      <c r="L101" s="24">
        <v>12.56672</v>
      </c>
      <c r="M101" s="24">
        <v>6.6582999999999997</v>
      </c>
      <c r="N101" s="24">
        <v>7.0047842248574916</v>
      </c>
      <c r="O101" s="24">
        <v>8.6021505376344081</v>
      </c>
      <c r="P101" s="24">
        <v>3.6187845303867401</v>
      </c>
      <c r="Q101" s="24">
        <v>8.758815232722144</v>
      </c>
      <c r="R101" s="24">
        <v>4.74</v>
      </c>
      <c r="S101" s="24">
        <v>5.949205542463111</v>
      </c>
      <c r="T101" s="24">
        <v>0.323588732672346</v>
      </c>
      <c r="U101" s="24" t="s">
        <v>4069</v>
      </c>
      <c r="V101">
        <v>0</v>
      </c>
      <c r="W101" s="21">
        <v>0</v>
      </c>
      <c r="X101" s="56" t="str">
        <f>IFERROR(VLOOKUP(A101,Output!A:F,6,0),"-")</f>
        <v>-</v>
      </c>
    </row>
    <row r="102" spans="1:24" hidden="1" x14ac:dyDescent="0.25">
      <c r="A102" s="21" t="s">
        <v>2773</v>
      </c>
      <c r="B102" s="40" t="s">
        <v>2774</v>
      </c>
      <c r="C102" s="21" t="s">
        <v>249</v>
      </c>
      <c r="D102" s="21" t="s">
        <v>74</v>
      </c>
      <c r="E102" s="21" t="s">
        <v>96</v>
      </c>
      <c r="F102" s="55">
        <v>1.7478925300352102E-3</v>
      </c>
      <c r="G102" s="21">
        <v>7.2741239999999996</v>
      </c>
      <c r="H102" s="21">
        <v>8.0327439999999992</v>
      </c>
      <c r="I102" s="21">
        <v>5.6198689999999996</v>
      </c>
      <c r="J102" s="21">
        <v>7.0054340000000002</v>
      </c>
      <c r="K102" s="24">
        <v>1.6235200000000001</v>
      </c>
      <c r="L102" s="24">
        <v>2.8831289999999998</v>
      </c>
      <c r="M102" s="24">
        <v>5.8238000000000003</v>
      </c>
      <c r="N102" s="24">
        <v>8.6793737955412507</v>
      </c>
      <c r="O102" s="24">
        <v>3.1313131313131315</v>
      </c>
      <c r="P102" s="24">
        <v>7.0919881305637986</v>
      </c>
      <c r="Q102" s="24">
        <v>0.66731282841219874</v>
      </c>
      <c r="R102" s="24">
        <v>4.24</v>
      </c>
      <c r="S102" s="24">
        <v>4.4717453655175108</v>
      </c>
      <c r="T102" s="24">
        <v>0.47985128712250408</v>
      </c>
      <c r="U102" s="24" t="s">
        <v>4115</v>
      </c>
      <c r="V102">
        <v>0</v>
      </c>
      <c r="W102" s="21">
        <v>0</v>
      </c>
      <c r="X102" s="56" t="str">
        <f>IFERROR(VLOOKUP(A102,Output!A:F,6,0),"-")</f>
        <v>-</v>
      </c>
    </row>
    <row r="103" spans="1:24" hidden="1" x14ac:dyDescent="0.25">
      <c r="A103" s="21" t="s">
        <v>170</v>
      </c>
      <c r="B103" s="40" t="s">
        <v>237</v>
      </c>
      <c r="C103" s="21" t="s">
        <v>244</v>
      </c>
      <c r="D103" s="21" t="s">
        <v>73</v>
      </c>
      <c r="E103" s="21" t="s">
        <v>96</v>
      </c>
      <c r="F103" s="55">
        <v>1.7205676085224426E-3</v>
      </c>
      <c r="G103" s="21">
        <v>6.8652139999999999</v>
      </c>
      <c r="H103" s="21">
        <v>4.1455630000000001</v>
      </c>
      <c r="I103" s="21">
        <v>5.3460710000000002</v>
      </c>
      <c r="J103" s="21">
        <v>5.4522830000000004</v>
      </c>
      <c r="K103" s="24">
        <v>1.5697350000000001</v>
      </c>
      <c r="L103" s="24">
        <v>3.475225</v>
      </c>
      <c r="M103" s="24">
        <v>8.0790000000000006</v>
      </c>
      <c r="N103" s="24">
        <v>5.0612339630462779</v>
      </c>
      <c r="O103" s="24">
        <v>0.91836734693877542</v>
      </c>
      <c r="P103" s="24">
        <v>7.6034648608410578</v>
      </c>
      <c r="Q103" s="24">
        <v>2.9765735805362019</v>
      </c>
      <c r="R103" s="24">
        <v>6.67</v>
      </c>
      <c r="S103" s="24">
        <v>4.9257560493230255</v>
      </c>
      <c r="T103" s="24">
        <v>0.87857227583226594</v>
      </c>
      <c r="U103" s="24" t="s">
        <v>2868</v>
      </c>
      <c r="V103">
        <v>0</v>
      </c>
      <c r="W103" s="21">
        <v>0</v>
      </c>
      <c r="X103" s="56" t="str">
        <f>IFERROR(VLOOKUP(A103,Output!A:F,6,0),"-")</f>
        <v>-</v>
      </c>
    </row>
    <row r="104" spans="1:24" hidden="1" x14ac:dyDescent="0.25">
      <c r="A104" s="21" t="s">
        <v>2543</v>
      </c>
      <c r="B104" s="40" t="s">
        <v>2544</v>
      </c>
      <c r="C104" s="21" t="s">
        <v>244</v>
      </c>
      <c r="D104" s="21" t="s">
        <v>73</v>
      </c>
      <c r="E104" s="21" t="s">
        <v>91</v>
      </c>
      <c r="F104" s="55">
        <v>1.7151871342864233E-3</v>
      </c>
      <c r="G104" s="24">
        <v>5.2445839999999997</v>
      </c>
      <c r="H104" s="24">
        <v>4.6754379999999998</v>
      </c>
      <c r="I104" s="24">
        <v>5.1348580000000004</v>
      </c>
      <c r="J104" s="24">
        <v>4.9730350000000003</v>
      </c>
      <c r="K104" s="24">
        <v>4.6389459999999998</v>
      </c>
      <c r="L104" s="24">
        <v>13.6233</v>
      </c>
      <c r="M104" s="24">
        <v>9.0185999999999993</v>
      </c>
      <c r="N104" s="24">
        <v>4.1997695338902838</v>
      </c>
      <c r="O104" s="24">
        <v>0.20202020202020204</v>
      </c>
      <c r="P104" s="24">
        <v>7.0686070807958137</v>
      </c>
      <c r="Q104" s="24">
        <v>9.046920219963722</v>
      </c>
      <c r="R104" s="24">
        <v>8.19</v>
      </c>
      <c r="S104" s="24">
        <v>7.6506307537984046</v>
      </c>
      <c r="T104" s="24">
        <v>0.49778835085762502</v>
      </c>
      <c r="U104" s="24" t="s">
        <v>3982</v>
      </c>
      <c r="V104">
        <v>0</v>
      </c>
      <c r="W104" s="21">
        <v>0</v>
      </c>
      <c r="X104" s="56">
        <f>IFERROR(VLOOKUP(A104,Output!A:F,6,0),"-")</f>
        <v>0.02</v>
      </c>
    </row>
    <row r="105" spans="1:24" hidden="1" x14ac:dyDescent="0.25">
      <c r="A105" s="21" t="s">
        <v>844</v>
      </c>
      <c r="B105" s="40" t="s">
        <v>845</v>
      </c>
      <c r="C105" s="21" t="s">
        <v>249</v>
      </c>
      <c r="D105" s="21" t="s">
        <v>74</v>
      </c>
      <c r="E105" s="21" t="s">
        <v>91</v>
      </c>
      <c r="F105" s="55">
        <v>1.692373440611036E-3</v>
      </c>
      <c r="G105" s="24">
        <v>6.2102110000000001</v>
      </c>
      <c r="H105" s="24">
        <v>4.3284840000000004</v>
      </c>
      <c r="I105" s="24">
        <v>4.7255190000000002</v>
      </c>
      <c r="J105" s="24">
        <v>4.8636429999999997</v>
      </c>
      <c r="K105" s="24">
        <v>4.3135760000000003</v>
      </c>
      <c r="L105" s="24">
        <v>8.5252759999999999</v>
      </c>
      <c r="M105" s="24">
        <v>22.8447</v>
      </c>
      <c r="N105" s="24">
        <v>4.3435713310580208</v>
      </c>
      <c r="O105" s="24">
        <v>1.2371134020618555</v>
      </c>
      <c r="P105" s="24">
        <v>4.6438746438746445</v>
      </c>
      <c r="Q105" s="24">
        <v>8.7013157816715587</v>
      </c>
      <c r="R105" s="24">
        <v>8.09</v>
      </c>
      <c r="S105" s="24">
        <v>6.7869796364113313</v>
      </c>
      <c r="T105" s="24">
        <v>0.18331554003178904</v>
      </c>
      <c r="U105" s="24" t="s">
        <v>2884</v>
      </c>
      <c r="V105">
        <v>0</v>
      </c>
      <c r="W105" s="21">
        <v>0</v>
      </c>
      <c r="X105" s="56" t="str">
        <f>IFERROR(VLOOKUP(A105,Output!A:F,6,0),"-")</f>
        <v>-</v>
      </c>
    </row>
    <row r="106" spans="1:24" hidden="1" x14ac:dyDescent="0.25">
      <c r="A106" s="21" t="s">
        <v>2713</v>
      </c>
      <c r="B106" s="40" t="s">
        <v>4542</v>
      </c>
      <c r="C106" s="21" t="s">
        <v>249</v>
      </c>
      <c r="D106" s="21" t="s">
        <v>74</v>
      </c>
      <c r="E106" s="21" t="s">
        <v>87</v>
      </c>
      <c r="F106" s="55">
        <v>1.6809032112234416E-3</v>
      </c>
      <c r="G106" s="21">
        <v>3.9686279999999998</v>
      </c>
      <c r="H106" s="21">
        <v>4.8219950000000003</v>
      </c>
      <c r="I106" s="21">
        <v>5.1938500000000003</v>
      </c>
      <c r="J106" s="21">
        <v>4.6614909999999998</v>
      </c>
      <c r="K106" s="24">
        <v>1.756167</v>
      </c>
      <c r="L106" s="24">
        <v>3.941344</v>
      </c>
      <c r="M106" s="24">
        <v>901.52530000000002</v>
      </c>
      <c r="N106" s="24">
        <v>10</v>
      </c>
      <c r="O106" s="24">
        <v>8.4536082474226806</v>
      </c>
      <c r="P106" s="24">
        <v>6.5245901639344259</v>
      </c>
      <c r="Q106" s="24">
        <v>1.1972746692521696</v>
      </c>
      <c r="R106" s="24">
        <v>4.07</v>
      </c>
      <c r="S106" s="24">
        <v>4.9576573504004866</v>
      </c>
      <c r="T106" s="24">
        <v>0.27832687199975642</v>
      </c>
      <c r="U106" s="24" t="s">
        <v>4081</v>
      </c>
      <c r="V106">
        <v>0</v>
      </c>
      <c r="W106" s="21">
        <v>0</v>
      </c>
      <c r="X106" s="56" t="str">
        <f>IFERROR(VLOOKUP(A106,Output!A:F,6,0),"-")</f>
        <v>-</v>
      </c>
    </row>
    <row r="107" spans="1:24" hidden="1" x14ac:dyDescent="0.25">
      <c r="A107" s="21" t="s">
        <v>2578</v>
      </c>
      <c r="B107" s="40" t="s">
        <v>2579</v>
      </c>
      <c r="C107" s="21" t="s">
        <v>244</v>
      </c>
      <c r="D107" s="21" t="s">
        <v>73</v>
      </c>
      <c r="E107" s="21" t="s">
        <v>92</v>
      </c>
      <c r="F107" s="55">
        <v>1.6804937398296382E-3</v>
      </c>
      <c r="G107" s="21">
        <v>5.8000410000000002</v>
      </c>
      <c r="H107" s="21">
        <v>5.2204309999999996</v>
      </c>
      <c r="I107" s="21">
        <v>5.170833</v>
      </c>
      <c r="J107" s="21">
        <v>5.4373959999999997</v>
      </c>
      <c r="K107" s="21">
        <v>4.3842129999999999</v>
      </c>
      <c r="L107" s="21">
        <v>5.3316910000000002</v>
      </c>
      <c r="M107" s="21">
        <v>191.05850000000001</v>
      </c>
      <c r="N107" s="21">
        <v>4.8839957386363633</v>
      </c>
      <c r="O107" s="21">
        <v>0.10101010101010102</v>
      </c>
      <c r="P107" s="21">
        <v>7.3120494446465534</v>
      </c>
      <c r="Q107" s="21">
        <v>6.2157334749137245</v>
      </c>
      <c r="R107" s="21">
        <v>7.99</v>
      </c>
      <c r="S107" s="21">
        <v>6.0157877364817294</v>
      </c>
      <c r="T107" s="21">
        <v>1.1845675056026359</v>
      </c>
      <c r="U107" s="21" t="s">
        <v>4001</v>
      </c>
      <c r="V107">
        <v>0</v>
      </c>
      <c r="W107" s="21">
        <v>0</v>
      </c>
      <c r="X107" s="56" t="str">
        <f>IFERROR(VLOOKUP(A107,Output!A:F,6,0),"-")</f>
        <v>-</v>
      </c>
    </row>
    <row r="108" spans="1:24" hidden="1" x14ac:dyDescent="0.25">
      <c r="A108" s="21" t="s">
        <v>2432</v>
      </c>
      <c r="B108" s="40" t="s">
        <v>2433</v>
      </c>
      <c r="C108" s="21" t="s">
        <v>244</v>
      </c>
      <c r="D108" s="21" t="s">
        <v>73</v>
      </c>
      <c r="E108" s="21" t="s">
        <v>89</v>
      </c>
      <c r="F108" s="55">
        <v>1.6797009549197686E-3</v>
      </c>
      <c r="G108" s="21">
        <v>4.3400990000000004</v>
      </c>
      <c r="H108" s="21">
        <v>3.5728080000000002</v>
      </c>
      <c r="I108" s="21">
        <v>4.5989230000000001</v>
      </c>
      <c r="J108" s="21">
        <v>4.1621360000000003</v>
      </c>
      <c r="K108" s="24">
        <v>1.5141340000000001</v>
      </c>
      <c r="L108" s="24">
        <v>5.0791820000000003</v>
      </c>
      <c r="M108" s="24">
        <v>5.157</v>
      </c>
      <c r="N108" s="24">
        <v>7.6258684895833326</v>
      </c>
      <c r="O108" s="24">
        <v>1.5463917525773194</v>
      </c>
      <c r="P108" s="24">
        <v>5.8203803108808305</v>
      </c>
      <c r="Q108" s="24">
        <v>2.0605536449357271</v>
      </c>
      <c r="R108" s="24">
        <v>4.5</v>
      </c>
      <c r="S108" s="24">
        <v>4.0436714138597534</v>
      </c>
      <c r="T108" s="24">
        <v>1.275752967687761</v>
      </c>
      <c r="U108" s="24" t="s">
        <v>3906</v>
      </c>
      <c r="V108">
        <v>0</v>
      </c>
      <c r="W108" s="21">
        <v>1</v>
      </c>
      <c r="X108" s="56" t="str">
        <f>IFERROR(VLOOKUP(A108,Output!A:F,6,0),"-")</f>
        <v>-</v>
      </c>
    </row>
    <row r="109" spans="1:24" hidden="1" x14ac:dyDescent="0.25">
      <c r="A109" s="21" t="s">
        <v>132</v>
      </c>
      <c r="B109" s="40" t="s">
        <v>200</v>
      </c>
      <c r="C109" s="21" t="s">
        <v>245</v>
      </c>
      <c r="D109" s="21" t="s">
        <v>73</v>
      </c>
      <c r="E109" s="21" t="s">
        <v>85</v>
      </c>
      <c r="F109" s="55">
        <v>1.6723284576868687E-3</v>
      </c>
      <c r="G109" s="24">
        <v>5.2056649999999998</v>
      </c>
      <c r="H109" s="24">
        <v>7.6580120000000003</v>
      </c>
      <c r="I109" s="24">
        <v>7.3803429999999999</v>
      </c>
      <c r="J109" s="24">
        <v>6.8251239999999997</v>
      </c>
      <c r="K109" s="24">
        <v>5.0707979999999999</v>
      </c>
      <c r="L109" s="24">
        <v>10.11088</v>
      </c>
      <c r="M109" s="24">
        <v>3.9380000000000002</v>
      </c>
      <c r="N109" s="24">
        <v>3.4939231770833334</v>
      </c>
      <c r="O109" s="24">
        <v>0.30927835051546387</v>
      </c>
      <c r="P109" s="24">
        <v>4.8963730569948201</v>
      </c>
      <c r="Q109" s="24">
        <v>6.229013490714479</v>
      </c>
      <c r="R109" s="24">
        <v>7.51</v>
      </c>
      <c r="S109" s="24">
        <v>6.2372050289134195</v>
      </c>
      <c r="T109" s="24">
        <v>0.67449559525400771</v>
      </c>
      <c r="U109" s="24" t="s">
        <v>3911</v>
      </c>
      <c r="V109">
        <v>0</v>
      </c>
      <c r="W109" s="21">
        <v>0</v>
      </c>
      <c r="X109" s="56" t="str">
        <f>IFERROR(VLOOKUP(A109,Output!A:F,6,0),"-")</f>
        <v>-</v>
      </c>
    </row>
    <row r="110" spans="1:24" hidden="1" x14ac:dyDescent="0.25">
      <c r="A110" s="21" t="s">
        <v>2500</v>
      </c>
      <c r="B110" s="40" t="s">
        <v>2501</v>
      </c>
      <c r="C110" s="21" t="s">
        <v>244</v>
      </c>
      <c r="D110" s="21" t="s">
        <v>73</v>
      </c>
      <c r="E110" s="21" t="s">
        <v>92</v>
      </c>
      <c r="F110" s="55">
        <v>1.6720427331762052E-3</v>
      </c>
      <c r="G110" s="24">
        <v>5.4496229999999999</v>
      </c>
      <c r="H110" s="24">
        <v>5.637848</v>
      </c>
      <c r="I110" s="24">
        <v>3.8484129999999999</v>
      </c>
      <c r="J110" s="24">
        <v>5.0257269999999998</v>
      </c>
      <c r="K110" s="24">
        <v>1.4155789999999999</v>
      </c>
      <c r="L110" s="24">
        <v>7.4248700000000003</v>
      </c>
      <c r="M110" s="24">
        <v>29.1478</v>
      </c>
      <c r="N110" s="24">
        <v>4.0151505681818183</v>
      </c>
      <c r="O110" s="24">
        <v>0.60606060606060597</v>
      </c>
      <c r="P110" s="24">
        <v>6.9412976439081451</v>
      </c>
      <c r="Q110" s="24">
        <v>6.7935577382532522</v>
      </c>
      <c r="R110" s="24">
        <v>6.36</v>
      </c>
      <c r="S110" s="24">
        <v>6.348567303851631</v>
      </c>
      <c r="T110" s="24">
        <v>0.98702919407759304</v>
      </c>
      <c r="U110" s="24" t="s">
        <v>3921</v>
      </c>
      <c r="V110">
        <v>0</v>
      </c>
      <c r="W110" s="21">
        <v>0</v>
      </c>
      <c r="X110" s="56" t="str">
        <f>IFERROR(VLOOKUP(A110,Output!A:F,6,0),"-")</f>
        <v>-</v>
      </c>
    </row>
    <row r="111" spans="1:24" hidden="1" x14ac:dyDescent="0.25">
      <c r="A111" s="21" t="s">
        <v>2342</v>
      </c>
      <c r="B111" s="40" t="s">
        <v>4386</v>
      </c>
      <c r="C111" s="21" t="s">
        <v>244</v>
      </c>
      <c r="D111" s="21" t="s">
        <v>73</v>
      </c>
      <c r="E111" s="21" t="s">
        <v>91</v>
      </c>
      <c r="F111" s="55">
        <v>1.6696492873632862E-3</v>
      </c>
      <c r="G111" s="24">
        <v>7.3872140000000002</v>
      </c>
      <c r="H111" s="24">
        <v>7.8885699999999996</v>
      </c>
      <c r="I111" s="24">
        <v>6.5856620000000001</v>
      </c>
      <c r="J111" s="24">
        <v>7.2671359999999998</v>
      </c>
      <c r="K111" s="24">
        <v>1.861246</v>
      </c>
      <c r="L111" s="24">
        <v>9.7403169999999992</v>
      </c>
      <c r="M111" s="24">
        <v>0.73492000000000002</v>
      </c>
      <c r="N111" s="24">
        <v>9.2376570160590568</v>
      </c>
      <c r="O111" s="24">
        <v>8.1818181818181817</v>
      </c>
      <c r="P111" s="24">
        <v>5.4885663389248807</v>
      </c>
      <c r="Q111" s="24">
        <v>9.3614142170270345</v>
      </c>
      <c r="R111" s="24">
        <v>8.18</v>
      </c>
      <c r="S111" s="24">
        <v>7.4043772226646478</v>
      </c>
      <c r="T111" s="24">
        <v>0.71749912911735392</v>
      </c>
      <c r="U111" s="24" t="s">
        <v>3850</v>
      </c>
      <c r="V111">
        <v>0</v>
      </c>
      <c r="W111" s="21">
        <v>0</v>
      </c>
      <c r="X111" s="56">
        <f>IFERROR(VLOOKUP(A111,Output!A:F,6,0),"-")</f>
        <v>2E-3</v>
      </c>
    </row>
    <row r="112" spans="1:24" hidden="1" x14ac:dyDescent="0.25">
      <c r="A112" s="21" t="s">
        <v>2541</v>
      </c>
      <c r="B112" s="40" t="s">
        <v>2542</v>
      </c>
      <c r="C112" s="21" t="s">
        <v>244</v>
      </c>
      <c r="D112" s="21" t="s">
        <v>73</v>
      </c>
      <c r="E112" s="21" t="s">
        <v>92</v>
      </c>
      <c r="F112" s="55">
        <v>1.6650787012648877E-3</v>
      </c>
      <c r="G112" s="24">
        <v>5.746378</v>
      </c>
      <c r="H112" s="24">
        <v>4.1485960000000004</v>
      </c>
      <c r="I112" s="24">
        <v>4.6742429999999997</v>
      </c>
      <c r="J112" s="24">
        <v>4.9454029999999998</v>
      </c>
      <c r="K112" s="24">
        <v>0.19386590000000001</v>
      </c>
      <c r="L112" s="24">
        <v>0.39042670000000002</v>
      </c>
      <c r="M112" s="24">
        <v>24.978100000000001</v>
      </c>
      <c r="N112" s="24">
        <v>5.7611278409090927</v>
      </c>
      <c r="O112" s="24">
        <v>0.30303030303030298</v>
      </c>
      <c r="P112" s="24">
        <v>1.4006183670417371</v>
      </c>
      <c r="Q112" s="24">
        <v>2.1752057340058397</v>
      </c>
      <c r="R112" s="24" t="e">
        <v>#N/A</v>
      </c>
      <c r="S112" s="24">
        <v>1.9995261117600605</v>
      </c>
      <c r="T112" s="24">
        <v>0.7351170738013767</v>
      </c>
      <c r="U112" s="24" t="s">
        <v>3952</v>
      </c>
      <c r="V112">
        <v>0</v>
      </c>
      <c r="W112" s="21">
        <v>0</v>
      </c>
      <c r="X112" s="56" t="str">
        <f>IFERROR(VLOOKUP(A112,Output!A:F,6,0),"-")</f>
        <v>-</v>
      </c>
    </row>
    <row r="113" spans="1:24" hidden="1" x14ac:dyDescent="0.25">
      <c r="A113" s="21" t="s">
        <v>2393</v>
      </c>
      <c r="B113" s="40" t="s">
        <v>2394</v>
      </c>
      <c r="C113" s="21" t="s">
        <v>244</v>
      </c>
      <c r="D113" s="21" t="s">
        <v>73</v>
      </c>
      <c r="E113" s="21" t="s">
        <v>93</v>
      </c>
      <c r="F113" s="55">
        <v>1.6570100020553004E-3</v>
      </c>
      <c r="G113" s="24">
        <v>3.945227</v>
      </c>
      <c r="H113" s="24">
        <v>2.2868659999999998</v>
      </c>
      <c r="I113" s="24">
        <v>2.5039799999999999</v>
      </c>
      <c r="J113" s="24">
        <v>2.8603640000000001</v>
      </c>
      <c r="K113" s="24">
        <v>1.4088179999999999</v>
      </c>
      <c r="L113" s="24">
        <v>9.8481699999999996</v>
      </c>
      <c r="M113" s="24">
        <v>1.4359999999999999</v>
      </c>
      <c r="N113" s="24">
        <v>5.9157981770833326</v>
      </c>
      <c r="O113" s="24">
        <v>8.3505154639175263</v>
      </c>
      <c r="P113" s="24">
        <v>6.8566497409326441</v>
      </c>
      <c r="Q113" s="24">
        <v>5.3565785212709391</v>
      </c>
      <c r="R113" s="24">
        <v>3.56</v>
      </c>
      <c r="S113" s="24">
        <v>6.3710573198648177</v>
      </c>
      <c r="T113" s="24">
        <v>0.54581343518871117</v>
      </c>
      <c r="U113" s="24" t="s">
        <v>3884</v>
      </c>
      <c r="V113">
        <v>0</v>
      </c>
      <c r="W113" s="21">
        <v>1</v>
      </c>
      <c r="X113" s="56" t="str">
        <f>IFERROR(VLOOKUP(A113,Output!A:F,6,0),"-")</f>
        <v>-</v>
      </c>
    </row>
    <row r="114" spans="1:24" hidden="1" x14ac:dyDescent="0.25">
      <c r="A114" s="21" t="s">
        <v>2434</v>
      </c>
      <c r="B114" s="40" t="s">
        <v>2435</v>
      </c>
      <c r="C114" s="21" t="s">
        <v>244</v>
      </c>
      <c r="D114" s="21" t="s">
        <v>73</v>
      </c>
      <c r="E114" s="21" t="s">
        <v>91</v>
      </c>
      <c r="F114" s="55">
        <v>1.6504021197100919E-3</v>
      </c>
      <c r="G114" s="24">
        <v>4.8594489999999997</v>
      </c>
      <c r="H114" s="24">
        <v>5.9631600000000002</v>
      </c>
      <c r="I114" s="24">
        <v>2.1776740000000001</v>
      </c>
      <c r="J114" s="24">
        <v>4.2282229999999998</v>
      </c>
      <c r="K114" s="24">
        <v>0</v>
      </c>
      <c r="L114" s="24">
        <v>4.2567310000000003</v>
      </c>
      <c r="M114" s="53">
        <v>2.5651999999999999</v>
      </c>
      <c r="N114" s="24">
        <v>9.1205516307185643</v>
      </c>
      <c r="O114" s="24">
        <v>8.4848484848484844</v>
      </c>
      <c r="P114" s="24">
        <v>9.5010395031141819</v>
      </c>
      <c r="Q114" s="24">
        <v>3.439380416318774</v>
      </c>
      <c r="R114" s="24" t="e">
        <v>#N/A</v>
      </c>
      <c r="S114" s="24">
        <v>5.881508733806478</v>
      </c>
      <c r="T114" s="24">
        <v>0.85038546207679744</v>
      </c>
      <c r="U114" s="24" t="s">
        <v>3908</v>
      </c>
      <c r="V114">
        <v>0</v>
      </c>
      <c r="W114" s="21">
        <v>1</v>
      </c>
      <c r="X114" s="56" t="str">
        <f>IFERROR(VLOOKUP(A114,Output!A:F,6,0),"-")</f>
        <v>-</v>
      </c>
    </row>
    <row r="115" spans="1:24" x14ac:dyDescent="0.25">
      <c r="A115" s="21" t="s">
        <v>2690</v>
      </c>
      <c r="B115" s="40" t="s">
        <v>2691</v>
      </c>
      <c r="C115" s="21" t="s">
        <v>248</v>
      </c>
      <c r="D115" s="21" t="s">
        <v>75</v>
      </c>
      <c r="E115" s="21" t="s">
        <v>99</v>
      </c>
      <c r="F115" s="55">
        <v>1.6491616326620344E-3</v>
      </c>
      <c r="G115" s="21">
        <v>6.8232220000000003</v>
      </c>
      <c r="H115" s="21">
        <v>6.0707639999999996</v>
      </c>
      <c r="I115" s="21">
        <v>5.084295</v>
      </c>
      <c r="J115" s="21">
        <v>5.9927599999999996</v>
      </c>
      <c r="K115" s="24">
        <v>0.6365402</v>
      </c>
      <c r="L115" s="24">
        <v>5.607907</v>
      </c>
      <c r="M115" s="24">
        <v>18.219100000000001</v>
      </c>
      <c r="N115" s="24">
        <v>3.5704900798367061</v>
      </c>
      <c r="O115" s="24">
        <v>5.161290322580645</v>
      </c>
      <c r="P115" s="24">
        <v>2.9924242424242427</v>
      </c>
      <c r="Q115" s="24">
        <v>4.6400787345040859</v>
      </c>
      <c r="R115" s="24">
        <v>3.07</v>
      </c>
      <c r="S115" s="24">
        <v>3.7644013214424334</v>
      </c>
      <c r="T115" s="24">
        <v>0.65824757853623495</v>
      </c>
      <c r="U115" s="24" t="s">
        <v>4067</v>
      </c>
      <c r="V115">
        <v>0</v>
      </c>
      <c r="W115" s="21">
        <v>0</v>
      </c>
      <c r="X115" s="56" t="str">
        <f>IFERROR(VLOOKUP(A115,Output!A:F,6,0),"-")</f>
        <v>-</v>
      </c>
    </row>
    <row r="116" spans="1:24" hidden="1" x14ac:dyDescent="0.25">
      <c r="A116" s="21" t="s">
        <v>2734</v>
      </c>
      <c r="B116" s="40" t="s">
        <v>2735</v>
      </c>
      <c r="C116" s="21" t="s">
        <v>247</v>
      </c>
      <c r="D116" s="21" t="s">
        <v>74</v>
      </c>
      <c r="E116" s="21" t="s">
        <v>95</v>
      </c>
      <c r="F116" s="55">
        <v>1.640593921631006E-3</v>
      </c>
      <c r="G116" s="21">
        <v>6.2849659999999998</v>
      </c>
      <c r="H116" s="21">
        <v>3.030154</v>
      </c>
      <c r="I116" s="21">
        <v>4.1919719999999998</v>
      </c>
      <c r="J116" s="21">
        <v>5.0061049999999998</v>
      </c>
      <c r="K116" s="24">
        <v>4.7229970000000003</v>
      </c>
      <c r="L116" s="24">
        <v>13.68989</v>
      </c>
      <c r="M116" s="24">
        <v>258.2294</v>
      </c>
      <c r="N116" s="24">
        <v>5.349185710464436</v>
      </c>
      <c r="O116" s="24">
        <v>2.584269662921348</v>
      </c>
      <c r="P116" s="24">
        <v>7.2452830188679238</v>
      </c>
      <c r="Q116" s="24">
        <v>8.4617322917268663</v>
      </c>
      <c r="R116" s="24">
        <v>4.37</v>
      </c>
      <c r="S116" s="24">
        <v>6.971023668727435</v>
      </c>
      <c r="T116" s="24">
        <v>0.24548704260968479</v>
      </c>
      <c r="U116" s="24" t="s">
        <v>4096</v>
      </c>
      <c r="V116">
        <v>1</v>
      </c>
      <c r="W116" s="21">
        <v>0</v>
      </c>
      <c r="X116" s="56" t="str">
        <f>IFERROR(VLOOKUP(A116,Output!A:F,6,0),"-")</f>
        <v>-</v>
      </c>
    </row>
    <row r="117" spans="1:24" hidden="1" x14ac:dyDescent="0.25">
      <c r="A117" s="21" t="s">
        <v>2726</v>
      </c>
      <c r="B117" s="40" t="s">
        <v>2727</v>
      </c>
      <c r="C117" s="21" t="s">
        <v>249</v>
      </c>
      <c r="D117" s="21" t="s">
        <v>74</v>
      </c>
      <c r="E117" s="21" t="s">
        <v>92</v>
      </c>
      <c r="F117" s="55">
        <v>1.6375274135024746E-3</v>
      </c>
      <c r="G117" s="21">
        <v>4.8658099999999997</v>
      </c>
      <c r="H117" s="21">
        <v>6.6226349999999998</v>
      </c>
      <c r="I117" s="21">
        <v>5.773123</v>
      </c>
      <c r="J117" s="21">
        <v>5.6650510000000001</v>
      </c>
      <c r="K117" s="24">
        <v>1.4349970000000001</v>
      </c>
      <c r="L117" s="24">
        <v>4.7592990000000004</v>
      </c>
      <c r="M117" s="24">
        <v>17.278400000000001</v>
      </c>
      <c r="N117" s="24">
        <v>8.4790133333333344</v>
      </c>
      <c r="O117" s="24">
        <v>5</v>
      </c>
      <c r="P117" s="24">
        <v>4.7671232876712333</v>
      </c>
      <c r="Q117" s="24">
        <v>2.8262835882593489</v>
      </c>
      <c r="R117" s="24">
        <v>4.32</v>
      </c>
      <c r="S117" s="24">
        <v>5.2632557403525446</v>
      </c>
      <c r="T117" s="24">
        <v>0.6104643418170389</v>
      </c>
      <c r="U117" s="24" t="s">
        <v>4092</v>
      </c>
      <c r="V117">
        <v>0</v>
      </c>
      <c r="W117" s="21">
        <v>0</v>
      </c>
      <c r="X117" s="56" t="str">
        <f>IFERROR(VLOOKUP(A117,Output!A:F,6,0),"-")</f>
        <v>-</v>
      </c>
    </row>
    <row r="118" spans="1:24" hidden="1" x14ac:dyDescent="0.25">
      <c r="A118" s="21" t="s">
        <v>2391</v>
      </c>
      <c r="B118" s="40" t="s">
        <v>2392</v>
      </c>
      <c r="C118" s="21" t="s">
        <v>244</v>
      </c>
      <c r="D118" s="21" t="s">
        <v>73</v>
      </c>
      <c r="E118" s="21" t="s">
        <v>92</v>
      </c>
      <c r="F118" s="55">
        <v>1.5916213441465807E-3</v>
      </c>
      <c r="G118" s="24">
        <v>5.810073</v>
      </c>
      <c r="H118" s="24">
        <v>4.8567</v>
      </c>
      <c r="I118" s="24">
        <v>5.0206340000000003</v>
      </c>
      <c r="J118" s="24">
        <v>5.2872300000000001</v>
      </c>
      <c r="K118" s="24">
        <v>1.9722379999999999</v>
      </c>
      <c r="L118" s="24">
        <v>4.2041750000000002</v>
      </c>
      <c r="M118" s="24">
        <v>31.520700000000001</v>
      </c>
      <c r="N118" s="24">
        <v>6.9057769886363651</v>
      </c>
      <c r="O118" s="24">
        <v>4.0404040404040407</v>
      </c>
      <c r="P118" s="24">
        <v>7.682801245384959</v>
      </c>
      <c r="Q118" s="24">
        <v>2.5500398194850011</v>
      </c>
      <c r="R118" s="24">
        <v>7.78</v>
      </c>
      <c r="S118" s="24">
        <v>5.8879038384611864</v>
      </c>
      <c r="T118" s="24">
        <v>0.78040038907776688</v>
      </c>
      <c r="U118" s="24" t="s">
        <v>3882</v>
      </c>
      <c r="V118">
        <v>0</v>
      </c>
      <c r="W118" s="21">
        <v>0</v>
      </c>
      <c r="X118" s="56" t="str">
        <f>IFERROR(VLOOKUP(A118,Output!A:F,6,0),"-")</f>
        <v>-</v>
      </c>
    </row>
    <row r="119" spans="1:24" hidden="1" x14ac:dyDescent="0.25">
      <c r="A119" s="21" t="s">
        <v>139</v>
      </c>
      <c r="B119" s="40" t="s">
        <v>208</v>
      </c>
      <c r="C119" s="21" t="s">
        <v>244</v>
      </c>
      <c r="D119" s="21" t="s">
        <v>73</v>
      </c>
      <c r="E119" s="21" t="s">
        <v>92</v>
      </c>
      <c r="F119" s="55">
        <v>1.5828262607936862E-3</v>
      </c>
      <c r="G119" s="24">
        <v>6.7534689999999999</v>
      </c>
      <c r="H119" s="24">
        <v>5.5225989999999996</v>
      </c>
      <c r="I119" s="24">
        <v>3.7690700000000001</v>
      </c>
      <c r="J119" s="24">
        <v>5.4888880000000002</v>
      </c>
      <c r="K119" s="24">
        <v>2.832881</v>
      </c>
      <c r="L119" s="24">
        <v>5.8977760000000004</v>
      </c>
      <c r="M119" s="24">
        <v>14.457100000000001</v>
      </c>
      <c r="N119" s="24">
        <v>2.3271775568181816</v>
      </c>
      <c r="O119" s="24">
        <v>1.3131313131313131</v>
      </c>
      <c r="P119" s="24">
        <v>7.8063851789644279</v>
      </c>
      <c r="Q119" s="24">
        <v>6.4261566233076719</v>
      </c>
      <c r="R119" s="24">
        <v>7.93</v>
      </c>
      <c r="S119" s="24">
        <v>6.8075485130167248</v>
      </c>
      <c r="T119" s="24">
        <v>0.40114391326478999</v>
      </c>
      <c r="U119" s="24" t="s">
        <v>2853</v>
      </c>
      <c r="V119">
        <v>0</v>
      </c>
      <c r="W119" s="21">
        <v>0</v>
      </c>
      <c r="X119" s="56">
        <f>IFERROR(VLOOKUP(A119,Output!A:F,6,0),"-")</f>
        <v>1.9999999999999997E-2</v>
      </c>
    </row>
    <row r="120" spans="1:24" hidden="1" x14ac:dyDescent="0.25">
      <c r="A120" s="21" t="s">
        <v>2424</v>
      </c>
      <c r="B120" s="40" t="s">
        <v>2425</v>
      </c>
      <c r="C120" s="21" t="s">
        <v>244</v>
      </c>
      <c r="D120" s="21" t="s">
        <v>73</v>
      </c>
      <c r="E120" s="21" t="s">
        <v>91</v>
      </c>
      <c r="F120" s="55">
        <v>1.5804036388863685E-3</v>
      </c>
      <c r="G120" s="24">
        <v>6.3765580000000002</v>
      </c>
      <c r="H120" s="24">
        <v>5.6707979999999996</v>
      </c>
      <c r="I120" s="24">
        <v>3.6366299999999998</v>
      </c>
      <c r="J120" s="24">
        <v>4.9982829999999998</v>
      </c>
      <c r="K120" s="24">
        <v>0</v>
      </c>
      <c r="L120" s="24">
        <v>5.2735339999999997</v>
      </c>
      <c r="M120" s="24">
        <v>7.2813999999999997</v>
      </c>
      <c r="N120" s="24">
        <v>5.8760040527206385</v>
      </c>
      <c r="O120" s="24">
        <v>5.3535353535353538</v>
      </c>
      <c r="P120" s="24">
        <v>8.2224532298442696</v>
      </c>
      <c r="Q120" s="24">
        <v>4.614055797080586</v>
      </c>
      <c r="R120" s="24" t="e">
        <v>#N/A</v>
      </c>
      <c r="S120" s="24">
        <v>6.0694355742543395</v>
      </c>
      <c r="T120" s="24">
        <v>0.66498382972890924</v>
      </c>
      <c r="U120" s="24" t="s">
        <v>3903</v>
      </c>
      <c r="V120">
        <v>0</v>
      </c>
      <c r="W120" s="21">
        <v>0</v>
      </c>
      <c r="X120" s="56" t="str">
        <f>IFERROR(VLOOKUP(A120,Output!A:F,6,0),"-")</f>
        <v>-</v>
      </c>
    </row>
    <row r="121" spans="1:24" hidden="1" x14ac:dyDescent="0.25">
      <c r="A121" s="21" t="s">
        <v>833</v>
      </c>
      <c r="B121" s="40" t="s">
        <v>834</v>
      </c>
      <c r="C121" s="21" t="s">
        <v>244</v>
      </c>
      <c r="D121" s="21" t="s">
        <v>73</v>
      </c>
      <c r="E121" s="21" t="s">
        <v>93</v>
      </c>
      <c r="F121" s="55">
        <v>1.5675118294510002E-3</v>
      </c>
      <c r="G121" s="24">
        <v>4.4414189999999998</v>
      </c>
      <c r="H121" s="24">
        <v>3.7883629999999999</v>
      </c>
      <c r="I121" s="24">
        <v>5.5430619999999999</v>
      </c>
      <c r="J121" s="24">
        <v>4.5984239999999996</v>
      </c>
      <c r="K121" s="24">
        <v>1.4375910000000001</v>
      </c>
      <c r="L121" s="24">
        <v>4.673089</v>
      </c>
      <c r="M121" s="24">
        <v>5.9151999999999996</v>
      </c>
      <c r="N121" s="24">
        <v>7.5303828124999992</v>
      </c>
      <c r="O121" s="24">
        <v>3.1958762886597931</v>
      </c>
      <c r="P121" s="24">
        <v>8.2383419689119179</v>
      </c>
      <c r="Q121" s="24">
        <v>2.7115313288527676</v>
      </c>
      <c r="R121" s="24">
        <v>5.07</v>
      </c>
      <c r="S121" s="24">
        <v>5.7219605076110032</v>
      </c>
      <c r="T121" s="24">
        <v>0.61892792025949983</v>
      </c>
      <c r="U121" s="24" t="s">
        <v>3895</v>
      </c>
      <c r="V121">
        <v>0</v>
      </c>
      <c r="W121" s="21">
        <v>1</v>
      </c>
      <c r="X121" s="56" t="str">
        <f>IFERROR(VLOOKUP(A121,Output!A:F,6,0),"-")</f>
        <v>-</v>
      </c>
    </row>
    <row r="122" spans="1:24" hidden="1" x14ac:dyDescent="0.25">
      <c r="A122" s="21" t="s">
        <v>672</v>
      </c>
      <c r="B122" s="40" t="s">
        <v>673</v>
      </c>
      <c r="C122" s="21" t="s">
        <v>244</v>
      </c>
      <c r="D122" s="21" t="s">
        <v>73</v>
      </c>
      <c r="E122" s="21" t="s">
        <v>101</v>
      </c>
      <c r="F122" s="55">
        <v>1.5672814389124724E-3</v>
      </c>
      <c r="G122" s="24">
        <v>5.5833329999999997</v>
      </c>
      <c r="H122" s="24">
        <v>2.3788480000000001</v>
      </c>
      <c r="I122" s="24">
        <v>6.881901</v>
      </c>
      <c r="J122" s="24">
        <v>4.8209660000000003</v>
      </c>
      <c r="K122" s="24">
        <v>2.581299</v>
      </c>
      <c r="L122" s="24">
        <v>4.3629300000000004</v>
      </c>
      <c r="M122" s="24">
        <v>51.680199999999999</v>
      </c>
      <c r="N122" s="24">
        <v>6.5709462113084829</v>
      </c>
      <c r="O122" s="24">
        <v>1.3265306122448979</v>
      </c>
      <c r="P122" s="24">
        <v>6.6217516713060709</v>
      </c>
      <c r="Q122" s="24">
        <v>3.8696217063335854</v>
      </c>
      <c r="R122" s="24">
        <v>7.78</v>
      </c>
      <c r="S122" s="24">
        <v>5.928327867341233</v>
      </c>
      <c r="T122" s="24">
        <v>0.86830318026381748</v>
      </c>
      <c r="U122" s="24" t="s">
        <v>3997</v>
      </c>
      <c r="V122">
        <v>1</v>
      </c>
      <c r="W122" s="21">
        <v>0</v>
      </c>
      <c r="X122" s="56" t="str">
        <f>IFERROR(VLOOKUP(A122,Output!A:F,6,0),"-")</f>
        <v>-</v>
      </c>
    </row>
    <row r="123" spans="1:24" hidden="1" x14ac:dyDescent="0.25">
      <c r="A123" s="21" t="s">
        <v>2655</v>
      </c>
      <c r="B123" s="40" t="s">
        <v>2656</v>
      </c>
      <c r="C123" s="21" t="s">
        <v>254</v>
      </c>
      <c r="D123" s="21" t="s">
        <v>74</v>
      </c>
      <c r="E123" s="21" t="s">
        <v>89</v>
      </c>
      <c r="F123" s="55">
        <v>1.5394685723726909E-3</v>
      </c>
      <c r="G123" s="24">
        <v>6.6727780000000001</v>
      </c>
      <c r="H123" s="24">
        <v>6.0141119999999999</v>
      </c>
      <c r="I123" s="24">
        <v>6.6875819999999999</v>
      </c>
      <c r="J123" s="24">
        <v>6.4474260000000001</v>
      </c>
      <c r="K123" s="24">
        <v>2.6198610000000002</v>
      </c>
      <c r="L123" s="24">
        <v>3.6032440000000001</v>
      </c>
      <c r="M123" s="24">
        <v>4.2816000000000001</v>
      </c>
      <c r="N123" s="24">
        <v>8.395403991947564</v>
      </c>
      <c r="O123" s="24">
        <v>3.2323232323232327</v>
      </c>
      <c r="P123" s="24">
        <v>2.2982452631578951</v>
      </c>
      <c r="Q123" s="24">
        <v>4.3660418963616312</v>
      </c>
      <c r="R123" s="24">
        <v>2.85</v>
      </c>
      <c r="S123" s="24">
        <v>3.482855420232319</v>
      </c>
      <c r="T123" s="24">
        <v>0.54002139141835837</v>
      </c>
      <c r="U123" s="24" t="s">
        <v>4048</v>
      </c>
      <c r="V123">
        <v>0</v>
      </c>
      <c r="W123" s="21">
        <v>0</v>
      </c>
      <c r="X123" s="56" t="str">
        <f>IFERROR(VLOOKUP(A123,Output!A:F,6,0),"-")</f>
        <v>-</v>
      </c>
    </row>
    <row r="124" spans="1:24" hidden="1" x14ac:dyDescent="0.25">
      <c r="A124" s="21" t="s">
        <v>2286</v>
      </c>
      <c r="B124" s="40" t="s">
        <v>2287</v>
      </c>
      <c r="C124" s="21" t="s">
        <v>244</v>
      </c>
      <c r="D124" s="21" t="s">
        <v>73</v>
      </c>
      <c r="E124" s="21" t="s">
        <v>91</v>
      </c>
      <c r="F124" s="55">
        <v>1.5264157913820189E-3</v>
      </c>
      <c r="G124" s="24">
        <v>7.2283790000000003</v>
      </c>
      <c r="H124" s="24">
        <v>6.9481760000000001</v>
      </c>
      <c r="I124" s="24">
        <v>3.408496</v>
      </c>
      <c r="J124" s="24">
        <v>5.5883450000000003</v>
      </c>
      <c r="K124" s="24">
        <v>0</v>
      </c>
      <c r="L124" s="24">
        <v>4.003069</v>
      </c>
      <c r="M124" s="24">
        <v>11.010999999999999</v>
      </c>
      <c r="N124" s="24">
        <v>6.7990808910143841</v>
      </c>
      <c r="O124" s="24">
        <v>8.7878787878787872</v>
      </c>
      <c r="P124" s="24">
        <v>3.9812890063148068</v>
      </c>
      <c r="Q124" s="24">
        <v>2.6796798433766149</v>
      </c>
      <c r="R124" s="24" t="e">
        <v>#N/A</v>
      </c>
      <c r="S124" s="24">
        <v>4.4422761652101075</v>
      </c>
      <c r="T124" s="24">
        <v>0.58349093546954722</v>
      </c>
      <c r="U124" s="24" t="s">
        <v>3849</v>
      </c>
      <c r="V124">
        <v>0</v>
      </c>
      <c r="W124" s="21">
        <v>0</v>
      </c>
      <c r="X124" s="56" t="str">
        <f>IFERROR(VLOOKUP(A124,Output!A:F,6,0),"-")</f>
        <v>-</v>
      </c>
    </row>
    <row r="125" spans="1:24" hidden="1" x14ac:dyDescent="0.25">
      <c r="A125" s="21" t="s">
        <v>2446</v>
      </c>
      <c r="B125" s="40" t="s">
        <v>2447</v>
      </c>
      <c r="C125" s="21" t="s">
        <v>244</v>
      </c>
      <c r="D125" s="21" t="s">
        <v>73</v>
      </c>
      <c r="E125" s="21" t="s">
        <v>99</v>
      </c>
      <c r="F125" s="55">
        <v>1.5185895555776075E-3</v>
      </c>
      <c r="G125" s="21">
        <v>5.4777769999999997</v>
      </c>
      <c r="H125" s="21">
        <v>3.697546</v>
      </c>
      <c r="I125" s="21">
        <v>4.5778639999999999</v>
      </c>
      <c r="J125" s="21">
        <v>4.6737339999999996</v>
      </c>
      <c r="K125" s="24">
        <v>1.883518</v>
      </c>
      <c r="L125" s="24">
        <v>3.6616179999999998</v>
      </c>
      <c r="M125" s="24">
        <v>69.654499999999999</v>
      </c>
      <c r="N125" s="24">
        <v>2.7466458363572088</v>
      </c>
      <c r="O125" s="24">
        <v>0.72916666666666674</v>
      </c>
      <c r="P125" s="24">
        <v>3.8805970149253732</v>
      </c>
      <c r="Q125" s="24">
        <v>4.7575906624080151</v>
      </c>
      <c r="R125" s="24">
        <v>8.18</v>
      </c>
      <c r="S125" s="24">
        <v>5.2269799029336106</v>
      </c>
      <c r="T125" s="24">
        <v>1.4778612566259401</v>
      </c>
      <c r="U125" s="24" t="s">
        <v>3881</v>
      </c>
      <c r="V125">
        <v>0</v>
      </c>
      <c r="W125" s="21">
        <v>0</v>
      </c>
      <c r="X125" s="56" t="str">
        <f>IFERROR(VLOOKUP(A125,Output!A:F,6,0),"-")</f>
        <v>-</v>
      </c>
    </row>
    <row r="126" spans="1:24" hidden="1" x14ac:dyDescent="0.25">
      <c r="A126" s="21" t="s">
        <v>783</v>
      </c>
      <c r="B126" s="40" t="s">
        <v>2300</v>
      </c>
      <c r="C126" s="21" t="s">
        <v>244</v>
      </c>
      <c r="D126" s="21" t="s">
        <v>73</v>
      </c>
      <c r="E126" s="21" t="s">
        <v>92</v>
      </c>
      <c r="F126" s="55">
        <v>1.5158802030874054E-3</v>
      </c>
      <c r="G126" s="21">
        <v>2.657117</v>
      </c>
      <c r="H126" s="21">
        <v>4.9055150000000003</v>
      </c>
      <c r="I126" s="21">
        <v>6.6446620000000003</v>
      </c>
      <c r="J126" s="21">
        <v>4.8396970000000001</v>
      </c>
      <c r="K126" s="24">
        <v>0</v>
      </c>
      <c r="L126" s="24">
        <v>6.6673410000000004</v>
      </c>
      <c r="M126" s="24">
        <v>8.5341000000000005</v>
      </c>
      <c r="N126" s="24">
        <v>8.0042613636363651</v>
      </c>
      <c r="O126" s="24">
        <v>6.8686868686868685</v>
      </c>
      <c r="P126" s="24">
        <v>3.9752832380008933</v>
      </c>
      <c r="Q126" s="24">
        <v>5.9532784709317763</v>
      </c>
      <c r="R126" s="24" t="e">
        <v>#N/A</v>
      </c>
      <c r="S126" s="24">
        <v>5.9988586258184124</v>
      </c>
      <c r="T126" s="24">
        <v>0.8789640531661731</v>
      </c>
      <c r="U126" s="24" t="s">
        <v>3854</v>
      </c>
      <c r="V126">
        <v>0</v>
      </c>
      <c r="W126" s="21">
        <v>0</v>
      </c>
      <c r="X126" s="56" t="str">
        <f>IFERROR(VLOOKUP(A126,Output!A:F,6,0),"-")</f>
        <v>-</v>
      </c>
    </row>
    <row r="127" spans="1:24" hidden="1" x14ac:dyDescent="0.25">
      <c r="A127" s="21" t="s">
        <v>123</v>
      </c>
      <c r="B127" s="40" t="s">
        <v>191</v>
      </c>
      <c r="C127" s="21" t="s">
        <v>244</v>
      </c>
      <c r="D127" s="21" t="s">
        <v>73</v>
      </c>
      <c r="E127" s="21" t="s">
        <v>99</v>
      </c>
      <c r="F127" s="55">
        <v>1.479943303365901E-3</v>
      </c>
      <c r="G127" s="24">
        <v>4.7320130000000002</v>
      </c>
      <c r="H127" s="24">
        <v>4.0172189999999999</v>
      </c>
      <c r="I127" s="24">
        <v>7.1809260000000004</v>
      </c>
      <c r="J127" s="24">
        <v>5.2522489999999999</v>
      </c>
      <c r="K127" s="24">
        <v>0.80899200000000004</v>
      </c>
      <c r="L127" s="24">
        <v>4.7405679999999997</v>
      </c>
      <c r="M127" s="24">
        <v>12.6395</v>
      </c>
      <c r="N127" s="24">
        <v>3.9443574541718585</v>
      </c>
      <c r="O127" s="24">
        <v>7.2916666666666679</v>
      </c>
      <c r="P127" s="24">
        <v>8</v>
      </c>
      <c r="Q127" s="24">
        <v>3.7829572928282156</v>
      </c>
      <c r="R127" s="24">
        <v>7.41</v>
      </c>
      <c r="S127" s="24">
        <v>5.7399727509978415</v>
      </c>
      <c r="T127" s="24">
        <v>2.0944607439755694</v>
      </c>
      <c r="U127" s="24" t="s">
        <v>2835</v>
      </c>
      <c r="V127">
        <v>0</v>
      </c>
      <c r="W127" s="21">
        <v>0</v>
      </c>
      <c r="X127" s="56">
        <f>IFERROR(VLOOKUP(A127,Output!A:F,6,0),"-")</f>
        <v>2E-3</v>
      </c>
    </row>
    <row r="128" spans="1:24" hidden="1" x14ac:dyDescent="0.25">
      <c r="A128" s="21" t="s">
        <v>2452</v>
      </c>
      <c r="B128" s="40" t="s">
        <v>2453</v>
      </c>
      <c r="C128" s="21" t="s">
        <v>244</v>
      </c>
      <c r="D128" s="21" t="s">
        <v>73</v>
      </c>
      <c r="E128" s="21" t="s">
        <v>98</v>
      </c>
      <c r="F128" s="55">
        <v>1.4726563222717561E-3</v>
      </c>
      <c r="G128" s="24">
        <v>6.4336320000000002</v>
      </c>
      <c r="H128" s="24">
        <v>4.5221109999999998</v>
      </c>
      <c r="I128" s="24">
        <v>5.9432879999999999</v>
      </c>
      <c r="J128" s="24">
        <v>5.4728859999999999</v>
      </c>
      <c r="K128" s="24">
        <v>3.3496489999999999</v>
      </c>
      <c r="L128" s="24">
        <v>10.777939999999999</v>
      </c>
      <c r="M128" s="24">
        <v>4.0282999999999998</v>
      </c>
      <c r="N128" s="24">
        <v>4.9651521268925736</v>
      </c>
      <c r="O128" s="24">
        <v>4.0206185567010309</v>
      </c>
      <c r="P128" s="24">
        <v>2.3236514522821579</v>
      </c>
      <c r="Q128" s="24">
        <v>9.5174610665408199</v>
      </c>
      <c r="R128" s="24">
        <v>6.08</v>
      </c>
      <c r="S128" s="24">
        <v>5.7159534017674769</v>
      </c>
      <c r="T128" s="24">
        <v>0.62133636214252908</v>
      </c>
      <c r="U128" s="24" t="s">
        <v>3920</v>
      </c>
      <c r="V128">
        <v>0</v>
      </c>
      <c r="W128" s="21">
        <v>0</v>
      </c>
      <c r="X128" s="56" t="str">
        <f>IFERROR(VLOOKUP(A128,Output!A:F,6,0),"-")</f>
        <v>-</v>
      </c>
    </row>
    <row r="129" spans="1:24" hidden="1" x14ac:dyDescent="0.25">
      <c r="A129" s="21" t="s">
        <v>2097</v>
      </c>
      <c r="B129" s="40" t="s">
        <v>2098</v>
      </c>
      <c r="C129" s="21" t="s">
        <v>245</v>
      </c>
      <c r="D129" s="21" t="s">
        <v>73</v>
      </c>
      <c r="E129" s="21" t="s">
        <v>99</v>
      </c>
      <c r="F129" s="55">
        <v>1.4614506898781919E-3</v>
      </c>
      <c r="G129" s="24">
        <v>5.5853020000000004</v>
      </c>
      <c r="H129" s="24">
        <v>3.8208329999999999</v>
      </c>
      <c r="I129" s="24">
        <v>3.439721</v>
      </c>
      <c r="J129" s="24">
        <v>4.2819520000000004</v>
      </c>
      <c r="K129" s="24">
        <v>0</v>
      </c>
      <c r="L129" s="24">
        <v>1.3299970000000001</v>
      </c>
      <c r="M129" s="24">
        <v>0.21807000000000001</v>
      </c>
      <c r="N129" s="24">
        <v>6.4502763575593018</v>
      </c>
      <c r="O129" s="24">
        <v>4.6875</v>
      </c>
      <c r="P129" s="24">
        <v>5.4626865671641784</v>
      </c>
      <c r="Q129" s="24">
        <v>0.69270513693769264</v>
      </c>
      <c r="R129" s="24" t="e">
        <v>#N/A</v>
      </c>
      <c r="S129" s="24">
        <v>2.8851543226135838</v>
      </c>
      <c r="T129" s="24">
        <v>2.319308238786264</v>
      </c>
      <c r="U129" s="24" t="s">
        <v>4547</v>
      </c>
      <c r="V129">
        <v>0</v>
      </c>
      <c r="W129" s="21">
        <v>1</v>
      </c>
      <c r="X129" s="56" t="str">
        <f>IFERROR(VLOOKUP(A129,Output!A:F,6,0),"-")</f>
        <v>-</v>
      </c>
    </row>
    <row r="130" spans="1:24" hidden="1" x14ac:dyDescent="0.25">
      <c r="A130" s="21" t="s">
        <v>2473</v>
      </c>
      <c r="B130" s="40" t="s">
        <v>2474</v>
      </c>
      <c r="C130" s="21" t="s">
        <v>244</v>
      </c>
      <c r="D130" s="21" t="s">
        <v>73</v>
      </c>
      <c r="E130" s="21" t="s">
        <v>90</v>
      </c>
      <c r="F130" s="55">
        <v>1.4520620239151158E-3</v>
      </c>
      <c r="G130" s="21">
        <v>6.8459519999999996</v>
      </c>
      <c r="H130" s="21">
        <v>5.167948</v>
      </c>
      <c r="I130" s="21">
        <v>5.8888170000000004</v>
      </c>
      <c r="J130" s="21">
        <v>6.0554100000000002</v>
      </c>
      <c r="K130" s="24">
        <v>2.5431949999999999</v>
      </c>
      <c r="L130" s="24">
        <v>4.9937199999999997</v>
      </c>
      <c r="M130" s="24">
        <v>58.017400000000002</v>
      </c>
      <c r="N130" s="24">
        <v>4.5517909156452765</v>
      </c>
      <c r="O130" s="24">
        <v>7.0103092783505154</v>
      </c>
      <c r="P130" s="24">
        <v>2.1161825726141079</v>
      </c>
      <c r="Q130" s="24">
        <v>3.1089747522416236</v>
      </c>
      <c r="R130" s="24">
        <v>5.64</v>
      </c>
      <c r="S130" s="24">
        <v>3.4742728242528207</v>
      </c>
      <c r="T130" s="24">
        <v>0.50333400033613762</v>
      </c>
      <c r="U130" s="24" t="s">
        <v>3936</v>
      </c>
      <c r="V130">
        <v>0</v>
      </c>
      <c r="W130" s="21">
        <v>0</v>
      </c>
      <c r="X130" s="56" t="str">
        <f>IFERROR(VLOOKUP(A130,Output!A:F,6,0),"-")</f>
        <v>-</v>
      </c>
    </row>
    <row r="131" spans="1:24" hidden="1" x14ac:dyDescent="0.25">
      <c r="A131" s="21" t="s">
        <v>135</v>
      </c>
      <c r="B131" s="40" t="s">
        <v>204</v>
      </c>
      <c r="C131" s="21" t="s">
        <v>244</v>
      </c>
      <c r="D131" s="21" t="s">
        <v>73</v>
      </c>
      <c r="E131" s="21" t="s">
        <v>91</v>
      </c>
      <c r="F131" s="55">
        <v>1.402623634992531E-3</v>
      </c>
      <c r="G131" s="24">
        <v>6.1682980000000001</v>
      </c>
      <c r="H131" s="24">
        <v>4.6771570000000002</v>
      </c>
      <c r="I131" s="24">
        <v>5.9259250000000003</v>
      </c>
      <c r="J131" s="24">
        <v>5.4748929999999998</v>
      </c>
      <c r="K131" s="24">
        <v>4.3599290000000002</v>
      </c>
      <c r="L131" s="24">
        <v>8.9845640000000007</v>
      </c>
      <c r="M131" s="24">
        <v>4.6372999999999998</v>
      </c>
      <c r="N131" s="24">
        <v>4.5648684670614497</v>
      </c>
      <c r="O131" s="24">
        <v>0.60606060606060597</v>
      </c>
      <c r="P131" s="24">
        <v>7.5675675776816327</v>
      </c>
      <c r="Q131" s="24">
        <v>8.0655284599660249</v>
      </c>
      <c r="R131" s="24">
        <v>7.95</v>
      </c>
      <c r="S131" s="24">
        <v>7.2566321710013515</v>
      </c>
      <c r="T131" s="24">
        <v>0.5810335467752995</v>
      </c>
      <c r="U131" s="24" t="s">
        <v>2849</v>
      </c>
      <c r="V131">
        <v>0</v>
      </c>
      <c r="W131" s="21">
        <v>0</v>
      </c>
      <c r="X131" s="56">
        <f>IFERROR(VLOOKUP(A131,Output!A:F,6,0),"-")</f>
        <v>1.9999999999999921E-2</v>
      </c>
    </row>
    <row r="132" spans="1:24" hidden="1" x14ac:dyDescent="0.25">
      <c r="A132" s="21" t="s">
        <v>2448</v>
      </c>
      <c r="B132" s="40" t="s">
        <v>2449</v>
      </c>
      <c r="C132" s="21" t="s">
        <v>244</v>
      </c>
      <c r="D132" s="21" t="s">
        <v>73</v>
      </c>
      <c r="E132" s="21" t="s">
        <v>97</v>
      </c>
      <c r="F132" s="55">
        <v>1.3874269140996607E-3</v>
      </c>
      <c r="G132" s="24">
        <v>5.9226289999999997</v>
      </c>
      <c r="H132" s="24">
        <v>6.0249730000000001</v>
      </c>
      <c r="I132" s="24">
        <v>6.960026</v>
      </c>
      <c r="J132" s="24">
        <v>6.3580569999999996</v>
      </c>
      <c r="K132" s="24">
        <v>3.3764439999999998</v>
      </c>
      <c r="L132" s="24">
        <v>3.4448859999999999</v>
      </c>
      <c r="M132" s="24">
        <v>137.4554</v>
      </c>
      <c r="N132" s="24">
        <v>4.9587450563126962</v>
      </c>
      <c r="O132" s="24">
        <v>7.6288659793814428</v>
      </c>
      <c r="P132" s="24">
        <v>7.1818181818181834</v>
      </c>
      <c r="Q132" s="24">
        <v>2.4902837477173763</v>
      </c>
      <c r="R132" s="24">
        <v>4.75</v>
      </c>
      <c r="S132" s="24">
        <v>5.0154701173717049</v>
      </c>
      <c r="T132" s="24">
        <v>0.88478791255867628</v>
      </c>
      <c r="U132" s="24" t="s">
        <v>3916</v>
      </c>
      <c r="V132">
        <v>0</v>
      </c>
      <c r="W132" s="21">
        <v>0</v>
      </c>
      <c r="X132" s="56" t="str">
        <f>IFERROR(VLOOKUP(A132,Output!A:F,6,0),"-")</f>
        <v>-</v>
      </c>
    </row>
    <row r="133" spans="1:24" hidden="1" x14ac:dyDescent="0.25">
      <c r="A133" s="21" t="s">
        <v>2228</v>
      </c>
      <c r="B133" s="40" t="s">
        <v>2229</v>
      </c>
      <c r="C133" s="21" t="s">
        <v>244</v>
      </c>
      <c r="D133" s="21" t="s">
        <v>73</v>
      </c>
      <c r="E133" s="21" t="s">
        <v>89</v>
      </c>
      <c r="F133" s="55">
        <v>1.3839016370385143E-3</v>
      </c>
      <c r="G133" s="24">
        <v>6.4787540000000003</v>
      </c>
      <c r="H133" s="24">
        <v>6.0995710000000001</v>
      </c>
      <c r="I133" s="24">
        <v>7.3369929999999997</v>
      </c>
      <c r="J133" s="24">
        <v>6.6464230000000004</v>
      </c>
      <c r="K133" s="24">
        <v>3.3676159999999999</v>
      </c>
      <c r="L133" s="24">
        <v>3.8799389999999998</v>
      </c>
      <c r="M133" s="24">
        <v>0.89759999999999995</v>
      </c>
      <c r="N133" s="24">
        <v>7.3914934895833326</v>
      </c>
      <c r="O133" s="24">
        <v>3.9175257731958757</v>
      </c>
      <c r="P133" s="24">
        <v>7.9792746113989654</v>
      </c>
      <c r="Q133" s="24">
        <v>0.24680726109258022</v>
      </c>
      <c r="R133" s="24">
        <v>7.86</v>
      </c>
      <c r="S133" s="24">
        <v>4.2099961007922877</v>
      </c>
      <c r="T133" s="24">
        <v>1.6337759163209</v>
      </c>
      <c r="U133" s="24" t="s">
        <v>3786</v>
      </c>
      <c r="V133">
        <v>0</v>
      </c>
      <c r="W133" s="21">
        <v>0</v>
      </c>
      <c r="X133" s="56" t="str">
        <f>IFERROR(VLOOKUP(A133,Output!A:F,6,0),"-")</f>
        <v>-</v>
      </c>
    </row>
    <row r="134" spans="1:24" hidden="1" x14ac:dyDescent="0.25">
      <c r="A134" s="21" t="s">
        <v>2742</v>
      </c>
      <c r="B134" s="40" t="s">
        <v>2743</v>
      </c>
      <c r="C134" s="21" t="s">
        <v>250</v>
      </c>
      <c r="D134" s="21" t="s">
        <v>76</v>
      </c>
      <c r="E134" s="21" t="s">
        <v>91</v>
      </c>
      <c r="F134" s="55">
        <v>1.3830635788787153E-3</v>
      </c>
      <c r="G134" s="24">
        <v>6.0554129999999997</v>
      </c>
      <c r="H134" s="24">
        <v>4.0646800000000001</v>
      </c>
      <c r="I134" s="24">
        <v>5.7454770000000002</v>
      </c>
      <c r="J134" s="24">
        <v>5.1351459999999998</v>
      </c>
      <c r="K134" s="24">
        <v>1.418396</v>
      </c>
      <c r="L134" s="24">
        <v>3.3393329999999999</v>
      </c>
      <c r="M134" s="24">
        <v>38.8917</v>
      </c>
      <c r="N134" s="24">
        <v>10</v>
      </c>
      <c r="O134" s="24">
        <v>6.8539325842696623</v>
      </c>
      <c r="P134" s="24">
        <v>4.0277777777777777</v>
      </c>
      <c r="Q134" s="24">
        <v>3.6278241525423733</v>
      </c>
      <c r="R134" s="24">
        <v>4.5999999999999996</v>
      </c>
      <c r="S134" s="24">
        <v>6.1325092749529198</v>
      </c>
      <c r="T134" s="24">
        <v>0.27029731019039732</v>
      </c>
      <c r="U134" s="24" t="s">
        <v>2886</v>
      </c>
      <c r="V134">
        <v>0</v>
      </c>
      <c r="W134" s="21">
        <v>0</v>
      </c>
      <c r="X134" s="56" t="str">
        <f>IFERROR(VLOOKUP(A134,Output!A:F,6,0),"-")</f>
        <v>-</v>
      </c>
    </row>
    <row r="135" spans="1:24" hidden="1" x14ac:dyDescent="0.25">
      <c r="A135" s="21" t="s">
        <v>2212</v>
      </c>
      <c r="B135" s="40" t="s">
        <v>2213</v>
      </c>
      <c r="C135" s="21" t="s">
        <v>244</v>
      </c>
      <c r="D135" s="21" t="s">
        <v>73</v>
      </c>
      <c r="E135" s="21" t="s">
        <v>99</v>
      </c>
      <c r="F135" s="55">
        <v>1.3496227443366357E-3</v>
      </c>
      <c r="G135" s="24">
        <v>3.6477940000000002</v>
      </c>
      <c r="H135" s="24">
        <v>4.886965</v>
      </c>
      <c r="I135" s="24">
        <v>6.4642609999999996</v>
      </c>
      <c r="J135" s="24">
        <v>4.9996729999999996</v>
      </c>
      <c r="K135" s="24">
        <v>0</v>
      </c>
      <c r="L135" s="24">
        <v>2.816929</v>
      </c>
      <c r="M135" s="24">
        <v>10.6432</v>
      </c>
      <c r="N135" s="24">
        <v>7.1842937793444186</v>
      </c>
      <c r="O135" s="24">
        <v>6.9791666666666679</v>
      </c>
      <c r="P135" s="24">
        <v>6.5373134328358207</v>
      </c>
      <c r="Q135" s="24">
        <v>1.5827230321666534</v>
      </c>
      <c r="R135" s="24" t="e">
        <v>#N/A</v>
      </c>
      <c r="S135" s="24">
        <v>4.5569485534385583</v>
      </c>
      <c r="T135" s="24">
        <v>1.7726966036265672</v>
      </c>
      <c r="U135" s="24" t="s">
        <v>3744</v>
      </c>
      <c r="V135">
        <v>0</v>
      </c>
      <c r="W135" s="21">
        <v>0</v>
      </c>
      <c r="X135" s="56" t="str">
        <f>IFERROR(VLOOKUP(A135,Output!A:F,6,0),"-")</f>
        <v>-</v>
      </c>
    </row>
    <row r="136" spans="1:24" hidden="1" x14ac:dyDescent="0.25">
      <c r="A136" s="21" t="s">
        <v>2206</v>
      </c>
      <c r="B136" s="40" t="s">
        <v>2207</v>
      </c>
      <c r="C136" s="21" t="s">
        <v>244</v>
      </c>
      <c r="D136" s="21" t="s">
        <v>73</v>
      </c>
      <c r="E136" s="21" t="s">
        <v>99</v>
      </c>
      <c r="F136" s="55">
        <v>1.3430671777469011E-3</v>
      </c>
      <c r="G136" s="24">
        <v>5.9340840000000004</v>
      </c>
      <c r="H136" s="24">
        <v>6.129715</v>
      </c>
      <c r="I136" s="24">
        <v>4.6967930000000004</v>
      </c>
      <c r="J136" s="24">
        <v>5.5868640000000003</v>
      </c>
      <c r="K136" s="24">
        <v>0</v>
      </c>
      <c r="L136" s="24">
        <v>2.2593730000000001</v>
      </c>
      <c r="M136" s="24">
        <v>2.6303999999999998</v>
      </c>
      <c r="N136" s="24">
        <v>7.6913980024781372</v>
      </c>
      <c r="O136" s="24">
        <v>4.3750000000000009</v>
      </c>
      <c r="P136" s="24">
        <v>6.5373134328358207</v>
      </c>
      <c r="Q136" s="24">
        <v>1.774649417580908</v>
      </c>
      <c r="R136" s="24" t="e">
        <v>#N/A</v>
      </c>
      <c r="S136" s="24">
        <v>3.7580330503030068</v>
      </c>
      <c r="T136" s="24">
        <v>1.562349128928531</v>
      </c>
      <c r="U136" s="24" t="s">
        <v>3737</v>
      </c>
      <c r="V136">
        <v>0</v>
      </c>
      <c r="W136" s="21">
        <v>0</v>
      </c>
      <c r="X136" s="56" t="str">
        <f>IFERROR(VLOOKUP(A136,Output!A:F,6,0),"-")</f>
        <v>-</v>
      </c>
    </row>
    <row r="137" spans="1:24" hidden="1" x14ac:dyDescent="0.25">
      <c r="A137" s="21" t="s">
        <v>2625</v>
      </c>
      <c r="B137" s="40" t="s">
        <v>2626</v>
      </c>
      <c r="C137" s="21" t="s">
        <v>244</v>
      </c>
      <c r="D137" s="21" t="s">
        <v>73</v>
      </c>
      <c r="E137" s="21" t="s">
        <v>100</v>
      </c>
      <c r="F137" s="55">
        <v>1.3364985322182978E-3</v>
      </c>
      <c r="G137" s="24">
        <v>8.1728170000000002</v>
      </c>
      <c r="H137" s="24">
        <v>6.0520639999999997</v>
      </c>
      <c r="I137" s="24">
        <v>4.9220269999999999</v>
      </c>
      <c r="J137" s="24">
        <v>6.3823030000000003</v>
      </c>
      <c r="K137" s="24">
        <v>1.5524450000000001</v>
      </c>
      <c r="L137" s="24">
        <v>5.7282270000000004</v>
      </c>
      <c r="M137" s="24">
        <v>42.074800000000003</v>
      </c>
      <c r="N137" s="24">
        <v>8.2845547212660264</v>
      </c>
      <c r="O137" s="24">
        <v>4.1111111111111116</v>
      </c>
      <c r="P137" s="24">
        <v>3.8390092879256956</v>
      </c>
      <c r="Q137" s="24">
        <v>3.5357657724676699</v>
      </c>
      <c r="R137" s="24">
        <v>5.61</v>
      </c>
      <c r="S137" s="24">
        <v>5.1754749722902789</v>
      </c>
      <c r="T137" s="24">
        <v>0.38167551996738658</v>
      </c>
      <c r="U137" s="24" t="s">
        <v>4027</v>
      </c>
      <c r="V137">
        <v>0</v>
      </c>
      <c r="W137" s="21">
        <v>0</v>
      </c>
      <c r="X137" s="56" t="str">
        <f>IFERROR(VLOOKUP(A137,Output!A:F,6,0),"-")</f>
        <v>-</v>
      </c>
    </row>
    <row r="138" spans="1:24" hidden="1" x14ac:dyDescent="0.25">
      <c r="A138" s="21" t="s">
        <v>781</v>
      </c>
      <c r="B138" s="40" t="s">
        <v>782</v>
      </c>
      <c r="C138" s="21" t="s">
        <v>244</v>
      </c>
      <c r="D138" s="21" t="s">
        <v>73</v>
      </c>
      <c r="E138" s="21" t="s">
        <v>102</v>
      </c>
      <c r="F138" s="55">
        <v>1.3287920190081432E-3</v>
      </c>
      <c r="G138" s="24">
        <v>5.0737740000000002</v>
      </c>
      <c r="H138" s="24">
        <v>4.632117</v>
      </c>
      <c r="I138" s="24">
        <v>7.4027079999999996</v>
      </c>
      <c r="J138" s="24">
        <v>5.6399569999999999</v>
      </c>
      <c r="K138" s="24">
        <v>1.443683</v>
      </c>
      <c r="L138" s="24">
        <v>3.9465370000000002</v>
      </c>
      <c r="M138" s="24">
        <v>1092.9670000000001</v>
      </c>
      <c r="N138" s="24">
        <v>9.7157895036011048</v>
      </c>
      <c r="O138" s="24">
        <v>9.4845360824742269</v>
      </c>
      <c r="P138" s="24">
        <v>8.0952380952380949</v>
      </c>
      <c r="Q138" s="24">
        <v>0.66551239091210357</v>
      </c>
      <c r="R138" s="24">
        <v>3.81</v>
      </c>
      <c r="S138" s="24">
        <v>5.2371971462821101</v>
      </c>
      <c r="T138" s="24">
        <v>0.28322165577476238</v>
      </c>
      <c r="U138" s="24" t="s">
        <v>2845</v>
      </c>
      <c r="V138">
        <v>0</v>
      </c>
      <c r="W138" s="21">
        <v>0</v>
      </c>
      <c r="X138" s="56">
        <f>IFERROR(VLOOKUP(A138,Output!A:F,6,0),"-")</f>
        <v>2.0000000000001154E-3</v>
      </c>
    </row>
    <row r="139" spans="1:24" hidden="1" x14ac:dyDescent="0.25">
      <c r="A139" s="21" t="s">
        <v>2676</v>
      </c>
      <c r="B139" s="40" t="s">
        <v>2677</v>
      </c>
      <c r="C139" s="21" t="s">
        <v>247</v>
      </c>
      <c r="D139" s="21" t="s">
        <v>74</v>
      </c>
      <c r="E139" s="21" t="s">
        <v>91</v>
      </c>
      <c r="F139" s="55">
        <v>1.3219617947021719E-3</v>
      </c>
      <c r="G139" s="24">
        <v>6.9484899999999996</v>
      </c>
      <c r="H139" s="24">
        <v>6.5632859999999997</v>
      </c>
      <c r="I139" s="24">
        <v>6.2114739999999999</v>
      </c>
      <c r="J139" s="24">
        <v>6.4996020000000003</v>
      </c>
      <c r="K139" s="24">
        <v>3.6463610000000002</v>
      </c>
      <c r="L139" s="24">
        <v>10.81964</v>
      </c>
      <c r="M139" s="24">
        <v>27.1754</v>
      </c>
      <c r="N139" s="24">
        <v>1.6860068259385665</v>
      </c>
      <c r="O139" s="24">
        <v>9.1752577319587623</v>
      </c>
      <c r="P139" s="24">
        <v>7.435897435897437</v>
      </c>
      <c r="Q139" s="24">
        <v>8.4750025200865728</v>
      </c>
      <c r="R139" s="24">
        <v>5.97</v>
      </c>
      <c r="S139" s="24">
        <v>7.5381718152258319</v>
      </c>
      <c r="T139" s="24">
        <v>0.18588216027914514</v>
      </c>
      <c r="U139" s="24" t="s">
        <v>4060</v>
      </c>
      <c r="V139">
        <v>0</v>
      </c>
      <c r="W139" s="21">
        <v>0</v>
      </c>
      <c r="X139" s="56">
        <f>IFERROR(VLOOKUP(A139,Output!A:F,6,0),"-")</f>
        <v>2.0000000000000044E-3</v>
      </c>
    </row>
    <row r="140" spans="1:24" hidden="1" x14ac:dyDescent="0.25">
      <c r="A140" s="21" t="s">
        <v>2162</v>
      </c>
      <c r="B140" s="40" t="s">
        <v>2163</v>
      </c>
      <c r="C140" s="21" t="s">
        <v>245</v>
      </c>
      <c r="D140" s="21" t="s">
        <v>73</v>
      </c>
      <c r="E140" s="21" t="s">
        <v>95</v>
      </c>
      <c r="F140" s="55">
        <v>1.3186729446128776E-3</v>
      </c>
      <c r="G140" s="24">
        <v>4.9641630000000001</v>
      </c>
      <c r="H140" s="24">
        <v>5.53179</v>
      </c>
      <c r="I140" s="24">
        <v>5.0681700000000003</v>
      </c>
      <c r="J140" s="24">
        <v>5.1088909999999998</v>
      </c>
      <c r="K140" s="24">
        <v>3.9500790000000001</v>
      </c>
      <c r="L140" s="24">
        <v>8.9513309999999997</v>
      </c>
      <c r="M140" s="24">
        <v>827.27099999999996</v>
      </c>
      <c r="N140" s="24">
        <v>6.5209576933558271</v>
      </c>
      <c r="O140" s="24">
        <v>9.6907216494845354</v>
      </c>
      <c r="P140" s="24">
        <v>5.3177257525083608</v>
      </c>
      <c r="Q140" s="24">
        <v>5.622119815668202</v>
      </c>
      <c r="R140" s="24">
        <v>7.56</v>
      </c>
      <c r="S140" s="24">
        <v>5.5234624183518584</v>
      </c>
      <c r="T140" s="24">
        <v>0.70920856262045351</v>
      </c>
      <c r="U140" s="24" t="s">
        <v>3810</v>
      </c>
      <c r="V140">
        <v>1</v>
      </c>
      <c r="W140" s="21">
        <v>0</v>
      </c>
      <c r="X140" s="56" t="str">
        <f>IFERROR(VLOOKUP(A140,Output!A:F,6,0),"-")</f>
        <v>-</v>
      </c>
    </row>
    <row r="141" spans="1:24" x14ac:dyDescent="0.25">
      <c r="A141" s="21" t="s">
        <v>2692</v>
      </c>
      <c r="B141" s="40" t="s">
        <v>2693</v>
      </c>
      <c r="C141" s="21" t="s">
        <v>248</v>
      </c>
      <c r="D141" s="21" t="s">
        <v>75</v>
      </c>
      <c r="E141" s="21" t="s">
        <v>92</v>
      </c>
      <c r="F141" s="55">
        <v>1.3047710386679796E-3</v>
      </c>
      <c r="G141" s="24">
        <v>3.6410710000000002</v>
      </c>
      <c r="H141" s="24">
        <v>2.5386820000000001</v>
      </c>
      <c r="I141" s="24">
        <v>2.5501239999999998</v>
      </c>
      <c r="J141" s="24">
        <v>2.9830700000000001</v>
      </c>
      <c r="K141" s="24">
        <v>0.4423609</v>
      </c>
      <c r="L141" s="24">
        <v>2.1734520000000002</v>
      </c>
      <c r="M141" s="24">
        <v>2.2469000000000001</v>
      </c>
      <c r="N141" s="24">
        <v>7.5584759588410986</v>
      </c>
      <c r="O141" s="24">
        <v>3.6842105263157894</v>
      </c>
      <c r="P141" s="24">
        <v>8.080000087771424</v>
      </c>
      <c r="Q141" s="24">
        <v>0</v>
      </c>
      <c r="R141" s="24">
        <v>2.87</v>
      </c>
      <c r="S141" s="24">
        <v>3.8680792476907522</v>
      </c>
      <c r="T141" s="24">
        <v>0.36871901530296397</v>
      </c>
      <c r="U141" s="24" t="s">
        <v>4068</v>
      </c>
      <c r="V141">
        <v>0</v>
      </c>
      <c r="W141" s="21">
        <v>1</v>
      </c>
      <c r="X141" s="56" t="str">
        <f>IFERROR(VLOOKUP(A141,Output!A:F,6,0),"-")</f>
        <v>-</v>
      </c>
    </row>
    <row r="142" spans="1:24" hidden="1" x14ac:dyDescent="0.25">
      <c r="A142" s="21" t="s">
        <v>2200</v>
      </c>
      <c r="B142" s="40" t="s">
        <v>2201</v>
      </c>
      <c r="C142" s="21" t="s">
        <v>244</v>
      </c>
      <c r="D142" s="21" t="s">
        <v>73</v>
      </c>
      <c r="E142" s="21" t="s">
        <v>95</v>
      </c>
      <c r="F142" s="55">
        <v>1.3025838376602937E-3</v>
      </c>
      <c r="G142" s="24">
        <v>6.4592609999999997</v>
      </c>
      <c r="H142" s="24">
        <v>4.461246</v>
      </c>
      <c r="I142" s="24">
        <v>4.9528439999999998</v>
      </c>
      <c r="J142" s="24">
        <v>5.6077329999999996</v>
      </c>
      <c r="K142" s="24">
        <v>1.593232</v>
      </c>
      <c r="L142" s="24">
        <v>12.524649999999999</v>
      </c>
      <c r="M142" s="24">
        <v>376.72579999999999</v>
      </c>
      <c r="N142" s="24">
        <v>6.1676637025351067</v>
      </c>
      <c r="O142" s="24">
        <v>10</v>
      </c>
      <c r="P142" s="24">
        <v>5.9531772575250832</v>
      </c>
      <c r="Q142" s="24">
        <v>8.4359722305344409</v>
      </c>
      <c r="R142" s="24">
        <v>3.41</v>
      </c>
      <c r="S142" s="24">
        <v>6.4962819656044068</v>
      </c>
      <c r="T142" s="24">
        <v>0.74786848191742006</v>
      </c>
      <c r="U142" s="24" t="s">
        <v>3733</v>
      </c>
      <c r="V142">
        <v>1</v>
      </c>
      <c r="W142" s="21">
        <v>0</v>
      </c>
      <c r="X142" s="56" t="str">
        <f>IFERROR(VLOOKUP(A142,Output!A:F,6,0),"-")</f>
        <v>-</v>
      </c>
    </row>
    <row r="143" spans="1:24" hidden="1" x14ac:dyDescent="0.25">
      <c r="A143" s="21" t="s">
        <v>2116</v>
      </c>
      <c r="B143" s="40" t="s">
        <v>2117</v>
      </c>
      <c r="C143" s="21" t="s">
        <v>244</v>
      </c>
      <c r="D143" s="21" t="s">
        <v>73</v>
      </c>
      <c r="E143" s="21" t="s">
        <v>99</v>
      </c>
      <c r="F143" s="55">
        <v>1.2994589773429645E-3</v>
      </c>
      <c r="G143" s="24">
        <v>2.8906420000000002</v>
      </c>
      <c r="H143" s="24">
        <v>4.246918</v>
      </c>
      <c r="I143" s="24">
        <v>7.19008</v>
      </c>
      <c r="J143" s="24">
        <v>4.7758799999999999</v>
      </c>
      <c r="K143" s="24">
        <v>0</v>
      </c>
      <c r="L143" s="24">
        <v>2.235131</v>
      </c>
      <c r="M143" s="24">
        <v>11.4292</v>
      </c>
      <c r="N143" s="24">
        <v>5.7655884582153485</v>
      </c>
      <c r="O143" s="24">
        <v>6.4583333333333339</v>
      </c>
      <c r="P143" s="24">
        <v>7.6716417910447756</v>
      </c>
      <c r="Q143" s="24">
        <v>0.97482595020857254</v>
      </c>
      <c r="R143" s="24" t="e">
        <v>#N/A</v>
      </c>
      <c r="S143" s="24">
        <v>4.1224480448161511</v>
      </c>
      <c r="T143" s="24">
        <v>1.7939492171606177</v>
      </c>
      <c r="U143" s="24" t="s">
        <v>3722</v>
      </c>
      <c r="V143">
        <v>0</v>
      </c>
      <c r="W143" s="21">
        <v>0</v>
      </c>
      <c r="X143" s="56" t="str">
        <f>IFERROR(VLOOKUP(A143,Output!A:F,6,0),"-")</f>
        <v>-</v>
      </c>
    </row>
    <row r="144" spans="1:24" hidden="1" x14ac:dyDescent="0.25">
      <c r="A144" s="21" t="s">
        <v>2736</v>
      </c>
      <c r="B144" s="40" t="s">
        <v>2737</v>
      </c>
      <c r="C144" s="21" t="s">
        <v>247</v>
      </c>
      <c r="D144" s="21" t="s">
        <v>74</v>
      </c>
      <c r="E144" s="21" t="s">
        <v>90</v>
      </c>
      <c r="F144" s="55">
        <v>1.2730515936954269E-3</v>
      </c>
      <c r="G144" s="24">
        <v>5.31473</v>
      </c>
      <c r="H144" s="24">
        <v>6.7915070000000002</v>
      </c>
      <c r="I144" s="24">
        <v>6.8583249999999998</v>
      </c>
      <c r="J144" s="24">
        <v>6.2208410000000001</v>
      </c>
      <c r="K144" s="24">
        <v>2.6928269999999999</v>
      </c>
      <c r="L144" s="24">
        <v>4.5083409999999997</v>
      </c>
      <c r="M144" s="24">
        <v>39.612699999999997</v>
      </c>
      <c r="N144" s="24">
        <v>3.6238941556777906</v>
      </c>
      <c r="O144" s="24">
        <v>4.2105263157894735</v>
      </c>
      <c r="P144" s="24">
        <v>8.0851063829787222</v>
      </c>
      <c r="Q144" s="24">
        <v>1.6734438235564335</v>
      </c>
      <c r="R144" s="24">
        <v>4.59</v>
      </c>
      <c r="S144" s="24">
        <v>4.6556048783790622</v>
      </c>
      <c r="T144" s="24">
        <v>0.14331050110020302</v>
      </c>
      <c r="U144" s="24" t="s">
        <v>4097</v>
      </c>
      <c r="V144">
        <v>0</v>
      </c>
      <c r="W144" s="21">
        <v>0</v>
      </c>
      <c r="X144" s="56" t="str">
        <f>IFERROR(VLOOKUP(A144,Output!A:F,6,0),"-")</f>
        <v>-</v>
      </c>
    </row>
    <row r="145" spans="1:24" hidden="1" x14ac:dyDescent="0.25">
      <c r="A145" s="21" t="s">
        <v>2377</v>
      </c>
      <c r="B145" s="40" t="s">
        <v>2378</v>
      </c>
      <c r="C145" s="21" t="s">
        <v>244</v>
      </c>
      <c r="D145" s="21" t="s">
        <v>73</v>
      </c>
      <c r="E145" s="21" t="s">
        <v>98</v>
      </c>
      <c r="F145" s="55">
        <v>1.2670564093325923E-3</v>
      </c>
      <c r="G145" s="24">
        <v>5.9435279999999997</v>
      </c>
      <c r="H145" s="24">
        <v>5.5772490000000001</v>
      </c>
      <c r="I145" s="24">
        <v>7.4822480000000002</v>
      </c>
      <c r="J145" s="24">
        <v>6.4125040000000002</v>
      </c>
      <c r="K145" s="24">
        <v>2.3685670000000001</v>
      </c>
      <c r="L145" s="24">
        <v>6.5133739999999998</v>
      </c>
      <c r="M145" s="24">
        <v>28.017399999999999</v>
      </c>
      <c r="N145" s="24">
        <v>3.0046449332170493</v>
      </c>
      <c r="O145" s="24">
        <v>5.7142857142857135</v>
      </c>
      <c r="P145" s="24">
        <v>6.1886429112171051</v>
      </c>
      <c r="Q145" s="24">
        <v>6.592954667944527</v>
      </c>
      <c r="R145" s="24">
        <v>6.81</v>
      </c>
      <c r="S145" s="24">
        <v>5.6150199293654257</v>
      </c>
      <c r="T145" s="24">
        <v>0.73288280646259907</v>
      </c>
      <c r="U145" s="24" t="s">
        <v>3838</v>
      </c>
      <c r="V145">
        <v>0</v>
      </c>
      <c r="W145" s="21">
        <v>0</v>
      </c>
      <c r="X145" s="56" t="str">
        <f>IFERROR(VLOOKUP(A145,Output!A:F,6,0),"-")</f>
        <v>-</v>
      </c>
    </row>
    <row r="146" spans="1:24" x14ac:dyDescent="0.25">
      <c r="A146" s="21" t="s">
        <v>2588</v>
      </c>
      <c r="B146" s="40" t="s">
        <v>2589</v>
      </c>
      <c r="C146" s="21" t="s">
        <v>248</v>
      </c>
      <c r="D146" s="21" t="s">
        <v>75</v>
      </c>
      <c r="E146" s="21" t="s">
        <v>92</v>
      </c>
      <c r="F146" s="55">
        <v>1.2666398954332444E-3</v>
      </c>
      <c r="G146" s="21">
        <v>4.7957850000000004</v>
      </c>
      <c r="H146" s="21">
        <v>4.6815170000000004</v>
      </c>
      <c r="I146" s="21">
        <v>5.322711</v>
      </c>
      <c r="J146" s="21">
        <v>4.9195820000000001</v>
      </c>
      <c r="K146" s="24">
        <v>1.179357</v>
      </c>
      <c r="L146" s="24">
        <v>7.4385640000000004</v>
      </c>
      <c r="M146" s="24">
        <v>66.113200000000006</v>
      </c>
      <c r="N146" s="24">
        <v>4.1340351257855588</v>
      </c>
      <c r="O146" s="24">
        <v>8.2105263157894743</v>
      </c>
      <c r="P146" s="24">
        <v>7.1200001316571369</v>
      </c>
      <c r="Q146" s="24">
        <v>4.7738291696083408</v>
      </c>
      <c r="R146" s="24">
        <v>3.86</v>
      </c>
      <c r="S146" s="24">
        <v>5.1910394938832081</v>
      </c>
      <c r="T146" s="24">
        <v>0.60664823641356047</v>
      </c>
      <c r="U146" s="24" t="s">
        <v>4007</v>
      </c>
      <c r="V146">
        <v>0</v>
      </c>
      <c r="W146" s="21">
        <v>0</v>
      </c>
      <c r="X146" s="56" t="str">
        <f>IFERROR(VLOOKUP(A146,Output!A:F,6,0),"-")</f>
        <v>-</v>
      </c>
    </row>
    <row r="147" spans="1:24" hidden="1" x14ac:dyDescent="0.25">
      <c r="A147" s="21" t="s">
        <v>2750</v>
      </c>
      <c r="B147" s="40" t="s">
        <v>2751</v>
      </c>
      <c r="C147" s="21" t="s">
        <v>249</v>
      </c>
      <c r="D147" s="21" t="s">
        <v>74</v>
      </c>
      <c r="E147" s="21" t="s">
        <v>96</v>
      </c>
      <c r="F147" s="55">
        <v>1.263676006671219E-3</v>
      </c>
      <c r="G147" s="24">
        <v>7.2727890000000004</v>
      </c>
      <c r="H147" s="24">
        <v>9.0617710000000002</v>
      </c>
      <c r="I147" s="24">
        <v>5.5834010000000003</v>
      </c>
      <c r="J147" s="24">
        <v>7.305987</v>
      </c>
      <c r="K147" s="24">
        <v>0.77011980000000002</v>
      </c>
      <c r="L147" s="24">
        <v>2.2978290000000001</v>
      </c>
      <c r="M147" s="24">
        <v>6.2603999999999997</v>
      </c>
      <c r="N147" s="24">
        <v>10</v>
      </c>
      <c r="O147" s="24">
        <v>9.3939393939393945</v>
      </c>
      <c r="P147" s="24">
        <v>8.5459940652818993</v>
      </c>
      <c r="Q147" s="24">
        <v>0</v>
      </c>
      <c r="R147" s="24">
        <v>5.14</v>
      </c>
      <c r="S147" s="24">
        <v>4.5694564291106365</v>
      </c>
      <c r="T147" s="24">
        <v>0.74099479496846377</v>
      </c>
      <c r="U147" s="24" t="s">
        <v>4103</v>
      </c>
      <c r="V147">
        <v>0</v>
      </c>
      <c r="W147" s="21">
        <v>0</v>
      </c>
      <c r="X147" s="56" t="str">
        <f>IFERROR(VLOOKUP(A147,Output!A:F,6,0),"-")</f>
        <v>-</v>
      </c>
    </row>
    <row r="148" spans="1:24" hidden="1" x14ac:dyDescent="0.25">
      <c r="A148" s="21" t="s">
        <v>2716</v>
      </c>
      <c r="B148" s="40" t="s">
        <v>2717</v>
      </c>
      <c r="C148" s="21" t="s">
        <v>254</v>
      </c>
      <c r="D148" s="21" t="s">
        <v>74</v>
      </c>
      <c r="E148" s="21" t="s">
        <v>96</v>
      </c>
      <c r="F148" s="55">
        <v>1.261719196202061E-3</v>
      </c>
      <c r="G148" s="21">
        <v>6.020492</v>
      </c>
      <c r="H148" s="21">
        <v>6.0639599999999998</v>
      </c>
      <c r="I148" s="21">
        <v>4.5273469999999998</v>
      </c>
      <c r="J148" s="21">
        <v>5.5372659999999998</v>
      </c>
      <c r="K148" s="24">
        <v>2.5571160000000002</v>
      </c>
      <c r="L148" s="24">
        <v>4.3172160000000002</v>
      </c>
      <c r="M148" s="24">
        <v>4.2588999999999997</v>
      </c>
      <c r="N148" s="24">
        <v>4.3260724669259378</v>
      </c>
      <c r="O148" s="24">
        <v>2.7272727272727275</v>
      </c>
      <c r="P148" s="24">
        <v>6.4094955489614245</v>
      </c>
      <c r="Q148" s="24">
        <v>2.5226641970657484</v>
      </c>
      <c r="R148" s="24">
        <v>6.08</v>
      </c>
      <c r="S148" s="24">
        <v>3.8151142989768476</v>
      </c>
      <c r="T148" s="24">
        <v>0.70659866040833819</v>
      </c>
      <c r="U148" s="24" t="s">
        <v>4084</v>
      </c>
      <c r="V148">
        <v>0</v>
      </c>
      <c r="W148" s="21">
        <v>0</v>
      </c>
      <c r="X148" s="56" t="str">
        <f>IFERROR(VLOOKUP(A148,Output!A:F,6,0),"-")</f>
        <v>-</v>
      </c>
    </row>
    <row r="149" spans="1:24" hidden="1" x14ac:dyDescent="0.25">
      <c r="A149" s="21" t="s">
        <v>4383</v>
      </c>
      <c r="B149" s="40" t="s">
        <v>4384</v>
      </c>
      <c r="C149" s="21" t="s">
        <v>245</v>
      </c>
      <c r="D149" s="21" t="s">
        <v>73</v>
      </c>
      <c r="E149" s="21" t="s">
        <v>92</v>
      </c>
      <c r="F149" s="55">
        <v>1.2560580278164813E-3</v>
      </c>
      <c r="G149" s="21">
        <v>3.3785470000000002</v>
      </c>
      <c r="H149" s="21">
        <v>4.6583909999999999</v>
      </c>
      <c r="I149" s="21">
        <v>7.1203469999999998</v>
      </c>
      <c r="J149" s="21">
        <v>4.88504</v>
      </c>
      <c r="K149" s="24">
        <v>0.64864120000000003</v>
      </c>
      <c r="L149" s="24">
        <v>4.1420750000000002</v>
      </c>
      <c r="M149" s="24">
        <v>31.536100000000001</v>
      </c>
      <c r="N149" s="24">
        <v>6.0748096590909109</v>
      </c>
      <c r="O149" s="24">
        <v>2.4242424242424239</v>
      </c>
      <c r="P149" s="24">
        <v>3.7281153708419557</v>
      </c>
      <c r="Q149" s="24">
        <v>3.1604279267321473</v>
      </c>
      <c r="R149" s="24">
        <v>3.21</v>
      </c>
      <c r="S149" s="24">
        <v>4.4698097478069574</v>
      </c>
      <c r="T149" s="24">
        <v>0.69912691661644266</v>
      </c>
      <c r="U149" s="24" t="s">
        <v>4385</v>
      </c>
      <c r="V149">
        <v>0</v>
      </c>
      <c r="W149" s="21">
        <v>0</v>
      </c>
      <c r="X149" s="56" t="str">
        <f>IFERROR(VLOOKUP(A149,Output!A:F,6,0),"-")</f>
        <v>-</v>
      </c>
    </row>
    <row r="150" spans="1:24" hidden="1" x14ac:dyDescent="0.25">
      <c r="A150" s="21" t="s">
        <v>2149</v>
      </c>
      <c r="B150" s="40" t="s">
        <v>2150</v>
      </c>
      <c r="C150" s="21" t="s">
        <v>244</v>
      </c>
      <c r="D150" s="21" t="s">
        <v>73</v>
      </c>
      <c r="E150" s="21" t="s">
        <v>92</v>
      </c>
      <c r="F150" s="55">
        <v>1.2472076104914512E-3</v>
      </c>
      <c r="G150" s="21">
        <v>6.4670160000000001</v>
      </c>
      <c r="H150" s="21">
        <v>4.1516250000000001</v>
      </c>
      <c r="I150" s="21">
        <v>3.6485300000000001</v>
      </c>
      <c r="J150" s="21">
        <v>4.7557229999999997</v>
      </c>
      <c r="K150" s="24">
        <v>0.84362669999999995</v>
      </c>
      <c r="L150" s="24">
        <v>3.763951</v>
      </c>
      <c r="M150" s="24">
        <v>35.425400000000003</v>
      </c>
      <c r="N150" s="24">
        <v>5.6865525568181816</v>
      </c>
      <c r="O150" s="24">
        <v>7.6767676767676765</v>
      </c>
      <c r="P150" s="24">
        <v>7.4356333782260222</v>
      </c>
      <c r="Q150" s="24">
        <v>2.1268914255375626</v>
      </c>
      <c r="R150" s="24">
        <v>5.59</v>
      </c>
      <c r="S150" s="24">
        <v>4.7732631634472877</v>
      </c>
      <c r="T150" s="24">
        <v>1.1387296757592005</v>
      </c>
      <c r="U150" s="24" t="s">
        <v>3775</v>
      </c>
      <c r="V150">
        <v>0</v>
      </c>
      <c r="W150" s="21">
        <v>0</v>
      </c>
      <c r="X150" s="56" t="str">
        <f>IFERROR(VLOOKUP(A150,Output!A:F,6,0),"-")</f>
        <v>-</v>
      </c>
    </row>
    <row r="151" spans="1:24" hidden="1" x14ac:dyDescent="0.25">
      <c r="A151" s="21" t="s">
        <v>1931</v>
      </c>
      <c r="B151" s="40" t="s">
        <v>1932</v>
      </c>
      <c r="C151" s="21" t="s">
        <v>244</v>
      </c>
      <c r="D151" s="21" t="s">
        <v>73</v>
      </c>
      <c r="E151" s="21" t="s">
        <v>101</v>
      </c>
      <c r="F151" s="55">
        <v>1.2469389892085386E-3</v>
      </c>
      <c r="G151" s="21">
        <v>5.1096469999999998</v>
      </c>
      <c r="H151" s="21">
        <v>3.6994379999999998</v>
      </c>
      <c r="I151" s="21">
        <v>7.0204219999999999</v>
      </c>
      <c r="J151" s="21">
        <v>5.3098729999999996</v>
      </c>
      <c r="K151" s="24">
        <v>0</v>
      </c>
      <c r="L151" s="24">
        <v>2.3974980000000001</v>
      </c>
      <c r="M151" s="24">
        <v>38.450099999999999</v>
      </c>
      <c r="N151" s="24">
        <v>8.5726357386209013</v>
      </c>
      <c r="O151" s="24">
        <v>8.6734693877551017</v>
      </c>
      <c r="P151" s="24">
        <v>8.5563041330367824</v>
      </c>
      <c r="Q151" s="24">
        <v>0.57484386356544892</v>
      </c>
      <c r="R151" s="24" t="e">
        <v>#N/A</v>
      </c>
      <c r="S151" s="24">
        <v>4.8290390256257956</v>
      </c>
      <c r="T151" s="24">
        <v>0.72829514246352745</v>
      </c>
      <c r="U151" s="24" t="s">
        <v>3724</v>
      </c>
      <c r="V151">
        <v>0</v>
      </c>
      <c r="W151" s="21">
        <v>0</v>
      </c>
      <c r="X151" s="56" t="str">
        <f>IFERROR(VLOOKUP(A151,Output!A:F,6,0),"-")</f>
        <v>-</v>
      </c>
    </row>
    <row r="152" spans="1:24" hidden="1" x14ac:dyDescent="0.25">
      <c r="A152" s="21" t="s">
        <v>2353</v>
      </c>
      <c r="B152" s="40" t="s">
        <v>2354</v>
      </c>
      <c r="C152" s="21" t="s">
        <v>244</v>
      </c>
      <c r="D152" s="21" t="s">
        <v>73</v>
      </c>
      <c r="E152" s="21" t="s">
        <v>92</v>
      </c>
      <c r="F152" s="55">
        <v>1.2400373337749012E-3</v>
      </c>
      <c r="G152" s="24">
        <v>4.653111</v>
      </c>
      <c r="H152" s="24">
        <v>5.3032159999999999</v>
      </c>
      <c r="I152" s="24">
        <v>4.6994530000000001</v>
      </c>
      <c r="J152" s="24">
        <v>4.8620450000000002</v>
      </c>
      <c r="K152" s="24">
        <v>2.1015239999999999</v>
      </c>
      <c r="L152" s="24">
        <v>3.9731800000000002</v>
      </c>
      <c r="M152" s="24">
        <v>39.506100000000004</v>
      </c>
      <c r="N152" s="24">
        <v>4.0980113636363651</v>
      </c>
      <c r="O152" s="24">
        <v>3.1313131313131315</v>
      </c>
      <c r="P152" s="24">
        <v>9.0113285313642493</v>
      </c>
      <c r="Q152" s="24">
        <v>2.5804799575258826</v>
      </c>
      <c r="R152" s="24">
        <v>7.18</v>
      </c>
      <c r="S152" s="24">
        <v>5.9610001891232152</v>
      </c>
      <c r="T152" s="24">
        <v>0.90438643771803995</v>
      </c>
      <c r="U152" s="24" t="s">
        <v>3856</v>
      </c>
      <c r="V152">
        <v>0</v>
      </c>
      <c r="W152" s="21">
        <v>0</v>
      </c>
      <c r="X152" s="56" t="str">
        <f>IFERROR(VLOOKUP(A152,Output!A:F,6,0),"-")</f>
        <v>-</v>
      </c>
    </row>
    <row r="153" spans="1:24" hidden="1" x14ac:dyDescent="0.25">
      <c r="A153" s="21" t="s">
        <v>2667</v>
      </c>
      <c r="B153" s="40" t="s">
        <v>2668</v>
      </c>
      <c r="C153" s="21" t="s">
        <v>254</v>
      </c>
      <c r="D153" s="21" t="s">
        <v>74</v>
      </c>
      <c r="E153" s="21" t="s">
        <v>93</v>
      </c>
      <c r="F153" s="55">
        <v>1.2378290052505816E-3</v>
      </c>
      <c r="G153" s="24">
        <v>5.8516700000000004</v>
      </c>
      <c r="H153" s="24">
        <v>6.9894100000000003</v>
      </c>
      <c r="I153" s="24">
        <v>6.6997650000000002</v>
      </c>
      <c r="J153" s="24">
        <v>6.5467120000000003</v>
      </c>
      <c r="K153" s="24">
        <v>5.683535</v>
      </c>
      <c r="L153" s="24">
        <v>7.5738519999999996</v>
      </c>
      <c r="M153" s="24">
        <v>0.70515000000000005</v>
      </c>
      <c r="N153" s="24">
        <v>7.1653553662783889</v>
      </c>
      <c r="O153" s="24">
        <v>1.6161616161616164</v>
      </c>
      <c r="P153" s="24">
        <v>5.5526315789473681</v>
      </c>
      <c r="Q153" s="24">
        <v>3.0429988974641677</v>
      </c>
      <c r="R153" s="24">
        <v>6.46</v>
      </c>
      <c r="S153" s="24">
        <v>5.3631074813603012</v>
      </c>
      <c r="T153" s="24">
        <v>0.30470621977600088</v>
      </c>
      <c r="U153" s="24" t="s">
        <v>4053</v>
      </c>
      <c r="V153">
        <v>0</v>
      </c>
      <c r="W153" s="21">
        <v>0</v>
      </c>
      <c r="X153" s="56" t="str">
        <f>IFERROR(VLOOKUP(A153,Output!A:F,6,0),"-")</f>
        <v>-</v>
      </c>
    </row>
    <row r="154" spans="1:24" hidden="1" x14ac:dyDescent="0.25">
      <c r="A154" s="21" t="s">
        <v>2672</v>
      </c>
      <c r="B154" s="40" t="s">
        <v>2673</v>
      </c>
      <c r="C154" s="21" t="s">
        <v>247</v>
      </c>
      <c r="D154" s="21" t="s">
        <v>74</v>
      </c>
      <c r="E154" s="21" t="s">
        <v>94</v>
      </c>
      <c r="F154" s="55">
        <v>1.2322251829815787E-3</v>
      </c>
      <c r="G154" s="21">
        <v>8.3472069999999992</v>
      </c>
      <c r="H154" s="21">
        <v>7.3125020000000003</v>
      </c>
      <c r="I154" s="21">
        <v>6.9368720000000001</v>
      </c>
      <c r="J154" s="21">
        <v>7.6136949999999999</v>
      </c>
      <c r="K154" s="24">
        <v>1.8778330000000001</v>
      </c>
      <c r="L154" s="24">
        <v>3.951803</v>
      </c>
      <c r="M154" s="24">
        <v>5.6430999999999996</v>
      </c>
      <c r="N154" s="24">
        <v>6.20149782428875</v>
      </c>
      <c r="O154" s="24">
        <v>6.8686868686868685</v>
      </c>
      <c r="P154" s="24">
        <v>6.9436201780415434</v>
      </c>
      <c r="Q154" s="24">
        <v>0.93727116650819875</v>
      </c>
      <c r="R154" s="24">
        <v>4.63</v>
      </c>
      <c r="S154" s="24">
        <v>4.8298029915023166</v>
      </c>
      <c r="T154" s="24">
        <v>0.42626166994957149</v>
      </c>
      <c r="U154" s="24" t="s">
        <v>4021</v>
      </c>
      <c r="V154">
        <v>0</v>
      </c>
      <c r="W154" s="21">
        <v>0</v>
      </c>
      <c r="X154" s="56" t="str">
        <f>IFERROR(VLOOKUP(A154,Output!A:F,6,0),"-")</f>
        <v>-</v>
      </c>
    </row>
    <row r="155" spans="1:24" hidden="1" x14ac:dyDescent="0.25">
      <c r="A155" s="21" t="s">
        <v>353</v>
      </c>
      <c r="B155" s="40" t="s">
        <v>354</v>
      </c>
      <c r="C155" s="21" t="s">
        <v>256</v>
      </c>
      <c r="D155" s="21" t="s">
        <v>74</v>
      </c>
      <c r="E155" s="21" t="s">
        <v>85</v>
      </c>
      <c r="F155" s="55">
        <v>1.2136178772607158E-3</v>
      </c>
      <c r="G155" s="24">
        <v>6.1369749999999996</v>
      </c>
      <c r="H155" s="24">
        <v>6.1403309999999998</v>
      </c>
      <c r="I155" s="24">
        <v>5.9666490000000003</v>
      </c>
      <c r="J155" s="24">
        <v>6.0785359999999997</v>
      </c>
      <c r="K155" s="24">
        <v>4.7313999999999998</v>
      </c>
      <c r="L155" s="24">
        <v>18.496569999999998</v>
      </c>
      <c r="M155" s="24">
        <v>7.5701000000000001</v>
      </c>
      <c r="N155" s="24">
        <v>7.2760163673987126</v>
      </c>
      <c r="O155" s="24">
        <v>6.7676767676767682</v>
      </c>
      <c r="P155" s="24">
        <v>2.736842105263158</v>
      </c>
      <c r="Q155" s="24">
        <v>8.2524807056229328</v>
      </c>
      <c r="R155" s="24">
        <v>4.29</v>
      </c>
      <c r="S155" s="24">
        <v>5.6957558605607961</v>
      </c>
      <c r="T155" s="24">
        <v>0.3957223167624016</v>
      </c>
      <c r="U155" s="24" t="s">
        <v>4020</v>
      </c>
      <c r="V155">
        <v>0</v>
      </c>
      <c r="W155" s="21">
        <v>0</v>
      </c>
      <c r="X155" s="56" t="str">
        <f>IFERROR(VLOOKUP(A155,Output!A:F,6,0),"-")</f>
        <v>-</v>
      </c>
    </row>
    <row r="156" spans="1:24" hidden="1" x14ac:dyDescent="0.25">
      <c r="A156" s="21" t="s">
        <v>1967</v>
      </c>
      <c r="B156" s="40" t="s">
        <v>1968</v>
      </c>
      <c r="C156" s="21" t="s">
        <v>244</v>
      </c>
      <c r="D156" s="21" t="s">
        <v>73</v>
      </c>
      <c r="E156" s="21" t="s">
        <v>95</v>
      </c>
      <c r="F156" s="55">
        <v>1.2116228360471732E-3</v>
      </c>
      <c r="G156" s="24">
        <v>5.9845420000000003</v>
      </c>
      <c r="H156" s="24">
        <v>6.3416600000000001</v>
      </c>
      <c r="I156" s="24">
        <v>4.356865</v>
      </c>
      <c r="J156" s="24">
        <v>5.5676629999999996</v>
      </c>
      <c r="K156" s="24">
        <v>2.5545620000000002</v>
      </c>
      <c r="L156" s="24">
        <v>10.72429</v>
      </c>
      <c r="M156" s="24">
        <v>325.57810000000001</v>
      </c>
      <c r="N156" s="24">
        <v>6.0029942513177081</v>
      </c>
      <c r="O156" s="24">
        <v>9.1752577319587623</v>
      </c>
      <c r="P156" s="24">
        <v>4.816053511705686</v>
      </c>
      <c r="Q156" s="24">
        <v>7.2779148961637414</v>
      </c>
      <c r="R156" s="24">
        <v>4.82</v>
      </c>
      <c r="S156" s="24">
        <v>5.755041723169624</v>
      </c>
      <c r="T156" s="24">
        <v>0.64660052350403618</v>
      </c>
      <c r="U156" s="24" t="s">
        <v>3616</v>
      </c>
      <c r="V156">
        <v>1</v>
      </c>
      <c r="W156" s="21">
        <v>0</v>
      </c>
      <c r="X156" s="56" t="str">
        <f>IFERROR(VLOOKUP(A156,Output!A:F,6,0),"-")</f>
        <v>-</v>
      </c>
    </row>
    <row r="157" spans="1:24" x14ac:dyDescent="0.25">
      <c r="A157" s="21" t="s">
        <v>2637</v>
      </c>
      <c r="B157" s="40" t="s">
        <v>2638</v>
      </c>
      <c r="C157" s="21" t="s">
        <v>248</v>
      </c>
      <c r="D157" s="21" t="s">
        <v>75</v>
      </c>
      <c r="E157" s="21" t="s">
        <v>92</v>
      </c>
      <c r="F157" s="55">
        <v>1.2108843790372182E-3</v>
      </c>
      <c r="G157" s="21">
        <v>3.6505580000000002</v>
      </c>
      <c r="H157" s="21">
        <v>5.4938459999999996</v>
      </c>
      <c r="I157" s="21">
        <v>5.8754960000000001</v>
      </c>
      <c r="J157" s="21">
        <v>4.8710259999999996</v>
      </c>
      <c r="K157" s="24">
        <v>2.0781390000000002</v>
      </c>
      <c r="L157" s="24">
        <v>13.2151</v>
      </c>
      <c r="M157" s="24">
        <v>244.19489999999999</v>
      </c>
      <c r="N157" s="24">
        <v>5.4480951850822805</v>
      </c>
      <c r="O157" s="24">
        <v>10</v>
      </c>
      <c r="P157" s="24">
        <v>4.3771431141877439</v>
      </c>
      <c r="Q157" s="24">
        <v>6.2576363562846549</v>
      </c>
      <c r="R157" s="24">
        <v>5.58</v>
      </c>
      <c r="S157" s="24">
        <v>5.7216380144606633</v>
      </c>
      <c r="T157" s="24">
        <v>0.45421978266530966</v>
      </c>
      <c r="U157" s="24" t="s">
        <v>4038</v>
      </c>
      <c r="V157">
        <v>1</v>
      </c>
      <c r="W157" s="21">
        <v>0</v>
      </c>
      <c r="X157" s="56" t="str">
        <f>IFERROR(VLOOKUP(A157,Output!A:F,6,0),"-")</f>
        <v>-</v>
      </c>
    </row>
    <row r="158" spans="1:24" x14ac:dyDescent="0.25">
      <c r="A158" s="21" t="s">
        <v>2762</v>
      </c>
      <c r="B158" s="40" t="s">
        <v>2763</v>
      </c>
      <c r="C158" s="21" t="s">
        <v>253</v>
      </c>
      <c r="D158" s="21" t="s">
        <v>75</v>
      </c>
      <c r="E158" s="21" t="s">
        <v>93</v>
      </c>
      <c r="F158" s="55">
        <v>1.2088018095404794E-3</v>
      </c>
      <c r="G158" s="24">
        <v>5.8554709999999996</v>
      </c>
      <c r="H158" s="24">
        <v>5.7306150000000002</v>
      </c>
      <c r="I158" s="24">
        <v>5.5163970000000004</v>
      </c>
      <c r="J158" s="24">
        <v>5.6930949999999996</v>
      </c>
      <c r="K158" s="24">
        <v>3.0992320000000002</v>
      </c>
      <c r="L158" s="24">
        <v>5.9507580000000004</v>
      </c>
      <c r="M158" s="24">
        <v>0.71857000000000004</v>
      </c>
      <c r="N158" s="24">
        <v>5.125598587915797</v>
      </c>
      <c r="O158" s="24">
        <v>0</v>
      </c>
      <c r="P158" s="24">
        <v>5.6353591160220997</v>
      </c>
      <c r="Q158" s="24">
        <v>4.106723084156088</v>
      </c>
      <c r="R158" s="24">
        <v>5.04</v>
      </c>
      <c r="S158" s="24">
        <v>3.8519315282250739</v>
      </c>
      <c r="T158" s="24">
        <v>0.5175032324078146</v>
      </c>
      <c r="U158" s="24" t="s">
        <v>4083</v>
      </c>
      <c r="V158">
        <v>0</v>
      </c>
      <c r="W158" s="21">
        <v>0</v>
      </c>
      <c r="X158" s="56" t="str">
        <f>IFERROR(VLOOKUP(A158,Output!A:F,6,0),"-")</f>
        <v>-</v>
      </c>
    </row>
    <row r="159" spans="1:24" hidden="1" x14ac:dyDescent="0.25">
      <c r="A159" s="21" t="s">
        <v>2190</v>
      </c>
      <c r="B159" s="40" t="s">
        <v>2191</v>
      </c>
      <c r="C159" s="21" t="s">
        <v>244</v>
      </c>
      <c r="D159" s="21" t="s">
        <v>73</v>
      </c>
      <c r="E159" s="21" t="s">
        <v>89</v>
      </c>
      <c r="F159" s="55">
        <v>1.2026677872111959E-3</v>
      </c>
      <c r="G159" s="21">
        <v>4.7850599999999996</v>
      </c>
      <c r="H159" s="21">
        <v>3.5801569999999998</v>
      </c>
      <c r="I159" s="21">
        <v>5.3572040000000003</v>
      </c>
      <c r="J159" s="21">
        <v>4.5635940000000002</v>
      </c>
      <c r="K159" s="24">
        <v>1.313939</v>
      </c>
      <c r="L159" s="24">
        <v>4.7304830000000004</v>
      </c>
      <c r="M159" s="24">
        <v>9.0290999999999997</v>
      </c>
      <c r="N159" s="24">
        <v>5.503471354166666</v>
      </c>
      <c r="O159" s="24">
        <v>8.7628865979381434</v>
      </c>
      <c r="P159" s="24">
        <v>6.3730569948186542</v>
      </c>
      <c r="Q159" s="24">
        <v>1.575069987077631</v>
      </c>
      <c r="R159" s="24">
        <v>3.94</v>
      </c>
      <c r="S159" s="24">
        <v>4.3906928019944118</v>
      </c>
      <c r="T159" s="24">
        <v>0.78367733347741708</v>
      </c>
      <c r="U159" s="24" t="s">
        <v>3767</v>
      </c>
      <c r="V159">
        <v>0</v>
      </c>
      <c r="W159" s="21">
        <v>1</v>
      </c>
      <c r="X159" s="56" t="str">
        <f>IFERROR(VLOOKUP(A159,Output!A:F,6,0),"-")</f>
        <v>-</v>
      </c>
    </row>
    <row r="160" spans="1:24" hidden="1" x14ac:dyDescent="0.25">
      <c r="A160" s="21" t="s">
        <v>2706</v>
      </c>
      <c r="B160" s="40" t="s">
        <v>2707</v>
      </c>
      <c r="C160" s="21" t="s">
        <v>257</v>
      </c>
      <c r="D160" s="21" t="s">
        <v>74</v>
      </c>
      <c r="E160" s="21" t="s">
        <v>100</v>
      </c>
      <c r="F160" s="55">
        <v>1.2018397897736034E-3</v>
      </c>
      <c r="G160" s="21">
        <v>7.0242209999999998</v>
      </c>
      <c r="H160" s="21">
        <v>7.0608659999999999</v>
      </c>
      <c r="I160" s="21">
        <v>5.5409059999999997</v>
      </c>
      <c r="J160" s="21">
        <v>6.5419980000000004</v>
      </c>
      <c r="K160" s="24">
        <v>3.9115709999999999</v>
      </c>
      <c r="L160" s="24">
        <v>8.1844570000000001</v>
      </c>
      <c r="M160" s="24">
        <v>43.461799999999997</v>
      </c>
      <c r="N160" s="24">
        <v>10</v>
      </c>
      <c r="O160" s="24">
        <v>7.7777777777777777</v>
      </c>
      <c r="P160" s="24">
        <v>4.7601476014760147</v>
      </c>
      <c r="Q160" s="24">
        <v>7.0040836524430725</v>
      </c>
      <c r="R160" s="24">
        <v>4.4800000000000004</v>
      </c>
      <c r="S160" s="24">
        <v>6.5741869641909512</v>
      </c>
      <c r="T160" s="24">
        <v>6.4322373793158583E-2</v>
      </c>
      <c r="U160" s="24" t="s">
        <v>4076</v>
      </c>
      <c r="V160">
        <v>0</v>
      </c>
      <c r="W160" s="21">
        <v>0</v>
      </c>
      <c r="X160" s="56">
        <f>IFERROR(VLOOKUP(A160,Output!A:F,6,0),"-")</f>
        <v>2.0000000000000846E-3</v>
      </c>
    </row>
    <row r="161" spans="1:24" hidden="1" x14ac:dyDescent="0.25">
      <c r="A161" s="21" t="s">
        <v>2288</v>
      </c>
      <c r="B161" s="40" t="s">
        <v>2289</v>
      </c>
      <c r="C161" s="21" t="s">
        <v>244</v>
      </c>
      <c r="D161" s="21" t="s">
        <v>73</v>
      </c>
      <c r="E161" s="21" t="s">
        <v>89</v>
      </c>
      <c r="F161" s="55">
        <v>1.1952077616950996E-3</v>
      </c>
      <c r="G161" s="24">
        <v>3.5812810000000002</v>
      </c>
      <c r="H161" s="24">
        <v>5.4763070000000003</v>
      </c>
      <c r="I161" s="24">
        <v>4.038367</v>
      </c>
      <c r="J161" s="24">
        <v>4.4045209999999999</v>
      </c>
      <c r="K161" s="24">
        <v>4.532095</v>
      </c>
      <c r="L161" s="24">
        <v>4.6477409999999999</v>
      </c>
      <c r="M161" s="24">
        <v>5.7683999999999997</v>
      </c>
      <c r="N161" s="24">
        <v>4.7048606770833326</v>
      </c>
      <c r="O161" s="24">
        <v>5.3608247422680408</v>
      </c>
      <c r="P161" s="24">
        <v>7.2538860103626952</v>
      </c>
      <c r="Q161" s="24">
        <v>1.3885296153216111</v>
      </c>
      <c r="R161" s="24">
        <v>8.4000009999999996</v>
      </c>
      <c r="S161" s="24">
        <v>4.8088842347957144</v>
      </c>
      <c r="T161" s="24">
        <v>0.41099712580726683</v>
      </c>
      <c r="U161" s="24" t="s">
        <v>3820</v>
      </c>
      <c r="V161">
        <v>0</v>
      </c>
      <c r="W161" s="21">
        <v>1</v>
      </c>
      <c r="X161" s="56" t="str">
        <f>IFERROR(VLOOKUP(A161,Output!A:F,6,0),"-")</f>
        <v>-</v>
      </c>
    </row>
    <row r="162" spans="1:24" hidden="1" x14ac:dyDescent="0.25">
      <c r="A162" s="21" t="s">
        <v>2375</v>
      </c>
      <c r="B162" s="40" t="s">
        <v>2376</v>
      </c>
      <c r="C162" s="21" t="s">
        <v>244</v>
      </c>
      <c r="D162" s="21" t="s">
        <v>73</v>
      </c>
      <c r="E162" s="21" t="s">
        <v>102</v>
      </c>
      <c r="F162" s="55">
        <v>1.194474335046248E-3</v>
      </c>
      <c r="G162" s="24">
        <v>2.329323</v>
      </c>
      <c r="H162" s="24">
        <v>3.0321380000000002</v>
      </c>
      <c r="I162" s="24">
        <v>5.1736719999999998</v>
      </c>
      <c r="J162" s="24">
        <v>3.0387559999999998</v>
      </c>
      <c r="K162" s="24">
        <v>4.0200230000000001</v>
      </c>
      <c r="L162" s="24">
        <v>5.8810330000000004</v>
      </c>
      <c r="M162" s="24">
        <v>4066.252</v>
      </c>
      <c r="N162" s="24">
        <v>4.7789473916897478</v>
      </c>
      <c r="O162" s="24">
        <v>5.0515463917525771</v>
      </c>
      <c r="P162" s="24">
        <v>3.8888888888888893</v>
      </c>
      <c r="Q162" s="24">
        <v>2.0808631292116209</v>
      </c>
      <c r="R162" s="24">
        <v>5.09</v>
      </c>
      <c r="S162" s="24">
        <v>4.2021119568180083</v>
      </c>
      <c r="T162" s="24">
        <v>0.41394628592967492</v>
      </c>
      <c r="U162" s="24" t="s">
        <v>3871</v>
      </c>
      <c r="V162">
        <v>1</v>
      </c>
      <c r="W162" s="21">
        <v>1</v>
      </c>
      <c r="X162" s="56" t="str">
        <f>IFERROR(VLOOKUP(A162,Output!A:F,6,0),"-")</f>
        <v>-</v>
      </c>
    </row>
    <row r="163" spans="1:24" hidden="1" x14ac:dyDescent="0.25">
      <c r="A163" s="21" t="s">
        <v>2292</v>
      </c>
      <c r="B163" s="40" t="s">
        <v>2293</v>
      </c>
      <c r="C163" s="21" t="s">
        <v>244</v>
      </c>
      <c r="D163" s="21" t="s">
        <v>73</v>
      </c>
      <c r="E163" s="21" t="s">
        <v>95</v>
      </c>
      <c r="F163" s="55">
        <v>1.191697575717263E-3</v>
      </c>
      <c r="G163" s="24">
        <v>4.4239499999999996</v>
      </c>
      <c r="H163" s="24">
        <v>5.8507709999999999</v>
      </c>
      <c r="I163" s="24">
        <v>4.8452710000000003</v>
      </c>
      <c r="J163" s="24">
        <v>4.8357109999999999</v>
      </c>
      <c r="K163" s="24">
        <v>3.5819740000000002</v>
      </c>
      <c r="L163" s="24">
        <v>9.6901469999999996</v>
      </c>
      <c r="M163" s="53">
        <v>308.37529999999998</v>
      </c>
      <c r="N163" s="24">
        <v>8.0808372406684299</v>
      </c>
      <c r="O163" s="24">
        <v>2.0618556701030926</v>
      </c>
      <c r="P163" s="24">
        <v>7.926421404682273</v>
      </c>
      <c r="Q163" s="24">
        <v>6.6977880184331786</v>
      </c>
      <c r="R163" s="24">
        <v>6.02</v>
      </c>
      <c r="S163" s="24">
        <v>6.9991735786743403</v>
      </c>
      <c r="T163" s="24">
        <v>0.63773065033841714</v>
      </c>
      <c r="U163" s="24" t="s">
        <v>3823</v>
      </c>
      <c r="V163">
        <v>1</v>
      </c>
      <c r="W163" s="21">
        <v>0</v>
      </c>
      <c r="X163" s="56" t="str">
        <f>IFERROR(VLOOKUP(A163,Output!A:F,6,0),"-")</f>
        <v>-</v>
      </c>
    </row>
    <row r="164" spans="1:24" hidden="1" x14ac:dyDescent="0.25">
      <c r="A164" s="21" t="s">
        <v>2317</v>
      </c>
      <c r="B164" s="40" t="s">
        <v>4382</v>
      </c>
      <c r="C164" s="21" t="s">
        <v>244</v>
      </c>
      <c r="D164" s="21" t="s">
        <v>73</v>
      </c>
      <c r="E164" s="21" t="s">
        <v>95</v>
      </c>
      <c r="F164" s="55">
        <v>1.191167375656982E-3</v>
      </c>
      <c r="G164" s="24">
        <v>4.8545699999999998</v>
      </c>
      <c r="H164" s="24">
        <v>3.5293800000000002</v>
      </c>
      <c r="I164" s="24">
        <v>5.524286</v>
      </c>
      <c r="J164" s="24">
        <v>4.7904470000000003</v>
      </c>
      <c r="K164" s="24">
        <v>1.9940690000000001</v>
      </c>
      <c r="L164" s="24">
        <v>6.9704980000000001</v>
      </c>
      <c r="M164" s="24">
        <v>80.507199999999997</v>
      </c>
      <c r="N164" s="24">
        <v>9.7514976196707988</v>
      </c>
      <c r="O164" s="24">
        <v>4.7422680412371134</v>
      </c>
      <c r="P164" s="24">
        <v>5.2173913043478262</v>
      </c>
      <c r="Q164" s="24">
        <v>3.5284373690825293</v>
      </c>
      <c r="R164" s="24">
        <v>4.3099999999999996</v>
      </c>
      <c r="S164" s="24">
        <v>4.7591819204754051</v>
      </c>
      <c r="T164" s="24">
        <v>0.7753105681995407</v>
      </c>
      <c r="U164" s="24" t="s">
        <v>3836</v>
      </c>
      <c r="V164">
        <v>1</v>
      </c>
      <c r="W164" s="21">
        <v>0</v>
      </c>
      <c r="X164" s="56" t="str">
        <f>IFERROR(VLOOKUP(A164,Output!A:F,6,0),"-")</f>
        <v>-</v>
      </c>
    </row>
    <row r="165" spans="1:24" hidden="1" x14ac:dyDescent="0.25">
      <c r="A165" s="21" t="s">
        <v>2047</v>
      </c>
      <c r="B165" s="40" t="s">
        <v>2048</v>
      </c>
      <c r="C165" s="21" t="s">
        <v>244</v>
      </c>
      <c r="D165" s="21" t="s">
        <v>73</v>
      </c>
      <c r="E165" s="21" t="s">
        <v>100</v>
      </c>
      <c r="F165" s="55">
        <v>1.1907729953464883E-3</v>
      </c>
      <c r="G165" s="24">
        <v>5.4158390000000001</v>
      </c>
      <c r="H165" s="24">
        <v>3.509789</v>
      </c>
      <c r="I165" s="24">
        <v>4.9000589999999997</v>
      </c>
      <c r="J165" s="24">
        <v>4.6892899999999997</v>
      </c>
      <c r="K165" s="24">
        <v>0</v>
      </c>
      <c r="L165" s="24">
        <v>3.2599140000000002</v>
      </c>
      <c r="M165" s="24">
        <v>7.5488</v>
      </c>
      <c r="N165" s="24">
        <v>9.9913068680784196</v>
      </c>
      <c r="O165" s="24">
        <v>10</v>
      </c>
      <c r="P165" s="24">
        <v>10</v>
      </c>
      <c r="Q165" s="24">
        <v>0</v>
      </c>
      <c r="R165" s="24" t="e">
        <v>#N/A</v>
      </c>
      <c r="S165" s="24">
        <v>4.1140806455963777</v>
      </c>
      <c r="T165" s="24">
        <v>2.2025353968631429</v>
      </c>
      <c r="U165" s="24" t="s">
        <v>3655</v>
      </c>
      <c r="V165">
        <v>0</v>
      </c>
      <c r="W165" s="21">
        <v>0</v>
      </c>
      <c r="X165" s="56" t="str">
        <f>IFERROR(VLOOKUP(A165,Output!A:F,6,0),"-")</f>
        <v>-</v>
      </c>
    </row>
    <row r="166" spans="1:24" hidden="1" x14ac:dyDescent="0.25">
      <c r="A166" s="21" t="s">
        <v>2415</v>
      </c>
      <c r="B166" s="40" t="s">
        <v>4387</v>
      </c>
      <c r="C166" s="21" t="s">
        <v>244</v>
      </c>
      <c r="D166" s="21" t="s">
        <v>73</v>
      </c>
      <c r="E166" s="21" t="s">
        <v>90</v>
      </c>
      <c r="F166" s="55">
        <v>1.1901099937530822E-3</v>
      </c>
      <c r="G166" s="24">
        <v>6.9020840000000003</v>
      </c>
      <c r="H166" s="24">
        <v>5.8317170000000003</v>
      </c>
      <c r="I166" s="24">
        <v>5.6633849999999999</v>
      </c>
      <c r="J166" s="24">
        <v>6.2093639999999999</v>
      </c>
      <c r="K166" s="24">
        <v>9.3076430000000006</v>
      </c>
      <c r="L166" s="24">
        <v>12.876760000000001</v>
      </c>
      <c r="M166" s="24">
        <v>13.634600000000001</v>
      </c>
      <c r="N166" s="24">
        <v>4.2393655371304968</v>
      </c>
      <c r="O166" s="24">
        <v>4.2268041237113403</v>
      </c>
      <c r="P166" s="24">
        <v>5.0484099585062232</v>
      </c>
      <c r="Q166" s="24">
        <v>7.8191363850873046</v>
      </c>
      <c r="R166" s="24">
        <v>8.2200000000000006</v>
      </c>
      <c r="S166" s="24">
        <v>6.9736363087099136</v>
      </c>
      <c r="T166" s="24">
        <v>0.6307976786432371</v>
      </c>
      <c r="U166" s="24" t="s">
        <v>3896</v>
      </c>
      <c r="V166">
        <v>1</v>
      </c>
      <c r="W166" s="21">
        <v>0</v>
      </c>
      <c r="X166" s="56" t="str">
        <f>IFERROR(VLOOKUP(A166,Output!A:F,6,0),"-")</f>
        <v>-</v>
      </c>
    </row>
    <row r="167" spans="1:24" hidden="1" x14ac:dyDescent="0.25">
      <c r="A167" s="21" t="s">
        <v>2700</v>
      </c>
      <c r="B167" s="40" t="s">
        <v>2701</v>
      </c>
      <c r="C167" s="21" t="s">
        <v>256</v>
      </c>
      <c r="D167" s="21" t="s">
        <v>74</v>
      </c>
      <c r="E167" s="21" t="s">
        <v>102</v>
      </c>
      <c r="F167" s="55">
        <v>1.1780753578497049E-3</v>
      </c>
      <c r="G167" s="24">
        <v>4.2030909999999997</v>
      </c>
      <c r="H167" s="24">
        <v>4.8526230000000004</v>
      </c>
      <c r="I167" s="24">
        <v>5.4173369999999998</v>
      </c>
      <c r="J167" s="24">
        <v>4.5758470000000004</v>
      </c>
      <c r="K167" s="24">
        <v>4.9879619999999996</v>
      </c>
      <c r="L167" s="24">
        <v>6.634703</v>
      </c>
      <c r="M167" s="24">
        <v>392.21080000000001</v>
      </c>
      <c r="N167" s="24">
        <v>8.3202282590291219</v>
      </c>
      <c r="O167" s="24">
        <v>7.4725274725274726</v>
      </c>
      <c r="P167" s="24">
        <v>5.2134146341463428</v>
      </c>
      <c r="Q167" s="24">
        <v>4.0912281521962806</v>
      </c>
      <c r="R167" s="24">
        <v>5.24</v>
      </c>
      <c r="S167" s="24">
        <v>6.1303476528302232</v>
      </c>
      <c r="T167" s="24">
        <v>0.14732413970181912</v>
      </c>
      <c r="U167" s="24" t="s">
        <v>4073</v>
      </c>
      <c r="V167">
        <v>0</v>
      </c>
      <c r="W167" s="21">
        <v>1</v>
      </c>
      <c r="X167" s="56" t="str">
        <f>IFERROR(VLOOKUP(A167,Output!A:F,6,0),"-")</f>
        <v>-</v>
      </c>
    </row>
    <row r="168" spans="1:24" hidden="1" x14ac:dyDescent="0.25">
      <c r="A168" s="21" t="s">
        <v>2669</v>
      </c>
      <c r="B168" s="40" t="s">
        <v>4438</v>
      </c>
      <c r="C168" s="21" t="s">
        <v>249</v>
      </c>
      <c r="D168" s="21" t="s">
        <v>74</v>
      </c>
      <c r="E168" s="21" t="s">
        <v>92</v>
      </c>
      <c r="F168" s="55">
        <v>1.1773439433452946E-3</v>
      </c>
      <c r="G168" s="24">
        <v>6.4228579999999997</v>
      </c>
      <c r="H168" s="24">
        <v>6.9741679999999997</v>
      </c>
      <c r="I168" s="24">
        <v>4.0964070000000001</v>
      </c>
      <c r="J168" s="24">
        <v>5.8903160000000003</v>
      </c>
      <c r="K168" s="24">
        <v>1.4157189999999999</v>
      </c>
      <c r="L168" s="24">
        <v>4.3546300000000002</v>
      </c>
      <c r="M168" s="24">
        <v>27.114899999999999</v>
      </c>
      <c r="N168" s="24">
        <v>5.3382711111111121</v>
      </c>
      <c r="O168" s="24">
        <v>9.591836734693878</v>
      </c>
      <c r="P168" s="24">
        <v>5.6164383561643838</v>
      </c>
      <c r="Q168" s="24">
        <v>2.1787807298117299</v>
      </c>
      <c r="R168" s="24">
        <v>4.28</v>
      </c>
      <c r="S168" s="24">
        <v>4.7461487978294263</v>
      </c>
      <c r="T168" s="24">
        <v>0.61167732107824246</v>
      </c>
      <c r="U168" s="24" t="s">
        <v>4057</v>
      </c>
      <c r="V168">
        <v>0</v>
      </c>
      <c r="W168" s="21">
        <v>0</v>
      </c>
      <c r="X168" s="56" t="str">
        <f>IFERROR(VLOOKUP(A168,Output!A:F,6,0),"-")</f>
        <v>-</v>
      </c>
    </row>
    <row r="169" spans="1:24" x14ac:dyDescent="0.25">
      <c r="A169" s="21" t="s">
        <v>355</v>
      </c>
      <c r="B169" s="40" t="s">
        <v>356</v>
      </c>
      <c r="C169" s="21" t="s">
        <v>248</v>
      </c>
      <c r="D169" s="21" t="s">
        <v>75</v>
      </c>
      <c r="E169" s="21" t="s">
        <v>85</v>
      </c>
      <c r="F169" s="55">
        <v>1.1718598436705489E-3</v>
      </c>
      <c r="G169" s="24">
        <v>6.0105500000000003</v>
      </c>
      <c r="H169" s="24">
        <v>6.3641230000000002</v>
      </c>
      <c r="I169" s="24">
        <v>4.1277020000000002</v>
      </c>
      <c r="J169" s="24">
        <v>5.4753040000000004</v>
      </c>
      <c r="K169" s="24">
        <v>3.143513</v>
      </c>
      <c r="L169" s="24">
        <v>11.823980000000001</v>
      </c>
      <c r="M169" s="24">
        <v>8.0275999999999996</v>
      </c>
      <c r="N169" s="24">
        <v>8.2284684295288599</v>
      </c>
      <c r="O169" s="24">
        <v>9.0322580645161281</v>
      </c>
      <c r="P169" s="24">
        <v>3.4530386740331487</v>
      </c>
      <c r="Q169" s="24">
        <v>8.8152327221438647</v>
      </c>
      <c r="R169" s="24">
        <v>5.69</v>
      </c>
      <c r="S169" s="24">
        <v>5.9488754658807874</v>
      </c>
      <c r="T169" s="24">
        <v>0.25252642534236502</v>
      </c>
      <c r="U169" s="24" t="s">
        <v>2872</v>
      </c>
      <c r="V169">
        <v>0</v>
      </c>
      <c r="W169" s="21">
        <v>0</v>
      </c>
      <c r="X169" s="56" t="str">
        <f>IFERROR(VLOOKUP(A169,Output!A:F,6,0),"-")</f>
        <v>-</v>
      </c>
    </row>
    <row r="170" spans="1:24" hidden="1" x14ac:dyDescent="0.25">
      <c r="A170" s="21" t="s">
        <v>2176</v>
      </c>
      <c r="B170" s="40" t="s">
        <v>2177</v>
      </c>
      <c r="C170" s="21" t="s">
        <v>244</v>
      </c>
      <c r="D170" s="21" t="s">
        <v>73</v>
      </c>
      <c r="E170" s="21" t="s">
        <v>92</v>
      </c>
      <c r="F170" s="55">
        <v>1.1671685289056726E-3</v>
      </c>
      <c r="G170" s="24">
        <v>4.1244589999999999</v>
      </c>
      <c r="H170" s="24">
        <v>4.427492</v>
      </c>
      <c r="I170" s="24">
        <v>6.3002260000000003</v>
      </c>
      <c r="J170" s="24">
        <v>4.868099</v>
      </c>
      <c r="K170" s="24">
        <v>1.2564379999999999</v>
      </c>
      <c r="L170" s="24">
        <v>5.8400059999999998</v>
      </c>
      <c r="M170" s="24">
        <v>15.9109</v>
      </c>
      <c r="N170" s="24">
        <v>3.9559659090909092</v>
      </c>
      <c r="O170" s="24">
        <v>4.9494949494949498</v>
      </c>
      <c r="P170" s="24">
        <v>6.0144181420621292</v>
      </c>
      <c r="Q170" s="24">
        <v>5.2751080435359707</v>
      </c>
      <c r="R170" s="24">
        <v>5.0199999999999996</v>
      </c>
      <c r="S170" s="24">
        <v>6.0634749872066864</v>
      </c>
      <c r="T170" s="24">
        <v>0.87178216190937141</v>
      </c>
      <c r="U170" s="24" t="s">
        <v>3760</v>
      </c>
      <c r="V170">
        <v>0</v>
      </c>
      <c r="W170" s="21">
        <v>0</v>
      </c>
      <c r="X170" s="56" t="str">
        <f>IFERROR(VLOOKUP(A170,Output!A:F,6,0),"-")</f>
        <v>-</v>
      </c>
    </row>
    <row r="171" spans="1:24" hidden="1" x14ac:dyDescent="0.25">
      <c r="A171" s="21" t="s">
        <v>2381</v>
      </c>
      <c r="B171" s="40" t="s">
        <v>2382</v>
      </c>
      <c r="C171" s="21" t="s">
        <v>244</v>
      </c>
      <c r="D171" s="21" t="s">
        <v>73</v>
      </c>
      <c r="E171" s="21" t="s">
        <v>91</v>
      </c>
      <c r="F171" s="55">
        <v>1.1662016935016311E-3</v>
      </c>
      <c r="G171" s="24">
        <v>2.5742750000000001</v>
      </c>
      <c r="H171" s="24">
        <v>6.0347030000000004</v>
      </c>
      <c r="I171" s="24">
        <v>3.5179719999999999</v>
      </c>
      <c r="J171" s="24">
        <v>4.3359249999999996</v>
      </c>
      <c r="K171" s="24">
        <v>1.0533980000000001</v>
      </c>
      <c r="L171" s="24">
        <v>3.0084050000000002</v>
      </c>
      <c r="M171" s="24">
        <v>47.473599999999998</v>
      </c>
      <c r="N171" s="24">
        <v>6.8610785891087396</v>
      </c>
      <c r="O171" s="24">
        <v>3.1313131313131315</v>
      </c>
      <c r="P171" s="24">
        <v>8.9708939751729986</v>
      </c>
      <c r="Q171" s="24">
        <v>2.1069300089252296</v>
      </c>
      <c r="R171" s="24">
        <v>7.4000009999999996</v>
      </c>
      <c r="S171" s="24">
        <v>5.3210965648088813</v>
      </c>
      <c r="T171" s="24">
        <v>1.091363466558219</v>
      </c>
      <c r="U171" s="24" t="s">
        <v>3910</v>
      </c>
      <c r="V171">
        <v>0</v>
      </c>
      <c r="W171" s="21">
        <v>1</v>
      </c>
      <c r="X171" s="56" t="str">
        <f>IFERROR(VLOOKUP(A171,Output!A:F,6,0),"-")</f>
        <v>-</v>
      </c>
    </row>
    <row r="172" spans="1:24" hidden="1" x14ac:dyDescent="0.25">
      <c r="A172" s="21" t="s">
        <v>2334</v>
      </c>
      <c r="B172" s="40" t="s">
        <v>2335</v>
      </c>
      <c r="C172" s="21" t="s">
        <v>245</v>
      </c>
      <c r="D172" s="21" t="s">
        <v>73</v>
      </c>
      <c r="E172" s="21" t="s">
        <v>95</v>
      </c>
      <c r="F172" s="55">
        <v>1.1641945794214406E-3</v>
      </c>
      <c r="G172" s="24">
        <v>7.5940789999999998</v>
      </c>
      <c r="H172" s="24">
        <v>6.2547329999999999</v>
      </c>
      <c r="I172" s="24">
        <v>7.8392410000000003</v>
      </c>
      <c r="J172" s="24">
        <v>7.3997580000000003</v>
      </c>
      <c r="K172" s="24">
        <v>7.5484450000000001</v>
      </c>
      <c r="L172" s="24">
        <v>5.864509</v>
      </c>
      <c r="M172" s="24">
        <v>411.61700000000002</v>
      </c>
      <c r="N172" s="24">
        <v>4.7275452258954944</v>
      </c>
      <c r="O172" s="24">
        <v>4.1237113402061851</v>
      </c>
      <c r="P172" s="24">
        <v>0.6354515050167221</v>
      </c>
      <c r="Q172" s="24">
        <v>3.8913160572146737</v>
      </c>
      <c r="R172" s="24">
        <v>8.2200000000000006</v>
      </c>
      <c r="S172" s="24">
        <v>4.3770851283076153</v>
      </c>
      <c r="T172" s="24">
        <v>0.57549870991866969</v>
      </c>
      <c r="U172" s="24" t="s">
        <v>3845</v>
      </c>
      <c r="V172">
        <v>1</v>
      </c>
      <c r="W172" s="21">
        <v>0</v>
      </c>
      <c r="X172" s="56" t="str">
        <f>IFERROR(VLOOKUP(A172,Output!A:F,6,0),"-")</f>
        <v>-</v>
      </c>
    </row>
    <row r="173" spans="1:24" hidden="1" x14ac:dyDescent="0.25">
      <c r="A173" s="21" t="s">
        <v>2294</v>
      </c>
      <c r="B173" s="40" t="s">
        <v>2295</v>
      </c>
      <c r="C173" s="21" t="s">
        <v>244</v>
      </c>
      <c r="D173" s="21" t="s">
        <v>73</v>
      </c>
      <c r="E173" s="21" t="s">
        <v>97</v>
      </c>
      <c r="F173" s="55">
        <v>1.1597024669562526E-3</v>
      </c>
      <c r="G173" s="24">
        <v>7.2722889999999998</v>
      </c>
      <c r="H173" s="24">
        <v>5.1642609999999998</v>
      </c>
      <c r="I173" s="24">
        <v>7.1530110000000002</v>
      </c>
      <c r="J173" s="24">
        <v>6.8029719999999996</v>
      </c>
      <c r="K173" s="24">
        <v>2.1608719999999999</v>
      </c>
      <c r="L173" s="24">
        <v>1.4833639999999999</v>
      </c>
      <c r="M173" s="24">
        <v>428.42079999999999</v>
      </c>
      <c r="N173" s="24">
        <v>8.3938368987067804</v>
      </c>
      <c r="O173" s="24">
        <v>9.2783505154639165</v>
      </c>
      <c r="P173" s="24">
        <v>4.954545454545455</v>
      </c>
      <c r="Q173" s="24">
        <v>1.1080671442618344</v>
      </c>
      <c r="R173" s="24">
        <v>5</v>
      </c>
      <c r="S173" s="24">
        <v>3.8444952896697586</v>
      </c>
      <c r="T173" s="24">
        <v>1.2023504478065983</v>
      </c>
      <c r="U173" s="24" t="s">
        <v>3824</v>
      </c>
      <c r="V173">
        <v>0</v>
      </c>
      <c r="W173" s="21">
        <v>0</v>
      </c>
      <c r="X173" s="56" t="str">
        <f>IFERROR(VLOOKUP(A173,Output!A:F,6,0),"-")</f>
        <v>-</v>
      </c>
    </row>
    <row r="174" spans="1:24" x14ac:dyDescent="0.25">
      <c r="A174" s="21" t="s">
        <v>2631</v>
      </c>
      <c r="B174" s="40" t="s">
        <v>2632</v>
      </c>
      <c r="C174" s="21" t="s">
        <v>248</v>
      </c>
      <c r="D174" s="21" t="s">
        <v>75</v>
      </c>
      <c r="E174" s="21" t="s">
        <v>87</v>
      </c>
      <c r="F174" s="55">
        <v>1.1554538239684612E-3</v>
      </c>
      <c r="G174" s="24">
        <v>5.0282660000000003</v>
      </c>
      <c r="H174" s="24">
        <v>7.4291660000000004</v>
      </c>
      <c r="I174" s="24">
        <v>3.3801779999999999</v>
      </c>
      <c r="J174" s="24">
        <v>5.2792029999999999</v>
      </c>
      <c r="K174" s="24">
        <v>1.5740890000000001</v>
      </c>
      <c r="L174" s="24">
        <v>5.6838360000000003</v>
      </c>
      <c r="M174" s="24">
        <v>534.03639999999996</v>
      </c>
      <c r="N174" s="24">
        <v>5.245901639344261</v>
      </c>
      <c r="O174" s="24">
        <v>5.0666666666666673</v>
      </c>
      <c r="P174" s="24">
        <v>9.5121951219512191</v>
      </c>
      <c r="Q174" s="24">
        <v>2.0681614416561174</v>
      </c>
      <c r="R174" s="24">
        <v>4.68</v>
      </c>
      <c r="S174" s="24">
        <v>4.8374729753347543</v>
      </c>
      <c r="T174" s="24">
        <v>0.45708169488949379</v>
      </c>
      <c r="U174" s="24" t="s">
        <v>4031</v>
      </c>
      <c r="V174">
        <v>0</v>
      </c>
      <c r="W174" s="21">
        <v>0</v>
      </c>
      <c r="X174" s="56" t="str">
        <f>IFERROR(VLOOKUP(A174,Output!A:F,6,0),"-")</f>
        <v>-</v>
      </c>
    </row>
    <row r="175" spans="1:24" hidden="1" x14ac:dyDescent="0.25">
      <c r="A175" s="21" t="s">
        <v>2345</v>
      </c>
      <c r="B175" s="40" t="s">
        <v>2346</v>
      </c>
      <c r="C175" s="21" t="s">
        <v>244</v>
      </c>
      <c r="D175" s="21" t="s">
        <v>73</v>
      </c>
      <c r="E175" s="21" t="s">
        <v>102</v>
      </c>
      <c r="F175" s="55">
        <v>1.1454323385785981E-3</v>
      </c>
      <c r="G175" s="24">
        <v>3.2659549999999999</v>
      </c>
      <c r="H175" s="24">
        <v>4.6659139999999999</v>
      </c>
      <c r="I175" s="24">
        <v>7.2301419999999998</v>
      </c>
      <c r="J175" s="24">
        <v>4.3387840000000004</v>
      </c>
      <c r="K175" s="24">
        <v>4.3345820000000002</v>
      </c>
      <c r="L175" s="24">
        <v>6.3133030000000003</v>
      </c>
      <c r="M175" s="24">
        <v>3594.8180000000002</v>
      </c>
      <c r="N175" s="24">
        <v>6.294736705817189</v>
      </c>
      <c r="O175" s="24">
        <v>6.0824742268041234</v>
      </c>
      <c r="P175" s="24">
        <v>1.5873015873015872</v>
      </c>
      <c r="Q175" s="24">
        <v>4.3745627278418091</v>
      </c>
      <c r="R175" s="24">
        <v>6.4</v>
      </c>
      <c r="S175" s="24">
        <v>4.7284484482663371</v>
      </c>
      <c r="T175" s="24">
        <v>0.41801107484807853</v>
      </c>
      <c r="U175" s="24" t="s">
        <v>3852</v>
      </c>
      <c r="V175">
        <v>1</v>
      </c>
      <c r="W175" s="21">
        <v>1</v>
      </c>
      <c r="X175" s="56" t="str">
        <f>IFERROR(VLOOKUP(A175,Output!A:F,6,0),"-")</f>
        <v>-</v>
      </c>
    </row>
    <row r="176" spans="1:24" hidden="1" x14ac:dyDescent="0.25">
      <c r="A176" s="21" t="s">
        <v>2657</v>
      </c>
      <c r="B176" s="40" t="s">
        <v>2658</v>
      </c>
      <c r="C176" s="21" t="s">
        <v>254</v>
      </c>
      <c r="D176" s="21" t="s">
        <v>74</v>
      </c>
      <c r="E176" s="21" t="s">
        <v>92</v>
      </c>
      <c r="F176" s="55">
        <v>1.1441898393860994E-3</v>
      </c>
      <c r="G176" s="24">
        <v>7.1162210000000004</v>
      </c>
      <c r="H176" s="24">
        <v>6.8650169999999999</v>
      </c>
      <c r="I176" s="24">
        <v>7.008013</v>
      </c>
      <c r="J176" s="24">
        <v>7.0083979999999997</v>
      </c>
      <c r="K176" s="24">
        <v>2.1645029999999998</v>
      </c>
      <c r="L176" s="24">
        <v>4.973935</v>
      </c>
      <c r="M176" s="24">
        <v>22.0381</v>
      </c>
      <c r="N176" s="24">
        <v>7.8000014814814822</v>
      </c>
      <c r="O176" s="24">
        <v>7.4489795918367339</v>
      </c>
      <c r="P176" s="24">
        <v>6.6849315068493151</v>
      </c>
      <c r="Q176" s="24">
        <v>3.6829261699692144</v>
      </c>
      <c r="R176" s="24">
        <v>5.77</v>
      </c>
      <c r="S176" s="24">
        <v>5.7949830464149059</v>
      </c>
      <c r="T176" s="24">
        <v>0.59096174414072689</v>
      </c>
      <c r="U176" s="24" t="s">
        <v>4049</v>
      </c>
      <c r="V176">
        <v>0</v>
      </c>
      <c r="W176" s="21">
        <v>0</v>
      </c>
      <c r="X176" s="56">
        <f>IFERROR(VLOOKUP(A176,Output!A:F,6,0),"-")</f>
        <v>6.4850741977608853E-3</v>
      </c>
    </row>
    <row r="177" spans="1:24" hidden="1" x14ac:dyDescent="0.25">
      <c r="A177" s="21" t="s">
        <v>361</v>
      </c>
      <c r="B177" s="40" t="s">
        <v>362</v>
      </c>
      <c r="C177" s="21" t="s">
        <v>249</v>
      </c>
      <c r="D177" s="21" t="s">
        <v>74</v>
      </c>
      <c r="E177" s="21" t="s">
        <v>85</v>
      </c>
      <c r="F177" s="55">
        <v>1.1319338675941798E-3</v>
      </c>
      <c r="G177" s="21">
        <v>7.040724</v>
      </c>
      <c r="H177" s="21">
        <v>6.3409800000000001</v>
      </c>
      <c r="I177" s="21">
        <v>6.1525379999999998</v>
      </c>
      <c r="J177" s="21">
        <v>6.4849480000000002</v>
      </c>
      <c r="K177" s="24">
        <v>6.9387319999999999</v>
      </c>
      <c r="L177" s="24">
        <v>14.13095</v>
      </c>
      <c r="M177" s="24">
        <v>25.318300000000001</v>
      </c>
      <c r="N177" s="24">
        <v>9.0444778926986942</v>
      </c>
      <c r="O177" s="24">
        <v>0.30303030303030298</v>
      </c>
      <c r="P177" s="24">
        <v>1.2894736842105265</v>
      </c>
      <c r="Q177" s="24">
        <v>7.3346196251378171</v>
      </c>
      <c r="R177" s="24">
        <v>5.95</v>
      </c>
      <c r="S177" s="24">
        <v>5.2688911734792594</v>
      </c>
      <c r="T177" s="24">
        <v>0.38835924286225265</v>
      </c>
      <c r="U177" s="24" t="s">
        <v>4080</v>
      </c>
      <c r="V177">
        <v>0</v>
      </c>
      <c r="W177" s="21">
        <v>0</v>
      </c>
      <c r="X177" s="56" t="str">
        <f>IFERROR(VLOOKUP(A177,Output!A:F,6,0),"-")</f>
        <v>-</v>
      </c>
    </row>
    <row r="178" spans="1:24" hidden="1" x14ac:dyDescent="0.25">
      <c r="A178" s="21" t="s">
        <v>1478</v>
      </c>
      <c r="B178" s="40" t="s">
        <v>1479</v>
      </c>
      <c r="C178" s="21" t="s">
        <v>244</v>
      </c>
      <c r="D178" s="21" t="s">
        <v>73</v>
      </c>
      <c r="E178" s="21" t="s">
        <v>99</v>
      </c>
      <c r="F178" s="55">
        <v>1.1228842479694616E-3</v>
      </c>
      <c r="G178" s="21">
        <v>1.832552</v>
      </c>
      <c r="H178" s="21">
        <v>3.31555</v>
      </c>
      <c r="I178" s="21">
        <v>3.006332</v>
      </c>
      <c r="J178" s="21">
        <v>2.7181449999999998</v>
      </c>
      <c r="K178" s="24">
        <v>0</v>
      </c>
      <c r="L178" s="24">
        <v>1.355694</v>
      </c>
      <c r="M178" s="24">
        <v>12.4618</v>
      </c>
      <c r="N178" s="24">
        <v>6.9435680302737186</v>
      </c>
      <c r="O178" s="24">
        <v>9.0625</v>
      </c>
      <c r="P178" s="24">
        <v>5.0149253731343286</v>
      </c>
      <c r="Q178" s="24">
        <v>5.288547917712421E-2</v>
      </c>
      <c r="R178" s="24" t="e">
        <v>#N/A</v>
      </c>
      <c r="S178" s="24">
        <v>3.0936844847599985</v>
      </c>
      <c r="T178" s="24">
        <v>2.0187705125759652</v>
      </c>
      <c r="U178" s="24" t="s">
        <v>3316</v>
      </c>
      <c r="V178">
        <v>0</v>
      </c>
      <c r="W178" s="21">
        <v>1</v>
      </c>
      <c r="X178" s="56" t="str">
        <f>IFERROR(VLOOKUP(A178,Output!A:F,6,0),"-")</f>
        <v>-</v>
      </c>
    </row>
    <row r="179" spans="1:24" hidden="1" x14ac:dyDescent="0.25">
      <c r="A179" s="21" t="s">
        <v>2332</v>
      </c>
      <c r="B179" s="40" t="s">
        <v>2333</v>
      </c>
      <c r="C179" s="21" t="s">
        <v>245</v>
      </c>
      <c r="D179" s="21" t="s">
        <v>73</v>
      </c>
      <c r="E179" s="21" t="s">
        <v>92</v>
      </c>
      <c r="F179" s="55">
        <v>1.1220492080263246E-3</v>
      </c>
      <c r="G179" s="24">
        <v>3.9577770000000001</v>
      </c>
      <c r="H179" s="24">
        <v>5.2257540000000002</v>
      </c>
      <c r="I179" s="24">
        <v>6.7570569999999996</v>
      </c>
      <c r="J179" s="24">
        <v>5.1779539999999997</v>
      </c>
      <c r="K179" s="24">
        <v>1.949865</v>
      </c>
      <c r="L179" s="24">
        <v>4.8230490000000001</v>
      </c>
      <c r="M179" s="24">
        <v>17.416</v>
      </c>
      <c r="N179" s="24">
        <v>4.6472528409090916</v>
      </c>
      <c r="O179" s="24">
        <v>2.9292929292929291</v>
      </c>
      <c r="P179" s="24">
        <v>5.9835221586672631</v>
      </c>
      <c r="Q179" s="24">
        <v>3.8739930979559323</v>
      </c>
      <c r="R179" s="24">
        <v>7.22</v>
      </c>
      <c r="S179" s="24">
        <v>5.9163679263397047</v>
      </c>
      <c r="T179" s="24">
        <v>0.81560409651764298</v>
      </c>
      <c r="U179" s="24" t="s">
        <v>3844</v>
      </c>
      <c r="V179">
        <v>0</v>
      </c>
      <c r="W179" s="21">
        <v>0</v>
      </c>
      <c r="X179" s="56">
        <f>IFERROR(VLOOKUP(A179,Output!A:F,6,0),"-")</f>
        <v>8.3749476268688231E-3</v>
      </c>
    </row>
    <row r="180" spans="1:24" hidden="1" x14ac:dyDescent="0.25">
      <c r="A180" s="21" t="s">
        <v>159</v>
      </c>
      <c r="B180" s="40" t="s">
        <v>226</v>
      </c>
      <c r="C180" s="21" t="s">
        <v>247</v>
      </c>
      <c r="D180" s="21" t="s">
        <v>74</v>
      </c>
      <c r="E180" s="21" t="s">
        <v>86</v>
      </c>
      <c r="F180" s="55">
        <v>1.1192895519250906E-3</v>
      </c>
      <c r="G180" s="24">
        <v>3.2804509999999998</v>
      </c>
      <c r="H180" s="24">
        <v>5.8625379999999998</v>
      </c>
      <c r="I180" s="24">
        <v>3.2053889999999998</v>
      </c>
      <c r="J180" s="24">
        <v>4.1161260000000004</v>
      </c>
      <c r="K180" s="24">
        <v>6.9915760000000002</v>
      </c>
      <c r="L180" s="24">
        <v>10.529400000000001</v>
      </c>
      <c r="M180" s="24">
        <v>2952.614</v>
      </c>
      <c r="N180" s="24">
        <v>7.8872120730738686</v>
      </c>
      <c r="O180" s="24">
        <v>6.1855670103092777</v>
      </c>
      <c r="P180" s="24">
        <v>8.1639344262295079</v>
      </c>
      <c r="Q180" s="24">
        <v>6.5858165205313917</v>
      </c>
      <c r="R180" s="24">
        <v>8.25</v>
      </c>
      <c r="S180" s="24">
        <v>8.3419634277544503</v>
      </c>
      <c r="T180" s="24">
        <v>0.78534188806945071</v>
      </c>
      <c r="U180" s="24" t="s">
        <v>2881</v>
      </c>
      <c r="V180">
        <v>0</v>
      </c>
      <c r="W180" s="21">
        <v>1</v>
      </c>
      <c r="X180" s="56" t="str">
        <f>IFERROR(VLOOKUP(A180,Output!A:F,6,0),"-")</f>
        <v>-</v>
      </c>
    </row>
    <row r="181" spans="1:24" hidden="1" x14ac:dyDescent="0.25">
      <c r="A181" s="21" t="s">
        <v>2019</v>
      </c>
      <c r="B181" s="40" t="s">
        <v>2020</v>
      </c>
      <c r="C181" s="21" t="s">
        <v>244</v>
      </c>
      <c r="D181" s="21" t="s">
        <v>73</v>
      </c>
      <c r="E181" s="21" t="s">
        <v>91</v>
      </c>
      <c r="F181" s="55">
        <v>1.1187502972148239E-3</v>
      </c>
      <c r="G181" s="24">
        <v>4.2844059999999997</v>
      </c>
      <c r="H181" s="24">
        <v>4.8188690000000003</v>
      </c>
      <c r="I181" s="24">
        <v>4.9588179999999999</v>
      </c>
      <c r="J181" s="24">
        <v>4.7679559999999999</v>
      </c>
      <c r="K181" s="24">
        <v>0.448156</v>
      </c>
      <c r="L181" s="24">
        <v>7.8258770000000002</v>
      </c>
      <c r="M181" s="24">
        <v>1.2266999999999999</v>
      </c>
      <c r="N181" s="24">
        <v>8.9545767844268198</v>
      </c>
      <c r="O181" s="24">
        <v>9.5876288659793811</v>
      </c>
      <c r="P181" s="24">
        <v>5.2143850622406642</v>
      </c>
      <c r="Q181" s="24">
        <v>5.4816540821142041</v>
      </c>
      <c r="R181" s="24">
        <v>3.09</v>
      </c>
      <c r="S181" s="24">
        <v>6.2477424361429996</v>
      </c>
      <c r="T181" s="24">
        <v>0.30641023985069266</v>
      </c>
      <c r="U181" s="24" t="s">
        <v>3672</v>
      </c>
      <c r="V181">
        <v>0</v>
      </c>
      <c r="W181" s="21">
        <v>0</v>
      </c>
      <c r="X181" s="56" t="str">
        <f>IFERROR(VLOOKUP(A181,Output!A:F,6,0),"-")</f>
        <v>-</v>
      </c>
    </row>
    <row r="182" spans="1:24" hidden="1" x14ac:dyDescent="0.25">
      <c r="A182" s="21" t="s">
        <v>146</v>
      </c>
      <c r="B182" s="40" t="s">
        <v>214</v>
      </c>
      <c r="C182" s="21" t="s">
        <v>256</v>
      </c>
      <c r="D182" s="21" t="s">
        <v>74</v>
      </c>
      <c r="E182" s="21" t="s">
        <v>85</v>
      </c>
      <c r="F182" s="55">
        <v>1.1014911282696276E-3</v>
      </c>
      <c r="G182" s="24">
        <v>6.8453059999999999</v>
      </c>
      <c r="H182" s="24">
        <v>7.2532019999999999</v>
      </c>
      <c r="I182" s="24">
        <v>4.8604469999999997</v>
      </c>
      <c r="J182" s="24">
        <v>6.2933690000000002</v>
      </c>
      <c r="K182" s="24">
        <v>5.8077389999999998</v>
      </c>
      <c r="L182" s="24">
        <v>17.004909999999999</v>
      </c>
      <c r="M182" s="24">
        <v>16.8569</v>
      </c>
      <c r="N182" s="24">
        <v>8.0602262660333057</v>
      </c>
      <c r="O182" s="24">
        <v>9.5959595959595951</v>
      </c>
      <c r="P182" s="24">
        <v>5.3421052631578938</v>
      </c>
      <c r="Q182" s="24">
        <v>6.6896361631753027</v>
      </c>
      <c r="R182" s="24">
        <v>5.4</v>
      </c>
      <c r="S182" s="24">
        <v>6.0014492425838082</v>
      </c>
      <c r="T182" s="24">
        <v>0.35031278319476933</v>
      </c>
      <c r="U182" s="24" t="s">
        <v>2861</v>
      </c>
      <c r="V182">
        <v>0</v>
      </c>
      <c r="W182" s="21">
        <v>0</v>
      </c>
      <c r="X182" s="56" t="str">
        <f>IFERROR(VLOOKUP(A182,Output!A:F,6,0),"-")</f>
        <v>-</v>
      </c>
    </row>
    <row r="183" spans="1:24" hidden="1" x14ac:dyDescent="0.25">
      <c r="A183" s="21" t="s">
        <v>1851</v>
      </c>
      <c r="B183" s="40" t="s">
        <v>1852</v>
      </c>
      <c r="C183" s="21" t="s">
        <v>244</v>
      </c>
      <c r="D183" s="21" t="s">
        <v>73</v>
      </c>
      <c r="E183" s="21" t="s">
        <v>92</v>
      </c>
      <c r="F183" s="55">
        <v>1.0993149940563686E-3</v>
      </c>
      <c r="G183" s="21">
        <v>4.3261580000000004</v>
      </c>
      <c r="H183" s="21">
        <v>4.1271230000000001</v>
      </c>
      <c r="I183" s="21">
        <v>3.9555020000000001</v>
      </c>
      <c r="J183" s="21">
        <v>4.1552509999999998</v>
      </c>
      <c r="K183" s="24">
        <v>1.0918859999999999</v>
      </c>
      <c r="L183" s="24">
        <v>6.3560629999999998</v>
      </c>
      <c r="M183" s="24">
        <v>6.2317</v>
      </c>
      <c r="N183" s="24">
        <v>5.0094687500000017</v>
      </c>
      <c r="O183" s="24">
        <v>9.5959595959595951</v>
      </c>
      <c r="P183" s="24">
        <v>6.168898059036465</v>
      </c>
      <c r="Q183" s="24">
        <v>4.9243429784974779</v>
      </c>
      <c r="R183" s="24">
        <v>6.12</v>
      </c>
      <c r="S183" s="24">
        <v>5.864832802362276</v>
      </c>
      <c r="T183" s="24">
        <v>1.5005061251103706</v>
      </c>
      <c r="U183" s="24" t="s">
        <v>3572</v>
      </c>
      <c r="V183">
        <v>0</v>
      </c>
      <c r="W183" s="21">
        <v>1</v>
      </c>
      <c r="X183" s="56" t="str">
        <f>IFERROR(VLOOKUP(A183,Output!A:F,6,0),"-")</f>
        <v>-</v>
      </c>
    </row>
    <row r="184" spans="1:24" hidden="1" x14ac:dyDescent="0.25">
      <c r="A184" s="21" t="s">
        <v>367</v>
      </c>
      <c r="B184" s="40" t="s">
        <v>368</v>
      </c>
      <c r="C184" s="21" t="s">
        <v>250</v>
      </c>
      <c r="D184" s="21" t="s">
        <v>76</v>
      </c>
      <c r="E184" s="21" t="s">
        <v>85</v>
      </c>
      <c r="F184" s="55">
        <v>1.0974889729758945E-3</v>
      </c>
      <c r="G184" s="24">
        <v>4.5497079999999999</v>
      </c>
      <c r="H184" s="24">
        <v>7.1481139999999996</v>
      </c>
      <c r="I184" s="24">
        <v>5.5479409999999998</v>
      </c>
      <c r="J184" s="24">
        <v>5.8085319999999996</v>
      </c>
      <c r="K184" s="24">
        <v>4.8153100000000002</v>
      </c>
      <c r="L184" s="24">
        <v>7.6054579999999996</v>
      </c>
      <c r="M184" s="24">
        <v>8.0967000000000002</v>
      </c>
      <c r="N184" s="24">
        <v>2.9494192139737994</v>
      </c>
      <c r="O184" s="24">
        <v>6.904761904761906</v>
      </c>
      <c r="P184" s="24">
        <v>5.086206557669418</v>
      </c>
      <c r="Q184" s="24">
        <v>5.2016773162939289</v>
      </c>
      <c r="R184" s="24">
        <v>5.18</v>
      </c>
      <c r="S184" s="24">
        <v>5.434029579366805</v>
      </c>
      <c r="T184" s="24">
        <v>0.39156236766222285</v>
      </c>
      <c r="U184" s="24" t="s">
        <v>4058</v>
      </c>
      <c r="V184">
        <v>0</v>
      </c>
      <c r="W184" s="21">
        <v>0</v>
      </c>
      <c r="X184" s="56" t="str">
        <f>IFERROR(VLOOKUP(A184,Output!A:F,6,0),"-")</f>
        <v>-</v>
      </c>
    </row>
    <row r="185" spans="1:24" hidden="1" x14ac:dyDescent="0.25">
      <c r="A185" s="21" t="s">
        <v>2284</v>
      </c>
      <c r="B185" s="40" t="s">
        <v>2285</v>
      </c>
      <c r="C185" s="21" t="s">
        <v>244</v>
      </c>
      <c r="D185" s="21" t="s">
        <v>73</v>
      </c>
      <c r="E185" s="21" t="s">
        <v>91</v>
      </c>
      <c r="F185" s="55">
        <v>1.0937675118317218E-3</v>
      </c>
      <c r="G185" s="24">
        <v>7.2531639999999999</v>
      </c>
      <c r="H185" s="24">
        <v>6.3208599999999997</v>
      </c>
      <c r="I185" s="24">
        <v>7.9024539999999996</v>
      </c>
      <c r="J185" s="24">
        <v>7.139958</v>
      </c>
      <c r="K185" s="24">
        <v>1.553285</v>
      </c>
      <c r="L185" s="24">
        <v>4.9268470000000004</v>
      </c>
      <c r="M185" s="24">
        <v>35.579700000000003</v>
      </c>
      <c r="N185" s="24">
        <v>5.6280132603432129</v>
      </c>
      <c r="O185" s="24">
        <v>4.7474747474747474</v>
      </c>
      <c r="P185" s="24">
        <v>2.2349272672144398</v>
      </c>
      <c r="Q185" s="24">
        <v>5.4132957130106805</v>
      </c>
      <c r="R185" s="24">
        <v>6.86</v>
      </c>
      <c r="S185" s="24">
        <v>5.1935696766392905</v>
      </c>
      <c r="T185" s="24">
        <v>0.66308827228987266</v>
      </c>
      <c r="U185" s="24" t="s">
        <v>3848</v>
      </c>
      <c r="V185">
        <v>0</v>
      </c>
      <c r="W185" s="21">
        <v>0</v>
      </c>
      <c r="X185" s="56" t="str">
        <f>IFERROR(VLOOKUP(A185,Output!A:F,6,0),"-")</f>
        <v>-</v>
      </c>
    </row>
    <row r="186" spans="1:24" hidden="1" x14ac:dyDescent="0.25">
      <c r="A186" s="21" t="s">
        <v>1988</v>
      </c>
      <c r="B186" s="40" t="s">
        <v>1989</v>
      </c>
      <c r="C186" s="21" t="s">
        <v>244</v>
      </c>
      <c r="D186" s="21" t="s">
        <v>73</v>
      </c>
      <c r="E186" s="21" t="s">
        <v>101</v>
      </c>
      <c r="F186" s="55">
        <v>1.0875308701359322E-3</v>
      </c>
      <c r="G186" s="24">
        <v>6.1791559999999999</v>
      </c>
      <c r="H186" s="24">
        <v>5.6795359999999997</v>
      </c>
      <c r="I186" s="24">
        <v>2.6533190000000002</v>
      </c>
      <c r="J186" s="24">
        <v>4.5689729999999997</v>
      </c>
      <c r="K186" s="24">
        <v>0</v>
      </c>
      <c r="L186" s="24">
        <v>3.2678660000000002</v>
      </c>
      <c r="M186" s="24">
        <v>4.8495999999999997</v>
      </c>
      <c r="N186" s="24">
        <v>6.4759305702585435</v>
      </c>
      <c r="O186" s="24">
        <v>6.3265306122448974</v>
      </c>
      <c r="P186" s="24">
        <v>8.0365736209300245</v>
      </c>
      <c r="Q186" s="24">
        <v>2.0750285652530178</v>
      </c>
      <c r="R186" s="24" t="e">
        <v>#N/A</v>
      </c>
      <c r="S186" s="24">
        <v>4.2936998974973815</v>
      </c>
      <c r="T186" s="24">
        <v>1.9373915096503518</v>
      </c>
      <c r="U186" s="24" t="s">
        <v>3654</v>
      </c>
      <c r="V186">
        <v>0</v>
      </c>
      <c r="W186" s="21">
        <v>1</v>
      </c>
      <c r="X186" s="56" t="str">
        <f>IFERROR(VLOOKUP(A186,Output!A:F,6,0),"-")</f>
        <v>-</v>
      </c>
    </row>
    <row r="187" spans="1:24" hidden="1" x14ac:dyDescent="0.25">
      <c r="A187" s="21" t="s">
        <v>124</v>
      </c>
      <c r="B187" s="40" t="s">
        <v>192</v>
      </c>
      <c r="C187" s="21" t="s">
        <v>245</v>
      </c>
      <c r="D187" s="21" t="s">
        <v>73</v>
      </c>
      <c r="E187" s="21" t="s">
        <v>85</v>
      </c>
      <c r="F187" s="55">
        <v>1.0768252556360295E-3</v>
      </c>
      <c r="G187" s="24">
        <v>5.934596</v>
      </c>
      <c r="H187" s="24">
        <v>4.7408000000000001</v>
      </c>
      <c r="I187" s="24">
        <v>7.2937099999999999</v>
      </c>
      <c r="J187" s="24">
        <v>5.9924569999999999</v>
      </c>
      <c r="K187" s="24">
        <v>4.6748139999999996</v>
      </c>
      <c r="L187" s="24">
        <v>10.878869999999999</v>
      </c>
      <c r="M187" s="24">
        <v>5.1550000000000002</v>
      </c>
      <c r="N187" s="24">
        <v>3.811848958333333</v>
      </c>
      <c r="O187" s="24">
        <v>0</v>
      </c>
      <c r="P187" s="24">
        <v>3.5233160621761668</v>
      </c>
      <c r="Q187" s="24">
        <v>5.2016065201197845</v>
      </c>
      <c r="R187" s="24">
        <v>7.55</v>
      </c>
      <c r="S187" s="24">
        <v>5.5414720039890391</v>
      </c>
      <c r="T187" s="24">
        <v>0.87922715401079987</v>
      </c>
      <c r="U187" s="24" t="s">
        <v>3779</v>
      </c>
      <c r="V187">
        <v>0</v>
      </c>
      <c r="W187" s="21">
        <v>0</v>
      </c>
      <c r="X187" s="56" t="str">
        <f>IFERROR(VLOOKUP(A187,Output!A:F,6,0),"-")</f>
        <v>-</v>
      </c>
    </row>
    <row r="188" spans="1:24" hidden="1" x14ac:dyDescent="0.25">
      <c r="A188" s="21" t="s">
        <v>2180</v>
      </c>
      <c r="B188" s="40" t="s">
        <v>2181</v>
      </c>
      <c r="C188" s="21" t="s">
        <v>244</v>
      </c>
      <c r="D188" s="21" t="s">
        <v>73</v>
      </c>
      <c r="E188" s="21" t="s">
        <v>86</v>
      </c>
      <c r="F188" s="55">
        <v>1.0721822323377444E-3</v>
      </c>
      <c r="G188" s="24">
        <v>4.9603960000000002</v>
      </c>
      <c r="H188" s="24">
        <v>5.4663890000000004</v>
      </c>
      <c r="I188" s="24">
        <v>6.3640059999999998</v>
      </c>
      <c r="J188" s="24">
        <v>5.5969309999999997</v>
      </c>
      <c r="K188" s="24">
        <v>1.1694249999999999</v>
      </c>
      <c r="L188" s="24">
        <v>3.7913429999999999</v>
      </c>
      <c r="M188" s="24">
        <v>370.75709999999998</v>
      </c>
      <c r="N188" s="24">
        <v>7.8667364600587009</v>
      </c>
      <c r="O188" s="24">
        <v>2.9896907216494837</v>
      </c>
      <c r="P188" s="24">
        <v>6.6296296296296298</v>
      </c>
      <c r="Q188" s="24">
        <v>3.1484215399528779</v>
      </c>
      <c r="R188" s="24">
        <v>2.19</v>
      </c>
      <c r="S188" s="24">
        <v>4.3221288721532156</v>
      </c>
      <c r="T188" s="24">
        <v>1.4785144431765029</v>
      </c>
      <c r="U188" s="24" t="s">
        <v>3697</v>
      </c>
      <c r="V188">
        <v>0</v>
      </c>
      <c r="W188" s="21">
        <v>0</v>
      </c>
      <c r="X188" s="56" t="str">
        <f>IFERROR(VLOOKUP(A188,Output!A:F,6,0),"-")</f>
        <v>-</v>
      </c>
    </row>
    <row r="189" spans="1:24" hidden="1" x14ac:dyDescent="0.25">
      <c r="A189" s="21" t="s">
        <v>2232</v>
      </c>
      <c r="B189" s="40" t="s">
        <v>2233</v>
      </c>
      <c r="C189" s="21" t="s">
        <v>244</v>
      </c>
      <c r="D189" s="21" t="s">
        <v>73</v>
      </c>
      <c r="E189" s="21" t="s">
        <v>96</v>
      </c>
      <c r="F189" s="55">
        <v>1.0675412211839006E-3</v>
      </c>
      <c r="G189" s="24">
        <v>7.4928549999999996</v>
      </c>
      <c r="H189" s="24">
        <v>7.4212980000000002</v>
      </c>
      <c r="I189" s="24">
        <v>7.828214</v>
      </c>
      <c r="J189" s="24">
        <v>7.5719950000000003</v>
      </c>
      <c r="K189" s="24">
        <v>2.2739229999999999</v>
      </c>
      <c r="L189" s="24">
        <v>4.49444</v>
      </c>
      <c r="M189" s="24">
        <v>38.4377</v>
      </c>
      <c r="N189" s="24">
        <v>4.9603460706560911</v>
      </c>
      <c r="O189" s="24">
        <v>9.072164948453608</v>
      </c>
      <c r="P189" s="24">
        <v>7.9253112033195015</v>
      </c>
      <c r="Q189" s="24">
        <v>1.6613579518640866</v>
      </c>
      <c r="R189" s="24">
        <v>4.0599999999999996</v>
      </c>
      <c r="S189" s="24">
        <v>5.2369195944840339</v>
      </c>
      <c r="T189" s="24">
        <v>0.42377206759044939</v>
      </c>
      <c r="U189" s="24" t="s">
        <v>3787</v>
      </c>
      <c r="V189">
        <v>0</v>
      </c>
      <c r="W189" s="21">
        <v>0</v>
      </c>
      <c r="X189" s="56" t="str">
        <f>IFERROR(VLOOKUP(A189,Output!A:F,6,0),"-")</f>
        <v>-</v>
      </c>
    </row>
    <row r="190" spans="1:24" hidden="1" x14ac:dyDescent="0.25">
      <c r="A190" s="21" t="s">
        <v>2079</v>
      </c>
      <c r="B190" s="40" t="s">
        <v>2080</v>
      </c>
      <c r="C190" s="21" t="s">
        <v>244</v>
      </c>
      <c r="D190" s="21" t="s">
        <v>73</v>
      </c>
      <c r="E190" s="21" t="s">
        <v>98</v>
      </c>
      <c r="F190" s="55">
        <v>1.0649807673823544E-3</v>
      </c>
      <c r="G190" s="24">
        <v>6.0750270000000004</v>
      </c>
      <c r="H190" s="24">
        <v>4.3597659999999996</v>
      </c>
      <c r="I190" s="24">
        <v>4.0619569999999996</v>
      </c>
      <c r="J190" s="24">
        <v>4.5836940000000004</v>
      </c>
      <c r="K190" s="24">
        <v>0</v>
      </c>
      <c r="L190" s="24">
        <v>4.5744259999999999</v>
      </c>
      <c r="M190" s="24">
        <v>30.626000000000001</v>
      </c>
      <c r="N190" s="24">
        <v>6.8707777653340818</v>
      </c>
      <c r="O190" s="24">
        <v>4.8979591836734695</v>
      </c>
      <c r="P190" s="24">
        <v>6.9682386793772437</v>
      </c>
      <c r="Q190" s="24">
        <v>2.8195493858954985</v>
      </c>
      <c r="R190" s="24" t="e">
        <v>#N/A</v>
      </c>
      <c r="S190" s="24">
        <v>5.1830198347776548</v>
      </c>
      <c r="T190" s="24">
        <v>0.66404138052156358</v>
      </c>
      <c r="U190" s="24" t="s">
        <v>3735</v>
      </c>
      <c r="V190">
        <v>0</v>
      </c>
      <c r="W190" s="21">
        <v>1</v>
      </c>
      <c r="X190" s="56" t="str">
        <f>IFERROR(VLOOKUP(A190,Output!A:F,6,0),"-")</f>
        <v>-</v>
      </c>
    </row>
    <row r="191" spans="1:24" hidden="1" x14ac:dyDescent="0.25">
      <c r="A191" s="21" t="s">
        <v>779</v>
      </c>
      <c r="B191" s="40" t="s">
        <v>780</v>
      </c>
      <c r="C191" s="21" t="s">
        <v>244</v>
      </c>
      <c r="D191" s="21" t="s">
        <v>73</v>
      </c>
      <c r="E191" s="21" t="s">
        <v>98</v>
      </c>
      <c r="F191" s="55">
        <v>1.0596505967573676E-3</v>
      </c>
      <c r="G191" s="24">
        <v>4.8595300000000003</v>
      </c>
      <c r="H191" s="24">
        <v>6.3547669999999998</v>
      </c>
      <c r="I191" s="24">
        <v>4.3436459999999997</v>
      </c>
      <c r="J191" s="24">
        <v>5.251271</v>
      </c>
      <c r="K191" s="24">
        <v>0</v>
      </c>
      <c r="L191" s="24">
        <v>2.2644489999999999</v>
      </c>
      <c r="M191" s="24">
        <v>57.119799999999998</v>
      </c>
      <c r="N191" s="24">
        <v>10</v>
      </c>
      <c r="O191" s="24">
        <v>8.1632653061224474</v>
      </c>
      <c r="P191" s="24">
        <v>7.4013474394662087</v>
      </c>
      <c r="Q191" s="24">
        <v>1.1723493472260968</v>
      </c>
      <c r="R191" s="24" t="e">
        <v>#N/A</v>
      </c>
      <c r="S191" s="24">
        <v>4.114610730120015</v>
      </c>
      <c r="T191" s="24">
        <v>1.752030910591482</v>
      </c>
      <c r="U191" s="24" t="s">
        <v>3803</v>
      </c>
      <c r="V191">
        <v>0</v>
      </c>
      <c r="W191" s="21">
        <v>0</v>
      </c>
      <c r="X191" s="56" t="str">
        <f>IFERROR(VLOOKUP(A191,Output!A:F,6,0),"-")</f>
        <v>-</v>
      </c>
    </row>
    <row r="192" spans="1:24" hidden="1" x14ac:dyDescent="0.25">
      <c r="A192" s="21" t="s">
        <v>2311</v>
      </c>
      <c r="B192" s="40" t="s">
        <v>2312</v>
      </c>
      <c r="C192" s="21" t="s">
        <v>244</v>
      </c>
      <c r="D192" s="21" t="s">
        <v>73</v>
      </c>
      <c r="E192" s="21" t="s">
        <v>92</v>
      </c>
      <c r="F192" s="55">
        <v>1.0529883865122444E-3</v>
      </c>
      <c r="G192" s="21">
        <v>6.126989</v>
      </c>
      <c r="H192" s="21">
        <v>4.423292</v>
      </c>
      <c r="I192" s="21">
        <v>4.4665419999999996</v>
      </c>
      <c r="J192" s="21">
        <v>5.1177450000000002</v>
      </c>
      <c r="K192" s="24">
        <v>1.682698</v>
      </c>
      <c r="L192" s="24">
        <v>5.4085910000000004</v>
      </c>
      <c r="M192" s="24">
        <v>23.436900000000001</v>
      </c>
      <c r="N192" s="57">
        <v>7.2608892045454549</v>
      </c>
      <c r="O192" s="24">
        <v>5.0505050505050511</v>
      </c>
      <c r="P192" s="24">
        <v>4.2533470885546985</v>
      </c>
      <c r="Q192" s="24">
        <v>4.5502171489248742</v>
      </c>
      <c r="R192" s="24">
        <v>7.22</v>
      </c>
      <c r="S192" s="24">
        <v>5.4304630115171246</v>
      </c>
      <c r="T192" s="24">
        <v>0.47162522312931959</v>
      </c>
      <c r="U192" s="24" t="s">
        <v>3831</v>
      </c>
      <c r="V192">
        <v>0</v>
      </c>
      <c r="W192" s="21">
        <v>0</v>
      </c>
      <c r="X192" s="56" t="str">
        <f>IFERROR(VLOOKUP(A192,Output!A:F,6,0),"-")</f>
        <v>-</v>
      </c>
    </row>
    <row r="193" spans="1:24" hidden="1" x14ac:dyDescent="0.25">
      <c r="A193" s="21" t="s">
        <v>165</v>
      </c>
      <c r="B193" s="40" t="s">
        <v>232</v>
      </c>
      <c r="C193" s="21" t="s">
        <v>244</v>
      </c>
      <c r="D193" s="21" t="s">
        <v>73</v>
      </c>
      <c r="E193" s="21" t="s">
        <v>88</v>
      </c>
      <c r="F193" s="55">
        <v>1.051718723369788E-3</v>
      </c>
      <c r="G193" s="24">
        <v>8.9494980000000002</v>
      </c>
      <c r="H193" s="24">
        <v>7.0180699999999998</v>
      </c>
      <c r="I193" s="24">
        <v>6.8006500000000001</v>
      </c>
      <c r="J193" s="24">
        <v>7.7254149999999999</v>
      </c>
      <c r="K193" s="24">
        <v>1.042743</v>
      </c>
      <c r="L193" s="24">
        <v>4.3049980000000003</v>
      </c>
      <c r="M193" s="24">
        <v>28.869700000000002</v>
      </c>
      <c r="N193" s="24">
        <v>5.665245738636365</v>
      </c>
      <c r="O193" s="24">
        <v>8.7878787878787872</v>
      </c>
      <c r="P193" s="24">
        <v>7.4356333782260222</v>
      </c>
      <c r="Q193" s="24">
        <v>3.0790199097425002</v>
      </c>
      <c r="R193" s="24">
        <v>5.43</v>
      </c>
      <c r="S193" s="24">
        <v>4.7760925461903732</v>
      </c>
      <c r="T193" s="24">
        <v>1.296894564796637</v>
      </c>
      <c r="U193" s="24" t="s">
        <v>3583</v>
      </c>
      <c r="V193">
        <v>0</v>
      </c>
      <c r="W193" s="21">
        <v>0</v>
      </c>
      <c r="X193" s="56" t="str">
        <f>IFERROR(VLOOKUP(A193,Output!A:F,6,0),"-")</f>
        <v>-</v>
      </c>
    </row>
    <row r="194" spans="1:24" hidden="1" x14ac:dyDescent="0.25">
      <c r="A194" s="21" t="s">
        <v>121</v>
      </c>
      <c r="B194" s="40" t="s">
        <v>189</v>
      </c>
      <c r="C194" s="21" t="s">
        <v>244</v>
      </c>
      <c r="D194" s="21" t="s">
        <v>73</v>
      </c>
      <c r="E194" s="21" t="s">
        <v>99</v>
      </c>
      <c r="F194" s="55">
        <v>1.0513987924036224E-3</v>
      </c>
      <c r="G194" s="24">
        <v>4.9476310000000003</v>
      </c>
      <c r="H194" s="24">
        <v>3.1060430000000001</v>
      </c>
      <c r="I194" s="24">
        <v>4.7558879999999997</v>
      </c>
      <c r="J194" s="24">
        <v>4.3376320000000002</v>
      </c>
      <c r="K194" s="24">
        <v>0.78639890000000001</v>
      </c>
      <c r="L194" s="24">
        <v>3.4161280000000001</v>
      </c>
      <c r="M194" s="24">
        <v>40.520099999999999</v>
      </c>
      <c r="N194" s="24">
        <v>5.7537494675413932</v>
      </c>
      <c r="O194" s="24">
        <v>6.25</v>
      </c>
      <c r="P194" s="24">
        <v>6.0298507462686572</v>
      </c>
      <c r="Q194" s="24">
        <v>4.6010499578959214</v>
      </c>
      <c r="R194" s="24">
        <v>6.53</v>
      </c>
      <c r="S194" s="24">
        <v>6.0437736340297032</v>
      </c>
      <c r="T194" s="24">
        <v>1.1262535741473729</v>
      </c>
      <c r="U194" s="24" t="s">
        <v>3596</v>
      </c>
      <c r="V194">
        <v>0</v>
      </c>
      <c r="W194" s="21">
        <v>1</v>
      </c>
      <c r="X194" s="56" t="str">
        <f>IFERROR(VLOOKUP(A194,Output!A:F,6,0),"-")</f>
        <v>-</v>
      </c>
    </row>
    <row r="195" spans="1:24" hidden="1" x14ac:dyDescent="0.25">
      <c r="A195" s="21" t="s">
        <v>773</v>
      </c>
      <c r="B195" s="40" t="s">
        <v>774</v>
      </c>
      <c r="C195" s="21" t="s">
        <v>244</v>
      </c>
      <c r="D195" s="21" t="s">
        <v>73</v>
      </c>
      <c r="E195" s="21" t="s">
        <v>85</v>
      </c>
      <c r="F195" s="55">
        <v>1.0482025009586275E-3</v>
      </c>
      <c r="G195" s="24">
        <v>4.7507210000000004</v>
      </c>
      <c r="H195" s="24">
        <v>4.0761450000000004</v>
      </c>
      <c r="I195" s="24">
        <v>5.7586130000000004</v>
      </c>
      <c r="J195" s="24">
        <v>4.8673820000000001</v>
      </c>
      <c r="K195" s="24">
        <v>4.5616469999999998</v>
      </c>
      <c r="L195" s="24">
        <v>9.2076220000000006</v>
      </c>
      <c r="M195" s="24">
        <v>11.1637</v>
      </c>
      <c r="N195" s="24">
        <v>3.9767799479166661</v>
      </c>
      <c r="O195" s="24">
        <v>0.92783505154639179</v>
      </c>
      <c r="P195" s="24">
        <v>4.0932642487046635</v>
      </c>
      <c r="Q195" s="24">
        <v>5.6636526717000804</v>
      </c>
      <c r="R195" s="24">
        <v>6.38</v>
      </c>
      <c r="S195" s="24">
        <v>4.5977038821623673</v>
      </c>
      <c r="T195" s="24">
        <v>1.4979357999064282</v>
      </c>
      <c r="U195" s="24" t="s">
        <v>3715</v>
      </c>
      <c r="V195">
        <v>0</v>
      </c>
      <c r="W195" s="21">
        <v>0</v>
      </c>
      <c r="X195" s="56" t="str">
        <f>IFERROR(VLOOKUP(A195,Output!A:F,6,0),"-")</f>
        <v>-</v>
      </c>
    </row>
    <row r="196" spans="1:24" hidden="1" x14ac:dyDescent="0.25">
      <c r="A196" s="21" t="s">
        <v>2420</v>
      </c>
      <c r="B196" s="40" t="s">
        <v>2421</v>
      </c>
      <c r="C196" s="21" t="s">
        <v>244</v>
      </c>
      <c r="D196" s="21" t="s">
        <v>73</v>
      </c>
      <c r="E196" s="21" t="s">
        <v>92</v>
      </c>
      <c r="F196" s="55">
        <v>1.0444619244422625E-3</v>
      </c>
      <c r="G196" s="24">
        <v>8.6198490000000003</v>
      </c>
      <c r="H196" s="24">
        <v>7.1087759999999998</v>
      </c>
      <c r="I196" s="24">
        <v>7.8125099999999996</v>
      </c>
      <c r="J196" s="24">
        <v>7.8084049999999996</v>
      </c>
      <c r="K196" s="24">
        <v>0</v>
      </c>
      <c r="L196" s="24">
        <v>8.5749329999999997</v>
      </c>
      <c r="M196" s="24">
        <v>4.5547000000000004</v>
      </c>
      <c r="N196" s="24">
        <v>4.7964005681818183</v>
      </c>
      <c r="O196" s="24">
        <v>0.20202020202020204</v>
      </c>
      <c r="P196" s="24">
        <v>5.8290422416929264</v>
      </c>
      <c r="Q196" s="24">
        <v>8.3015662330767181</v>
      </c>
      <c r="R196" s="24" t="e">
        <v>#N/A</v>
      </c>
      <c r="S196" s="24">
        <v>5.4946125290809578</v>
      </c>
      <c r="T196" s="24">
        <v>1.6520071743595788</v>
      </c>
      <c r="U196" s="24" t="s">
        <v>3900</v>
      </c>
      <c r="V196">
        <v>0</v>
      </c>
      <c r="W196" s="21">
        <v>0</v>
      </c>
      <c r="X196" s="56" t="str">
        <f>IFERROR(VLOOKUP(A196,Output!A:F,6,0),"-")</f>
        <v>-</v>
      </c>
    </row>
    <row r="197" spans="1:24" hidden="1" x14ac:dyDescent="0.25">
      <c r="A197" s="21" t="s">
        <v>359</v>
      </c>
      <c r="B197" s="40" t="s">
        <v>360</v>
      </c>
      <c r="C197" s="21" t="s">
        <v>249</v>
      </c>
      <c r="D197" s="21" t="s">
        <v>74</v>
      </c>
      <c r="E197" s="21" t="s">
        <v>93</v>
      </c>
      <c r="F197" s="55">
        <v>1.0431429637609946E-3</v>
      </c>
      <c r="G197" s="24">
        <v>5.7461869999999999</v>
      </c>
      <c r="H197" s="24">
        <v>5.5114359999999998</v>
      </c>
      <c r="I197" s="24">
        <v>5.3120599999999998</v>
      </c>
      <c r="J197" s="24">
        <v>5.512079</v>
      </c>
      <c r="K197" s="24">
        <v>6.1367209999999996</v>
      </c>
      <c r="L197" s="24">
        <v>12.05556</v>
      </c>
      <c r="M197" s="24">
        <v>0.62907000000000002</v>
      </c>
      <c r="N197" s="24">
        <v>4.1466272948820846</v>
      </c>
      <c r="O197" s="24">
        <v>4.2424242424242422</v>
      </c>
      <c r="P197" s="24">
        <v>5.8157894736842097</v>
      </c>
      <c r="Q197" s="24">
        <v>4.4197905181918413</v>
      </c>
      <c r="R197" s="24">
        <v>6.46</v>
      </c>
      <c r="S197" s="24">
        <v>5.5515543089763764</v>
      </c>
      <c r="T197" s="24">
        <v>0.40244213990054856</v>
      </c>
      <c r="U197" s="24" t="s">
        <v>2878</v>
      </c>
      <c r="V197">
        <v>0</v>
      </c>
      <c r="W197" s="21">
        <v>0</v>
      </c>
      <c r="X197" s="56" t="str">
        <f>IFERROR(VLOOKUP(A197,Output!A:F,6,0),"-")</f>
        <v>-</v>
      </c>
    </row>
    <row r="198" spans="1:24" hidden="1" x14ac:dyDescent="0.25">
      <c r="A198" s="21" t="s">
        <v>2240</v>
      </c>
      <c r="B198" s="40" t="s">
        <v>2241</v>
      </c>
      <c r="C198" s="21" t="s">
        <v>244</v>
      </c>
      <c r="D198" s="21" t="s">
        <v>73</v>
      </c>
      <c r="E198" s="21" t="s">
        <v>92</v>
      </c>
      <c r="F198" s="55">
        <v>1.030188777847946E-3</v>
      </c>
      <c r="G198" s="24">
        <v>5.5809740000000003</v>
      </c>
      <c r="H198" s="24">
        <v>3.4382419999999998</v>
      </c>
      <c r="I198" s="24">
        <v>4.3928330000000004</v>
      </c>
      <c r="J198" s="24">
        <v>4.5817119999999996</v>
      </c>
      <c r="K198" s="24">
        <v>1.9254610000000001</v>
      </c>
      <c r="L198" s="24">
        <v>5.7805150000000003</v>
      </c>
      <c r="M198" s="24">
        <v>21.1082</v>
      </c>
      <c r="N198" s="24">
        <v>6.8300184659090917</v>
      </c>
      <c r="O198" s="24">
        <v>2.6262626262626263</v>
      </c>
      <c r="P198" s="24">
        <v>5.365602490769918</v>
      </c>
      <c r="Q198" s="24">
        <v>6.763295991505176</v>
      </c>
      <c r="R198" s="24">
        <v>7.23</v>
      </c>
      <c r="S198" s="24">
        <v>6.7167113006996342</v>
      </c>
      <c r="T198" s="24">
        <v>0.58417392977552418</v>
      </c>
      <c r="U198" s="24" t="s">
        <v>3763</v>
      </c>
      <c r="V198">
        <v>1</v>
      </c>
      <c r="W198" s="21">
        <v>1</v>
      </c>
      <c r="X198" s="56" t="str">
        <f>IFERROR(VLOOKUP(A198,Output!A:F,6,0),"-")</f>
        <v>-</v>
      </c>
    </row>
    <row r="199" spans="1:24" hidden="1" x14ac:dyDescent="0.25">
      <c r="A199" s="21" t="s">
        <v>2226</v>
      </c>
      <c r="B199" s="40" t="s">
        <v>2227</v>
      </c>
      <c r="C199" s="21" t="s">
        <v>244</v>
      </c>
      <c r="D199" s="21" t="s">
        <v>73</v>
      </c>
      <c r="E199" s="21" t="s">
        <v>93</v>
      </c>
      <c r="F199" s="55">
        <v>1.0255185905997037E-3</v>
      </c>
      <c r="G199" s="21">
        <v>7.7889699999999999</v>
      </c>
      <c r="H199" s="21">
        <v>3.3683049999999999</v>
      </c>
      <c r="I199" s="21">
        <v>5.4888669999999999</v>
      </c>
      <c r="J199" s="21">
        <v>5.4367010000000002</v>
      </c>
      <c r="K199" s="24">
        <v>0.78072180000000002</v>
      </c>
      <c r="L199" s="24">
        <v>5.671252</v>
      </c>
      <c r="M199" s="24">
        <v>2.8346</v>
      </c>
      <c r="N199" s="24">
        <v>6.356335937499999</v>
      </c>
      <c r="O199" s="24">
        <v>1.3402061855670102</v>
      </c>
      <c r="P199" s="24">
        <v>8.0310880829015545</v>
      </c>
      <c r="Q199" s="24">
        <v>2.8846798238278288</v>
      </c>
      <c r="R199" s="24">
        <v>2.98</v>
      </c>
      <c r="S199" s="24">
        <v>4.7925044814473621</v>
      </c>
      <c r="T199" s="24">
        <v>0.68740138745233048</v>
      </c>
      <c r="U199" s="24" t="s">
        <v>3817</v>
      </c>
      <c r="V199">
        <v>0</v>
      </c>
      <c r="W199" s="21">
        <v>0</v>
      </c>
      <c r="X199" s="56" t="str">
        <f>IFERROR(VLOOKUP(A199,Output!A:F,6,0),"-")</f>
        <v>-</v>
      </c>
    </row>
    <row r="200" spans="1:24" hidden="1" x14ac:dyDescent="0.25">
      <c r="A200" s="21" t="s">
        <v>2351</v>
      </c>
      <c r="B200" s="40" t="s">
        <v>2352</v>
      </c>
      <c r="C200" s="21" t="s">
        <v>244</v>
      </c>
      <c r="D200" s="21" t="s">
        <v>73</v>
      </c>
      <c r="E200" s="21" t="s">
        <v>91</v>
      </c>
      <c r="F200" s="55">
        <v>1.0249109229784328E-3</v>
      </c>
      <c r="G200" s="24">
        <v>3.699039</v>
      </c>
      <c r="H200" s="24">
        <v>3.5874670000000002</v>
      </c>
      <c r="I200" s="24">
        <v>5.3306240000000003</v>
      </c>
      <c r="J200" s="24">
        <v>4.3070449999999996</v>
      </c>
      <c r="K200" s="24">
        <v>0.78788800000000003</v>
      </c>
      <c r="L200" s="24">
        <v>7.7802769999999999</v>
      </c>
      <c r="M200" s="24">
        <v>25.5244</v>
      </c>
      <c r="N200" s="24">
        <v>8.064294092831771</v>
      </c>
      <c r="O200" s="24">
        <v>9.0909090909090899</v>
      </c>
      <c r="P200" s="24">
        <v>5.7796262129745282</v>
      </c>
      <c r="Q200" s="24">
        <v>8.6859758730889922</v>
      </c>
      <c r="R200" s="24">
        <v>6.03</v>
      </c>
      <c r="S200" s="24">
        <v>7.0735329655346453</v>
      </c>
      <c r="T200" s="24">
        <v>0.8812747643329929</v>
      </c>
      <c r="U200" s="24" t="s">
        <v>3855</v>
      </c>
      <c r="V200">
        <v>0</v>
      </c>
      <c r="W200" s="21">
        <v>1</v>
      </c>
      <c r="X200" s="56" t="str">
        <f>IFERROR(VLOOKUP(A200,Output!A:F,6,0),"-")</f>
        <v>-</v>
      </c>
    </row>
    <row r="201" spans="1:24" hidden="1" x14ac:dyDescent="0.25">
      <c r="A201" s="21" t="s">
        <v>1803</v>
      </c>
      <c r="B201" s="40" t="s">
        <v>1804</v>
      </c>
      <c r="C201" s="21" t="s">
        <v>244</v>
      </c>
      <c r="D201" s="21" t="s">
        <v>73</v>
      </c>
      <c r="E201" s="21" t="s">
        <v>92</v>
      </c>
      <c r="F201" s="55">
        <v>1.0184338300219086E-3</v>
      </c>
      <c r="G201" s="24">
        <v>4.8727429999999998</v>
      </c>
      <c r="H201" s="24">
        <v>2.0577549999999998</v>
      </c>
      <c r="I201" s="24">
        <v>4.6904240000000001</v>
      </c>
      <c r="J201" s="24">
        <v>3.9735510000000001</v>
      </c>
      <c r="K201" s="24">
        <v>2.9256869999999999</v>
      </c>
      <c r="L201" s="24">
        <v>3.6896</v>
      </c>
      <c r="M201" s="53">
        <v>48.0334</v>
      </c>
      <c r="N201" s="24">
        <v>8.7736747159090918</v>
      </c>
      <c r="O201" s="24">
        <v>6.0606060606060606</v>
      </c>
      <c r="P201" s="24">
        <v>4.6137994042685921</v>
      </c>
      <c r="Q201" s="24">
        <v>0.92168834616405637</v>
      </c>
      <c r="R201" s="24">
        <v>6.91</v>
      </c>
      <c r="S201" s="24">
        <v>4.6057727757111362</v>
      </c>
      <c r="T201" s="24">
        <v>1.1063478063569014</v>
      </c>
      <c r="U201" s="24" t="s">
        <v>3580</v>
      </c>
      <c r="V201">
        <v>0</v>
      </c>
      <c r="W201" s="21">
        <v>1</v>
      </c>
      <c r="X201" s="56" t="str">
        <f>IFERROR(VLOOKUP(A201,Output!A:F,6,0),"-")</f>
        <v>-</v>
      </c>
    </row>
    <row r="202" spans="1:24" hidden="1" x14ac:dyDescent="0.25">
      <c r="A202" s="21" t="s">
        <v>2680</v>
      </c>
      <c r="B202" s="40" t="s">
        <v>2681</v>
      </c>
      <c r="C202" s="21" t="s">
        <v>249</v>
      </c>
      <c r="D202" s="21" t="s">
        <v>74</v>
      </c>
      <c r="E202" s="21" t="s">
        <v>88</v>
      </c>
      <c r="F202" s="55">
        <v>1.0176500997620247E-3</v>
      </c>
      <c r="G202" s="21">
        <v>5.340217</v>
      </c>
      <c r="H202" s="21">
        <v>3.7930250000000001</v>
      </c>
      <c r="I202" s="21">
        <v>5.6091990000000003</v>
      </c>
      <c r="J202" s="21">
        <v>4.9567540000000001</v>
      </c>
      <c r="K202" s="24">
        <v>4.1835969999999998</v>
      </c>
      <c r="L202" s="24">
        <v>7.6852390000000002</v>
      </c>
      <c r="M202" s="24">
        <v>45.8033</v>
      </c>
      <c r="N202" s="24">
        <v>7.8271614814814825</v>
      </c>
      <c r="O202" s="24">
        <v>3.9795918367346932</v>
      </c>
      <c r="P202" s="24">
        <v>4.4657534246575343</v>
      </c>
      <c r="Q202" s="24">
        <v>7.8521394609733726</v>
      </c>
      <c r="R202" s="24">
        <v>7.86</v>
      </c>
      <c r="S202" s="24">
        <v>7.4038332714220578</v>
      </c>
      <c r="T202" s="24">
        <v>0.30818080249354979</v>
      </c>
      <c r="U202" s="24" t="s">
        <v>4062</v>
      </c>
      <c r="V202">
        <v>0</v>
      </c>
      <c r="W202" s="21">
        <v>0</v>
      </c>
      <c r="X202" s="56">
        <f>IFERROR(VLOOKUP(A202,Output!A:F,6,0),"-")</f>
        <v>4.3376431398393419E-3</v>
      </c>
    </row>
    <row r="203" spans="1:24" hidden="1" x14ac:dyDescent="0.25">
      <c r="A203" s="21" t="s">
        <v>2567</v>
      </c>
      <c r="B203" s="40" t="s">
        <v>2568</v>
      </c>
      <c r="C203" s="21" t="s">
        <v>257</v>
      </c>
      <c r="D203" s="21" t="s">
        <v>74</v>
      </c>
      <c r="E203" s="21" t="s">
        <v>93</v>
      </c>
      <c r="F203" s="55">
        <v>1.0101035520349529E-3</v>
      </c>
      <c r="G203" s="24">
        <v>6.9110209999999999</v>
      </c>
      <c r="H203" s="24">
        <v>5.8997039999999998</v>
      </c>
      <c r="I203" s="24">
        <v>5.9353290000000003</v>
      </c>
      <c r="J203" s="24">
        <v>6.2155680000000002</v>
      </c>
      <c r="K203" s="24">
        <v>3.5683669999999998</v>
      </c>
      <c r="L203" s="24">
        <v>10.40551</v>
      </c>
      <c r="M203" s="24">
        <v>1.496</v>
      </c>
      <c r="N203" s="24">
        <v>5.4203026533562593</v>
      </c>
      <c r="O203" s="24">
        <v>8.0808080808080813</v>
      </c>
      <c r="P203" s="24">
        <v>6.5</v>
      </c>
      <c r="Q203" s="24">
        <v>4.8084343991179708</v>
      </c>
      <c r="R203" s="24">
        <v>4.1500000000000004</v>
      </c>
      <c r="S203" s="24">
        <v>5.5443789387828497</v>
      </c>
      <c r="T203" s="24">
        <v>0.25041214977752307</v>
      </c>
      <c r="U203" s="24" t="s">
        <v>4024</v>
      </c>
      <c r="V203">
        <v>0</v>
      </c>
      <c r="W203" s="21">
        <v>0</v>
      </c>
      <c r="X203" s="56" t="str">
        <f>IFERROR(VLOOKUP(A203,Output!A:F,6,0),"-")</f>
        <v>-</v>
      </c>
    </row>
    <row r="204" spans="1:24" hidden="1" x14ac:dyDescent="0.25">
      <c r="A204" s="21" t="s">
        <v>2730</v>
      </c>
      <c r="B204" s="40" t="s">
        <v>2731</v>
      </c>
      <c r="C204" s="21" t="s">
        <v>249</v>
      </c>
      <c r="D204" s="21" t="s">
        <v>74</v>
      </c>
      <c r="E204" s="21" t="s">
        <v>91</v>
      </c>
      <c r="F204" s="55">
        <v>1.0072744769504941E-3</v>
      </c>
      <c r="G204" s="24">
        <v>4.607113</v>
      </c>
      <c r="H204" s="24">
        <v>6.1967660000000002</v>
      </c>
      <c r="I204" s="24">
        <v>3.679697</v>
      </c>
      <c r="J204" s="24">
        <v>4.8720080000000001</v>
      </c>
      <c r="K204" s="24">
        <v>1.862981</v>
      </c>
      <c r="L204" s="24">
        <v>3.928588</v>
      </c>
      <c r="M204" s="24">
        <v>36.6905</v>
      </c>
      <c r="N204" s="24">
        <v>7.1854375426621173</v>
      </c>
      <c r="O204" s="24">
        <v>5.6701030927835046</v>
      </c>
      <c r="P204" s="24">
        <v>3.4188034188034195</v>
      </c>
      <c r="Q204" s="24">
        <v>4.6023694743395893</v>
      </c>
      <c r="R204" s="24">
        <v>6.4600010000000001</v>
      </c>
      <c r="S204" s="24">
        <v>5.4768177730881646</v>
      </c>
      <c r="T204" s="24">
        <v>0.47123823520752761</v>
      </c>
      <c r="U204" s="24" t="s">
        <v>4094</v>
      </c>
      <c r="V204">
        <v>0</v>
      </c>
      <c r="W204" s="21">
        <v>0</v>
      </c>
      <c r="X204" s="56" t="str">
        <f>IFERROR(VLOOKUP(A204,Output!A:F,6,0),"-")</f>
        <v>-</v>
      </c>
    </row>
    <row r="205" spans="1:24" hidden="1" x14ac:dyDescent="0.25">
      <c r="A205" s="21" t="s">
        <v>1997</v>
      </c>
      <c r="B205" s="40" t="s">
        <v>1998</v>
      </c>
      <c r="C205" s="21" t="s">
        <v>244</v>
      </c>
      <c r="D205" s="21" t="s">
        <v>73</v>
      </c>
      <c r="E205" s="21" t="s">
        <v>92</v>
      </c>
      <c r="F205" s="55">
        <v>1.006667815401444E-3</v>
      </c>
      <c r="G205" s="21">
        <v>3.8519920000000001</v>
      </c>
      <c r="H205" s="21">
        <v>2.376001</v>
      </c>
      <c r="I205" s="21">
        <v>3.514192</v>
      </c>
      <c r="J205" s="21">
        <v>3.307855</v>
      </c>
      <c r="K205" s="24">
        <v>1.8752960000000001</v>
      </c>
      <c r="L205" s="24">
        <v>5.4856990000000003</v>
      </c>
      <c r="M205" s="24">
        <v>50.881700000000002</v>
      </c>
      <c r="N205" s="24">
        <v>5.9019886363636367</v>
      </c>
      <c r="O205" s="24">
        <v>7.3737373737373737</v>
      </c>
      <c r="P205" s="24">
        <v>3.6972193874470882</v>
      </c>
      <c r="Q205" s="24">
        <v>3.9148744358906287</v>
      </c>
      <c r="R205" s="24">
        <v>6.3</v>
      </c>
      <c r="S205" s="24">
        <v>5.1158221305432425</v>
      </c>
      <c r="T205" s="24">
        <v>0.9560321251550451</v>
      </c>
      <c r="U205" s="24" t="s">
        <v>3635</v>
      </c>
      <c r="V205">
        <v>0</v>
      </c>
      <c r="W205" s="21">
        <v>1</v>
      </c>
      <c r="X205" s="56" t="str">
        <f>IFERROR(VLOOKUP(A205,Output!A:F,6,0),"-")</f>
        <v>-</v>
      </c>
    </row>
    <row r="206" spans="1:24" hidden="1" x14ac:dyDescent="0.25">
      <c r="A206" s="21" t="s">
        <v>2124</v>
      </c>
      <c r="B206" s="40" t="s">
        <v>2125</v>
      </c>
      <c r="C206" s="21" t="s">
        <v>244</v>
      </c>
      <c r="D206" s="21" t="s">
        <v>73</v>
      </c>
      <c r="E206" s="21" t="s">
        <v>92</v>
      </c>
      <c r="F206" s="55">
        <v>1.0043582760117273E-3</v>
      </c>
      <c r="G206" s="24">
        <v>3.5499740000000002</v>
      </c>
      <c r="H206" s="24">
        <v>2.6401849999999998</v>
      </c>
      <c r="I206" s="24">
        <v>5.4685220000000001</v>
      </c>
      <c r="J206" s="24">
        <v>3.8526020000000001</v>
      </c>
      <c r="K206" s="24">
        <v>1.822854</v>
      </c>
      <c r="L206" s="24">
        <v>8.0640099999999997</v>
      </c>
      <c r="M206" s="24">
        <v>256.20920000000001</v>
      </c>
      <c r="N206" s="24">
        <v>6.1553025568181816</v>
      </c>
      <c r="O206" s="24">
        <v>4.2424242424242422</v>
      </c>
      <c r="P206" s="24">
        <v>5.6745623247185906</v>
      </c>
      <c r="Q206" s="24">
        <v>8.384036102999735</v>
      </c>
      <c r="R206" s="24">
        <v>7.01</v>
      </c>
      <c r="S206" s="24">
        <v>6.5115391778436154</v>
      </c>
      <c r="T206" s="24">
        <v>1.0480305853666991</v>
      </c>
      <c r="U206" s="24" t="s">
        <v>3728</v>
      </c>
      <c r="V206">
        <v>0</v>
      </c>
      <c r="W206" s="21">
        <v>1</v>
      </c>
      <c r="X206" s="56" t="str">
        <f>IFERROR(VLOOKUP(A206,Output!A:F,6,0),"-")</f>
        <v>-</v>
      </c>
    </row>
    <row r="207" spans="1:24" hidden="1" x14ac:dyDescent="0.25">
      <c r="A207" s="21" t="s">
        <v>2708</v>
      </c>
      <c r="B207" s="40" t="s">
        <v>2709</v>
      </c>
      <c r="C207" s="21" t="s">
        <v>257</v>
      </c>
      <c r="D207" s="21" t="s">
        <v>74</v>
      </c>
      <c r="E207" s="21" t="s">
        <v>103</v>
      </c>
      <c r="F207" s="55">
        <v>1.0019411875016233E-3</v>
      </c>
      <c r="G207" s="21">
        <v>4.2251830000000004</v>
      </c>
      <c r="H207" s="21">
        <v>6.0035629999999998</v>
      </c>
      <c r="I207" s="21">
        <v>5.5999800000000004</v>
      </c>
      <c r="J207" s="21">
        <v>5.1711359999999997</v>
      </c>
      <c r="K207" s="24">
        <v>6.754346</v>
      </c>
      <c r="L207" s="24">
        <v>18.845500000000001</v>
      </c>
      <c r="M207" s="24">
        <v>13.4734</v>
      </c>
      <c r="N207" s="24">
        <v>3.6873155241761459</v>
      </c>
      <c r="O207" s="24">
        <v>5.2525252525252526</v>
      </c>
      <c r="P207" s="24">
        <v>3.5014836795252231</v>
      </c>
      <c r="Q207" s="24">
        <v>8.8231096909424132</v>
      </c>
      <c r="R207" s="24">
        <v>6.74</v>
      </c>
      <c r="S207" s="24">
        <v>6.4276402051192019</v>
      </c>
      <c r="T207" s="24">
        <v>0.58720249032069971</v>
      </c>
      <c r="U207" s="24" t="s">
        <v>4077</v>
      </c>
      <c r="V207">
        <v>0</v>
      </c>
      <c r="W207" s="21">
        <v>0</v>
      </c>
      <c r="X207" s="56" t="str">
        <f>IFERROR(VLOOKUP(A207,Output!A:F,6,0),"-")</f>
        <v>-</v>
      </c>
    </row>
    <row r="208" spans="1:24" hidden="1" x14ac:dyDescent="0.25">
      <c r="A208" s="21" t="s">
        <v>667</v>
      </c>
      <c r="B208" s="40" t="s">
        <v>668</v>
      </c>
      <c r="C208" s="21" t="s">
        <v>244</v>
      </c>
      <c r="D208" s="21" t="s">
        <v>73</v>
      </c>
      <c r="E208" s="21" t="s">
        <v>95</v>
      </c>
      <c r="F208" s="55">
        <v>9.9959331676029986E-4</v>
      </c>
      <c r="G208" s="21">
        <v>5.9366680000000001</v>
      </c>
      <c r="H208" s="21">
        <v>6.4671320000000003</v>
      </c>
      <c r="I208" s="21">
        <v>6.3070950000000003</v>
      </c>
      <c r="J208" s="21">
        <v>6.1538890000000004</v>
      </c>
      <c r="K208" s="24">
        <v>2.3962680000000001</v>
      </c>
      <c r="L208" s="24">
        <v>13.231619999999999</v>
      </c>
      <c r="M208" s="24">
        <v>270.21730000000002</v>
      </c>
      <c r="N208" s="57">
        <v>5.0688607743197132</v>
      </c>
      <c r="O208" s="24">
        <v>8.144329896907216</v>
      </c>
      <c r="P208" s="24">
        <v>6.7892976588628766</v>
      </c>
      <c r="Q208" s="24">
        <v>9.9848369142378353</v>
      </c>
      <c r="R208" s="24">
        <v>4.04</v>
      </c>
      <c r="S208" s="24">
        <v>6.7252519911565543</v>
      </c>
      <c r="T208" s="24">
        <v>0.83820121727082519</v>
      </c>
      <c r="U208" s="24" t="s">
        <v>2825</v>
      </c>
      <c r="V208">
        <v>0</v>
      </c>
      <c r="W208" s="21">
        <v>0</v>
      </c>
      <c r="X208" s="56">
        <f>IFERROR(VLOOKUP(A208,Output!A:F,6,0),"-")</f>
        <v>6.8080935343041559E-3</v>
      </c>
    </row>
    <row r="209" spans="1:24" hidden="1" x14ac:dyDescent="0.25">
      <c r="A209" s="21" t="s">
        <v>119</v>
      </c>
      <c r="B209" s="40" t="s">
        <v>187</v>
      </c>
      <c r="C209" s="21" t="s">
        <v>244</v>
      </c>
      <c r="D209" s="21" t="s">
        <v>73</v>
      </c>
      <c r="E209" s="21" t="s">
        <v>92</v>
      </c>
      <c r="F209" s="55">
        <v>9.9239798884545572E-4</v>
      </c>
      <c r="G209" s="24">
        <v>5.4387340000000002</v>
      </c>
      <c r="H209" s="24">
        <v>4.2758789999999998</v>
      </c>
      <c r="I209" s="24">
        <v>4.0361710000000004</v>
      </c>
      <c r="J209" s="24">
        <v>4.6691079999999996</v>
      </c>
      <c r="K209" s="24">
        <v>3.0402070000000001</v>
      </c>
      <c r="L209" s="24">
        <v>8.5398870000000002</v>
      </c>
      <c r="M209" s="24">
        <v>13.4786</v>
      </c>
      <c r="N209" s="24">
        <v>2.0549232954545458</v>
      </c>
      <c r="O209" s="24">
        <v>9.6969696969696955</v>
      </c>
      <c r="P209" s="24">
        <v>7.7754891955695618</v>
      </c>
      <c r="Q209" s="24">
        <v>8.3157239182373246</v>
      </c>
      <c r="R209" s="24">
        <v>7.52</v>
      </c>
      <c r="S209" s="24">
        <v>7.4268690335368053</v>
      </c>
      <c r="T209" s="24">
        <v>1.0790100129408151</v>
      </c>
      <c r="U209" s="24" t="s">
        <v>2822</v>
      </c>
      <c r="V209">
        <v>0</v>
      </c>
      <c r="W209" s="21">
        <v>0</v>
      </c>
      <c r="X209" s="56">
        <f>IFERROR(VLOOKUP(A209,Output!A:F,6,0),"-")</f>
        <v>7.4999999999998696E-3</v>
      </c>
    </row>
    <row r="210" spans="1:24" hidden="1" x14ac:dyDescent="0.25">
      <c r="A210" s="21" t="s">
        <v>1680</v>
      </c>
      <c r="B210" s="40" t="s">
        <v>1681</v>
      </c>
      <c r="C210" s="21" t="s">
        <v>244</v>
      </c>
      <c r="D210" s="21" t="s">
        <v>73</v>
      </c>
      <c r="E210" s="21" t="s">
        <v>99</v>
      </c>
      <c r="F210" s="55">
        <v>9.9200240124829747E-4</v>
      </c>
      <c r="G210" s="24">
        <v>4.4747940000000002</v>
      </c>
      <c r="H210" s="24">
        <v>1.990966</v>
      </c>
      <c r="I210" s="24">
        <v>4.7016010000000001</v>
      </c>
      <c r="J210" s="24">
        <v>3.797688</v>
      </c>
      <c r="K210" s="24">
        <v>0.33972010000000002</v>
      </c>
      <c r="L210" s="24">
        <v>2.121067</v>
      </c>
      <c r="M210" s="24">
        <v>17.681899999999999</v>
      </c>
      <c r="N210" s="24">
        <v>1.4246248164660469</v>
      </c>
      <c r="O210" s="24">
        <v>3.854166666666667</v>
      </c>
      <c r="P210" s="24">
        <v>0.62686567164179097</v>
      </c>
      <c r="Q210" s="24">
        <v>2.4248542367144093</v>
      </c>
      <c r="R210" s="24">
        <v>4.47</v>
      </c>
      <c r="S210" s="24">
        <v>1.9413025999157238</v>
      </c>
      <c r="T210" s="24">
        <v>2.6805375020384119</v>
      </c>
      <c r="U210" s="24" t="s">
        <v>3436</v>
      </c>
      <c r="V210">
        <v>0</v>
      </c>
      <c r="W210" s="21">
        <v>1</v>
      </c>
      <c r="X210" s="56" t="str">
        <f>IFERROR(VLOOKUP(A210,Output!A:F,6,0),"-")</f>
        <v>-</v>
      </c>
    </row>
    <row r="211" spans="1:24" hidden="1" x14ac:dyDescent="0.25">
      <c r="A211" s="21" t="s">
        <v>2132</v>
      </c>
      <c r="B211" s="40" t="s">
        <v>2133</v>
      </c>
      <c r="C211" s="21" t="s">
        <v>244</v>
      </c>
      <c r="D211" s="21" t="s">
        <v>73</v>
      </c>
      <c r="E211" s="21" t="s">
        <v>89</v>
      </c>
      <c r="F211" s="55">
        <v>9.8926165930481123E-4</v>
      </c>
      <c r="G211" s="24">
        <v>8.0788030000000006</v>
      </c>
      <c r="H211" s="24">
        <v>4.7708430000000002</v>
      </c>
      <c r="I211" s="24">
        <v>6.2399500000000003</v>
      </c>
      <c r="J211" s="24">
        <v>6.2774190000000001</v>
      </c>
      <c r="K211" s="24">
        <v>0.84040530000000002</v>
      </c>
      <c r="L211" s="24">
        <v>2.8041160000000001</v>
      </c>
      <c r="M211" s="24">
        <v>1.4136</v>
      </c>
      <c r="N211" s="24">
        <v>4.5421002604166656</v>
      </c>
      <c r="O211" s="24">
        <v>1.9587628865979381</v>
      </c>
      <c r="P211" s="24">
        <v>9.6373056994818658</v>
      </c>
      <c r="Q211" s="24">
        <v>0.30372595164575106</v>
      </c>
      <c r="R211" s="24">
        <v>4.4000000000000004</v>
      </c>
      <c r="S211" s="24">
        <v>3.9084681902209129</v>
      </c>
      <c r="T211" s="24">
        <v>1.1560693127885142</v>
      </c>
      <c r="U211" s="24" t="s">
        <v>3732</v>
      </c>
      <c r="V211">
        <v>0</v>
      </c>
      <c r="W211" s="21">
        <v>0</v>
      </c>
      <c r="X211" s="56" t="str">
        <f>IFERROR(VLOOKUP(A211,Output!A:F,6,0),"-")</f>
        <v>-</v>
      </c>
    </row>
    <row r="212" spans="1:24" hidden="1" x14ac:dyDescent="0.25">
      <c r="A212" s="21" t="s">
        <v>665</v>
      </c>
      <c r="B212" s="40" t="s">
        <v>666</v>
      </c>
      <c r="C212" s="21" t="s">
        <v>244</v>
      </c>
      <c r="D212" s="21" t="s">
        <v>73</v>
      </c>
      <c r="E212" s="21" t="s">
        <v>101</v>
      </c>
      <c r="F212" s="55">
        <v>9.8068268026491176E-4</v>
      </c>
      <c r="G212" s="24">
        <v>3.6371899999999999</v>
      </c>
      <c r="H212" s="24">
        <v>4.959403</v>
      </c>
      <c r="I212" s="24">
        <v>4.765199</v>
      </c>
      <c r="J212" s="24">
        <v>4.6172789999999999</v>
      </c>
      <c r="K212" s="24">
        <v>0.91672969999999998</v>
      </c>
      <c r="L212" s="24">
        <v>4.3008319999999998</v>
      </c>
      <c r="M212" s="24">
        <v>1935.836</v>
      </c>
      <c r="N212" s="24">
        <v>5.8699330016778726</v>
      </c>
      <c r="O212" s="24">
        <v>5.4081632653061229</v>
      </c>
      <c r="P212" s="24">
        <v>5.4667949777354963</v>
      </c>
      <c r="Q212" s="24">
        <v>3.522052583814693</v>
      </c>
      <c r="R212" s="24">
        <v>5.34</v>
      </c>
      <c r="S212" s="24">
        <v>5.2294813146919958</v>
      </c>
      <c r="T212" s="24">
        <v>1.1718810842471417</v>
      </c>
      <c r="U212" s="24" t="s">
        <v>2836</v>
      </c>
      <c r="V212">
        <v>0</v>
      </c>
      <c r="W212" s="21">
        <v>1</v>
      </c>
      <c r="X212" s="56" t="str">
        <f>IFERROR(VLOOKUP(A212,Output!A:F,6,0),"-")</f>
        <v>-</v>
      </c>
    </row>
    <row r="213" spans="1:24" hidden="1" x14ac:dyDescent="0.25">
      <c r="A213" s="21" t="s">
        <v>2665</v>
      </c>
      <c r="B213" s="40" t="s">
        <v>2666</v>
      </c>
      <c r="C213" s="21" t="s">
        <v>247</v>
      </c>
      <c r="D213" s="21" t="s">
        <v>74</v>
      </c>
      <c r="E213" s="21" t="s">
        <v>90</v>
      </c>
      <c r="F213" s="55">
        <v>9.7872295218631397E-4</v>
      </c>
      <c r="G213" s="24">
        <v>7.758813</v>
      </c>
      <c r="H213" s="24">
        <v>4.7209989999999999</v>
      </c>
      <c r="I213" s="24">
        <v>5.8812009999999999</v>
      </c>
      <c r="J213" s="24">
        <v>6.2841849999999999</v>
      </c>
      <c r="K213" s="24">
        <v>9.9523779999999995</v>
      </c>
      <c r="L213" s="24">
        <v>16.05245</v>
      </c>
      <c r="M213" s="24">
        <v>23.473700000000001</v>
      </c>
      <c r="N213" s="24">
        <v>0</v>
      </c>
      <c r="O213" s="24">
        <v>3.8947368421052628</v>
      </c>
      <c r="P213" s="24">
        <v>3.5319148936170213</v>
      </c>
      <c r="Q213" s="24">
        <v>8.1312838663242406</v>
      </c>
      <c r="R213" s="24">
        <v>6.48</v>
      </c>
      <c r="S213" s="24">
        <v>6.1433184786137618</v>
      </c>
      <c r="T213" s="24">
        <v>8.004879276767006E-2</v>
      </c>
      <c r="U213" s="24" t="s">
        <v>4082</v>
      </c>
      <c r="V213">
        <v>1</v>
      </c>
      <c r="W213" s="21">
        <v>0</v>
      </c>
      <c r="X213" s="56" t="str">
        <f>IFERROR(VLOOKUP(A213,Output!A:F,6,0),"-")</f>
        <v>-</v>
      </c>
    </row>
    <row r="214" spans="1:24" hidden="1" x14ac:dyDescent="0.25">
      <c r="A214" s="21" t="s">
        <v>2061</v>
      </c>
      <c r="B214" s="40" t="s">
        <v>2062</v>
      </c>
      <c r="C214" s="21" t="s">
        <v>244</v>
      </c>
      <c r="D214" s="21" t="s">
        <v>73</v>
      </c>
      <c r="E214" s="21" t="s">
        <v>103</v>
      </c>
      <c r="F214" s="55">
        <v>9.7333312147864252E-4</v>
      </c>
      <c r="G214" s="24">
        <v>3.8593090000000001</v>
      </c>
      <c r="H214" s="24">
        <v>8.0682860000000005</v>
      </c>
      <c r="I214" s="24">
        <v>6.5406230000000001</v>
      </c>
      <c r="J214" s="24">
        <v>5.9263960000000004</v>
      </c>
      <c r="K214" s="24">
        <v>0.85242050000000003</v>
      </c>
      <c r="L214" s="24">
        <v>24.94031</v>
      </c>
      <c r="M214" s="24">
        <v>37.024299999999997</v>
      </c>
      <c r="N214" s="24">
        <v>6.0515204478919689</v>
      </c>
      <c r="O214" s="24">
        <v>7.8571428571428568</v>
      </c>
      <c r="P214" s="24">
        <v>2.7237728305053817</v>
      </c>
      <c r="Q214" s="24">
        <v>10</v>
      </c>
      <c r="R214" s="24">
        <v>5.1100000000000003</v>
      </c>
      <c r="S214" s="24">
        <v>5.819515759412365</v>
      </c>
      <c r="T214" s="24">
        <v>1.0885384639506599</v>
      </c>
      <c r="U214" s="24" t="s">
        <v>3605</v>
      </c>
      <c r="V214">
        <v>0</v>
      </c>
      <c r="W214" s="21">
        <v>0</v>
      </c>
      <c r="X214" s="56" t="str">
        <f>IFERROR(VLOOKUP(A214,Output!A:F,6,0),"-")</f>
        <v>-</v>
      </c>
    </row>
    <row r="215" spans="1:24" hidden="1" x14ac:dyDescent="0.25">
      <c r="A215" s="21" t="s">
        <v>2023</v>
      </c>
      <c r="B215" s="40" t="s">
        <v>2024</v>
      </c>
      <c r="C215" s="21" t="s">
        <v>244</v>
      </c>
      <c r="D215" s="21" t="s">
        <v>73</v>
      </c>
      <c r="E215" s="21" t="s">
        <v>95</v>
      </c>
      <c r="F215" s="55">
        <v>9.6814863011120535E-4</v>
      </c>
      <c r="G215" s="21">
        <v>6.5596899999999998</v>
      </c>
      <c r="H215" s="21">
        <v>5.4369699999999996</v>
      </c>
      <c r="I215" s="21">
        <v>6.8115050000000004</v>
      </c>
      <c r="J215" s="21">
        <v>6.4106909999999999</v>
      </c>
      <c r="K215" s="24">
        <v>2.725552</v>
      </c>
      <c r="L215" s="24">
        <v>9.2198100000000007</v>
      </c>
      <c r="M215" s="24">
        <v>206.72810000000001</v>
      </c>
      <c r="N215" s="24">
        <v>9.589820982645449</v>
      </c>
      <c r="O215" s="24">
        <v>5.2577319587628866</v>
      </c>
      <c r="P215" s="69">
        <v>6.4214046822742468</v>
      </c>
      <c r="Q215" s="69">
        <v>5.5503022323298801</v>
      </c>
      <c r="R215" s="24">
        <v>5.76</v>
      </c>
      <c r="S215" s="24">
        <v>6.7525394777831274</v>
      </c>
      <c r="T215" s="24">
        <v>0.5173665858937424</v>
      </c>
      <c r="U215" s="24" t="s">
        <v>3675</v>
      </c>
      <c r="V215">
        <v>1</v>
      </c>
      <c r="W215" s="21">
        <v>0</v>
      </c>
      <c r="X215" s="56" t="str">
        <f>IFERROR(VLOOKUP(A215,Output!A:F,6,0),"-")</f>
        <v>-</v>
      </c>
    </row>
    <row r="216" spans="1:24" hidden="1" x14ac:dyDescent="0.25">
      <c r="A216" s="21" t="s">
        <v>1935</v>
      </c>
      <c r="B216" s="40" t="s">
        <v>1936</v>
      </c>
      <c r="C216" s="21" t="s">
        <v>244</v>
      </c>
      <c r="D216" s="21" t="s">
        <v>73</v>
      </c>
      <c r="E216" s="21" t="s">
        <v>92</v>
      </c>
      <c r="F216" s="55">
        <v>9.6552177554309654E-4</v>
      </c>
      <c r="G216" s="24">
        <v>3.7840310000000001</v>
      </c>
      <c r="H216" s="24">
        <v>5.3081639999999997</v>
      </c>
      <c r="I216" s="24">
        <v>3.5608230000000001</v>
      </c>
      <c r="J216" s="24">
        <v>4.1743079999999999</v>
      </c>
      <c r="K216" s="24">
        <v>0.75118419999999997</v>
      </c>
      <c r="L216" s="24">
        <v>3.1302750000000001</v>
      </c>
      <c r="M216" s="24">
        <v>26.356300000000001</v>
      </c>
      <c r="N216" s="24">
        <v>8.34043465909091</v>
      </c>
      <c r="O216" s="24">
        <v>8.6868686868686869</v>
      </c>
      <c r="P216" s="24">
        <v>8.6714727140207106</v>
      </c>
      <c r="Q216" s="24">
        <v>0.56242803291744103</v>
      </c>
      <c r="R216" s="24">
        <v>5.63</v>
      </c>
      <c r="S216" s="24">
        <v>5.0387432640127399</v>
      </c>
      <c r="T216" s="24">
        <v>1.1097880757323297</v>
      </c>
      <c r="U216" s="24" t="s">
        <v>3599</v>
      </c>
      <c r="V216">
        <v>0</v>
      </c>
      <c r="W216" s="21">
        <v>1</v>
      </c>
      <c r="X216" s="56" t="str">
        <f>IFERROR(VLOOKUP(A216,Output!A:F,6,0),"-")</f>
        <v>-</v>
      </c>
    </row>
    <row r="217" spans="1:24" hidden="1" x14ac:dyDescent="0.25">
      <c r="A217" s="21" t="s">
        <v>122</v>
      </c>
      <c r="B217" s="40" t="s">
        <v>190</v>
      </c>
      <c r="C217" s="21" t="s">
        <v>244</v>
      </c>
      <c r="D217" s="21" t="s">
        <v>73</v>
      </c>
      <c r="E217" s="21" t="s">
        <v>99</v>
      </c>
      <c r="F217" s="55">
        <v>9.6426086522895986E-4</v>
      </c>
      <c r="G217" s="24">
        <v>3.8027120000000001</v>
      </c>
      <c r="H217" s="24">
        <v>5.2064349999999999</v>
      </c>
      <c r="I217" s="24">
        <v>6.626163</v>
      </c>
      <c r="J217" s="24">
        <v>5.0708650000000004</v>
      </c>
      <c r="K217" s="24">
        <v>1.7796369999999999</v>
      </c>
      <c r="L217" s="24">
        <v>6.171564</v>
      </c>
      <c r="M217" s="24">
        <v>69.780299999999997</v>
      </c>
      <c r="N217" s="24">
        <v>4.3764794298720933</v>
      </c>
      <c r="O217" s="24">
        <v>2.7083333333333339</v>
      </c>
      <c r="P217" s="24">
        <v>6.0000000000000009</v>
      </c>
      <c r="Q217" s="24">
        <v>6.5882039645555182</v>
      </c>
      <c r="R217" s="24">
        <v>8.31</v>
      </c>
      <c r="S217" s="24">
        <v>6.2299976179222458</v>
      </c>
      <c r="T217" s="24">
        <v>1.7858378603263689</v>
      </c>
      <c r="U217" s="24" t="s">
        <v>2828</v>
      </c>
      <c r="V217">
        <v>0</v>
      </c>
      <c r="W217" s="21">
        <v>0</v>
      </c>
      <c r="X217" s="56" t="str">
        <f>IFERROR(VLOOKUP(A217,Output!A:F,6,0),"-")</f>
        <v>-</v>
      </c>
    </row>
    <row r="218" spans="1:24" hidden="1" x14ac:dyDescent="0.25">
      <c r="A218" s="21" t="s">
        <v>767</v>
      </c>
      <c r="B218" s="40" t="s">
        <v>768</v>
      </c>
      <c r="C218" s="21" t="s">
        <v>244</v>
      </c>
      <c r="D218" s="21" t="s">
        <v>73</v>
      </c>
      <c r="E218" s="21" t="s">
        <v>85</v>
      </c>
      <c r="F218" s="55">
        <v>9.6040620012277362E-4</v>
      </c>
      <c r="G218" s="24">
        <v>3.321072</v>
      </c>
      <c r="H218" s="24">
        <v>4.47865</v>
      </c>
      <c r="I218" s="24">
        <v>4.4052629999999997</v>
      </c>
      <c r="J218" s="24">
        <v>4.1056910000000002</v>
      </c>
      <c r="K218" s="24">
        <v>4.0049799999999998</v>
      </c>
      <c r="L218" s="24">
        <v>8.2174230000000001</v>
      </c>
      <c r="M218" s="24">
        <v>9.1890999999999998</v>
      </c>
      <c r="N218" s="24">
        <v>3.2269973958333331</v>
      </c>
      <c r="O218" s="24">
        <v>2.8865979381443294</v>
      </c>
      <c r="P218" s="24">
        <v>3.7823834196891197</v>
      </c>
      <c r="Q218" s="24">
        <v>5.0035867408710875</v>
      </c>
      <c r="R218" s="24">
        <v>6.37</v>
      </c>
      <c r="S218" s="24">
        <v>4.3011828227512989</v>
      </c>
      <c r="T218" s="24">
        <v>1.0644321880614362</v>
      </c>
      <c r="U218" s="24" t="s">
        <v>3708</v>
      </c>
      <c r="V218">
        <v>0</v>
      </c>
      <c r="W218" s="21">
        <v>1</v>
      </c>
      <c r="X218" s="56" t="str">
        <f>IFERROR(VLOOKUP(A218,Output!A:F,6,0),"-")</f>
        <v>-</v>
      </c>
    </row>
    <row r="219" spans="1:24" x14ac:dyDescent="0.25">
      <c r="A219" s="21" t="s">
        <v>2586</v>
      </c>
      <c r="B219" s="40" t="s">
        <v>2587</v>
      </c>
      <c r="C219" s="21" t="s">
        <v>248</v>
      </c>
      <c r="D219" s="21" t="s">
        <v>75</v>
      </c>
      <c r="E219" s="21" t="s">
        <v>92</v>
      </c>
      <c r="F219" s="55">
        <v>9.602423109580302E-4</v>
      </c>
      <c r="G219" s="21">
        <v>6.8137639999999999</v>
      </c>
      <c r="H219" s="21">
        <v>6.0175910000000004</v>
      </c>
      <c r="I219" s="21">
        <v>1.9732460000000001</v>
      </c>
      <c r="J219" s="21">
        <v>5.122757</v>
      </c>
      <c r="K219" s="24">
        <v>0.3504948</v>
      </c>
      <c r="L219" s="24">
        <v>5.4266769999999998</v>
      </c>
      <c r="M219" s="24">
        <v>20.4207</v>
      </c>
      <c r="N219" s="24">
        <v>7.0197121702719754</v>
      </c>
      <c r="O219" s="24">
        <v>9.0526315789473681</v>
      </c>
      <c r="P219" s="24">
        <v>10</v>
      </c>
      <c r="Q219" s="24">
        <v>1.9688745303137272</v>
      </c>
      <c r="R219" s="24">
        <v>1.77</v>
      </c>
      <c r="S219" s="24">
        <v>5.1557197594000064</v>
      </c>
      <c r="T219" s="24">
        <v>0.34903386083079346</v>
      </c>
      <c r="U219" s="24" t="s">
        <v>4006</v>
      </c>
      <c r="V219">
        <v>0</v>
      </c>
      <c r="W219" s="21">
        <v>0</v>
      </c>
      <c r="X219" s="56" t="str">
        <f>IFERROR(VLOOKUP(A219,Output!A:F,6,0),"-")</f>
        <v>-</v>
      </c>
    </row>
    <row r="220" spans="1:24" hidden="1" x14ac:dyDescent="0.25">
      <c r="A220" s="21" t="s">
        <v>332</v>
      </c>
      <c r="B220" s="40" t="s">
        <v>333</v>
      </c>
      <c r="C220" s="21" t="s">
        <v>258</v>
      </c>
      <c r="D220" s="21" t="s">
        <v>74</v>
      </c>
      <c r="E220" s="21" t="s">
        <v>85</v>
      </c>
      <c r="F220" s="55">
        <v>9.4923235961138185E-4</v>
      </c>
      <c r="G220" s="24">
        <v>4.5872950000000001</v>
      </c>
      <c r="H220" s="24">
        <v>5.8313110000000004</v>
      </c>
      <c r="I220" s="24">
        <v>6.0407489999999999</v>
      </c>
      <c r="J220" s="24">
        <v>5.531409</v>
      </c>
      <c r="K220" s="24">
        <v>6.0931800000000003</v>
      </c>
      <c r="L220" s="24">
        <v>20.60108</v>
      </c>
      <c r="M220" s="24">
        <v>13.2736</v>
      </c>
      <c r="N220" s="24">
        <v>6.7525006812088257</v>
      </c>
      <c r="O220" s="24">
        <v>10</v>
      </c>
      <c r="P220" s="24">
        <v>6.8157894736842106</v>
      </c>
      <c r="Q220" s="24">
        <v>7.8886449834619619</v>
      </c>
      <c r="R220" s="24">
        <v>6.47</v>
      </c>
      <c r="S220" s="24">
        <v>6.9856113303177274</v>
      </c>
      <c r="T220" s="24">
        <v>0.40263296021557676</v>
      </c>
      <c r="U220" s="24" t="s">
        <v>3959</v>
      </c>
      <c r="V220">
        <v>0</v>
      </c>
      <c r="W220" s="21">
        <v>0</v>
      </c>
      <c r="X220" s="56">
        <f>IFERROR(VLOOKUP(A220,Output!A:F,6,0),"-")</f>
        <v>4.9999999999999992E-3</v>
      </c>
    </row>
    <row r="221" spans="1:24" hidden="1" x14ac:dyDescent="0.25">
      <c r="A221" s="21" t="s">
        <v>150</v>
      </c>
      <c r="B221" s="40" t="s">
        <v>217</v>
      </c>
      <c r="C221" s="21" t="s">
        <v>258</v>
      </c>
      <c r="D221" s="21" t="s">
        <v>74</v>
      </c>
      <c r="E221" s="21" t="s">
        <v>103</v>
      </c>
      <c r="F221" s="55">
        <v>9.4454637702927509E-4</v>
      </c>
      <c r="G221" s="24">
        <v>5.0200139999999998</v>
      </c>
      <c r="H221" s="24">
        <v>6.7645460000000002</v>
      </c>
      <c r="I221" s="24">
        <v>5.4689439999999996</v>
      </c>
      <c r="J221" s="24">
        <v>5.6780530000000002</v>
      </c>
      <c r="K221" s="24">
        <v>6.1214930000000001</v>
      </c>
      <c r="L221" s="24">
        <v>26.108039999999999</v>
      </c>
      <c r="M221" s="24">
        <v>27.273299999999999</v>
      </c>
      <c r="N221" s="24">
        <v>3.7168145014668754</v>
      </c>
      <c r="O221" s="24">
        <v>8.8888888888888893</v>
      </c>
      <c r="P221" s="24">
        <v>7.1810089020771519</v>
      </c>
      <c r="Q221" s="24">
        <v>9.7106671180630872</v>
      </c>
      <c r="R221" s="24">
        <v>5.75</v>
      </c>
      <c r="S221" s="24">
        <v>7.1212633974221289</v>
      </c>
      <c r="T221" s="24">
        <v>0.71927118456179406</v>
      </c>
      <c r="U221" s="24" t="s">
        <v>2863</v>
      </c>
      <c r="V221">
        <v>0</v>
      </c>
      <c r="W221" s="21">
        <v>0</v>
      </c>
      <c r="X221" s="56">
        <f>IFERROR(VLOOKUP(A221,Output!A:F,6,0),"-")</f>
        <v>4.9999999999999429E-3</v>
      </c>
    </row>
    <row r="222" spans="1:24" hidden="1" x14ac:dyDescent="0.25">
      <c r="A222" s="21" t="s">
        <v>300</v>
      </c>
      <c r="B222" s="40" t="s">
        <v>301</v>
      </c>
      <c r="C222" s="21" t="s">
        <v>245</v>
      </c>
      <c r="D222" s="21" t="s">
        <v>73</v>
      </c>
      <c r="E222" s="21" t="s">
        <v>85</v>
      </c>
      <c r="F222" s="55">
        <v>9.3676481083146011E-4</v>
      </c>
      <c r="G222" s="24">
        <v>4.3724869999999996</v>
      </c>
      <c r="H222" s="24">
        <v>3.7232690000000002</v>
      </c>
      <c r="I222" s="24">
        <v>5.8502000000000001</v>
      </c>
      <c r="J222" s="24">
        <v>4.6624600000000003</v>
      </c>
      <c r="K222" s="24">
        <v>6.3368089999999997</v>
      </c>
      <c r="L222" s="24">
        <v>11.68233</v>
      </c>
      <c r="M222" s="24">
        <v>5.0624000000000002</v>
      </c>
      <c r="N222" s="24">
        <v>4.040799479166667</v>
      </c>
      <c r="O222" s="24">
        <v>1.2371134020618555</v>
      </c>
      <c r="P222" s="24">
        <v>4.3782383419689133</v>
      </c>
      <c r="Q222" s="24">
        <v>7.0899690526653387</v>
      </c>
      <c r="R222" s="24">
        <v>7.36</v>
      </c>
      <c r="S222" s="24">
        <v>6.7431460228895475</v>
      </c>
      <c r="T222" s="24">
        <v>0.86526577012727213</v>
      </c>
      <c r="U222" s="24" t="s">
        <v>3749</v>
      </c>
      <c r="V222">
        <v>0</v>
      </c>
      <c r="W222" s="21">
        <v>0</v>
      </c>
      <c r="X222" s="56" t="str">
        <f>IFERROR(VLOOKUP(A222,Output!A:F,6,0),"-")</f>
        <v>-</v>
      </c>
    </row>
    <row r="223" spans="1:24" hidden="1" x14ac:dyDescent="0.25">
      <c r="A223" s="21" t="s">
        <v>4374</v>
      </c>
      <c r="B223" s="40" t="s">
        <v>4375</v>
      </c>
      <c r="C223" s="21" t="s">
        <v>244</v>
      </c>
      <c r="D223" s="21" t="s">
        <v>73</v>
      </c>
      <c r="E223" s="21" t="s">
        <v>102</v>
      </c>
      <c r="F223" s="55">
        <v>9.365447828368047E-4</v>
      </c>
      <c r="G223" s="21">
        <v>7.0317109999999996</v>
      </c>
      <c r="H223" s="21">
        <v>5.263636</v>
      </c>
      <c r="I223" s="21">
        <v>4.6856780000000002</v>
      </c>
      <c r="J223" s="21">
        <v>6.2088890000000001</v>
      </c>
      <c r="K223" s="24">
        <v>0.73205370000000003</v>
      </c>
      <c r="L223" s="24">
        <v>6.5033940000000001</v>
      </c>
      <c r="M223" s="24">
        <v>501.40440000000001</v>
      </c>
      <c r="N223" s="24">
        <v>6.0552625204986823</v>
      </c>
      <c r="O223" s="24">
        <v>10</v>
      </c>
      <c r="P223" s="24">
        <v>5.8333333333333339</v>
      </c>
      <c r="Q223" s="24">
        <v>3.8182906801193055</v>
      </c>
      <c r="R223" s="24">
        <v>3.36</v>
      </c>
      <c r="S223" s="24">
        <v>4.0959058474319967</v>
      </c>
      <c r="T223" s="24">
        <v>1.0330698199814445</v>
      </c>
      <c r="U223" s="24" t="s">
        <v>4376</v>
      </c>
      <c r="V223">
        <v>0</v>
      </c>
      <c r="W223" s="21">
        <v>0</v>
      </c>
      <c r="X223" s="56" t="str">
        <f>IFERROR(VLOOKUP(A223,Output!A:F,6,0),"-")</f>
        <v>-</v>
      </c>
    </row>
    <row r="224" spans="1:24" x14ac:dyDescent="0.25">
      <c r="A224" s="21" t="s">
        <v>2594</v>
      </c>
      <c r="B224" s="40" t="s">
        <v>2595</v>
      </c>
      <c r="C224" s="21" t="s">
        <v>248</v>
      </c>
      <c r="D224" s="21" t="s">
        <v>75</v>
      </c>
      <c r="E224" s="21" t="s">
        <v>92</v>
      </c>
      <c r="F224" s="55">
        <v>9.2119161771362387E-4</v>
      </c>
      <c r="G224" s="24">
        <v>5.2623949999999997</v>
      </c>
      <c r="H224" s="24">
        <v>5.7007409999999998</v>
      </c>
      <c r="I224" s="24">
        <v>3.578649</v>
      </c>
      <c r="J224" s="24">
        <v>4.8887749999999999</v>
      </c>
      <c r="K224" s="24">
        <v>2.4819339999999999</v>
      </c>
      <c r="L224" s="24">
        <v>13.989890000000001</v>
      </c>
      <c r="M224" s="24">
        <v>67.901700000000005</v>
      </c>
      <c r="N224" s="24">
        <v>6.0840999825597875</v>
      </c>
      <c r="O224" s="24">
        <v>8.4210526315789469</v>
      </c>
      <c r="P224" s="24">
        <v>4.8228573795265186</v>
      </c>
      <c r="Q224" s="24">
        <v>6.2331517276106148</v>
      </c>
      <c r="R224" s="24">
        <v>5.88</v>
      </c>
      <c r="S224" s="24">
        <v>6.1184856289194638</v>
      </c>
      <c r="T224" s="24">
        <v>0.42808995504832908</v>
      </c>
      <c r="U224" s="24" t="s">
        <v>2865</v>
      </c>
      <c r="V224">
        <v>1</v>
      </c>
      <c r="W224" s="21">
        <v>0</v>
      </c>
      <c r="X224" s="56" t="str">
        <f>IFERROR(VLOOKUP(A224,Output!A:F,6,0),"-")</f>
        <v>-</v>
      </c>
    </row>
    <row r="225" spans="1:24" hidden="1" x14ac:dyDescent="0.25">
      <c r="A225" s="21" t="s">
        <v>363</v>
      </c>
      <c r="B225" s="40" t="s">
        <v>364</v>
      </c>
      <c r="C225" s="21" t="s">
        <v>250</v>
      </c>
      <c r="D225" s="21" t="s">
        <v>76</v>
      </c>
      <c r="E225" s="21" t="s">
        <v>85</v>
      </c>
      <c r="F225" s="55">
        <v>9.2083717847029007E-4</v>
      </c>
      <c r="G225" s="24">
        <v>7.2120490000000004</v>
      </c>
      <c r="H225" s="24">
        <v>6.0218449999999999</v>
      </c>
      <c r="I225" s="24">
        <v>6.875985</v>
      </c>
      <c r="J225" s="24">
        <v>6.6778550000000001</v>
      </c>
      <c r="K225" s="24">
        <v>5.4583890000000004</v>
      </c>
      <c r="L225" s="24">
        <v>8.6612939999999998</v>
      </c>
      <c r="M225" s="58">
        <v>6.5396000000000001</v>
      </c>
      <c r="N225" s="24">
        <v>0</v>
      </c>
      <c r="O225" s="24">
        <v>8.6904761904761916</v>
      </c>
      <c r="P225" s="24">
        <v>3.7413788787157847</v>
      </c>
      <c r="Q225" s="24">
        <v>7.8494408945686907</v>
      </c>
      <c r="R225" s="24">
        <v>6.02</v>
      </c>
      <c r="S225" s="24">
        <v>4.8228006012953877</v>
      </c>
      <c r="T225" s="24">
        <v>0.41594645200971075</v>
      </c>
      <c r="U225" s="24" t="s">
        <v>4052</v>
      </c>
      <c r="V225">
        <v>0</v>
      </c>
      <c r="W225" s="21">
        <v>0</v>
      </c>
      <c r="X225" s="56" t="str">
        <f>IFERROR(VLOOKUP(A225,Output!A:F,6,0),"-")</f>
        <v>-</v>
      </c>
    </row>
    <row r="226" spans="1:24" hidden="1" x14ac:dyDescent="0.25">
      <c r="A226" s="21" t="s">
        <v>2506</v>
      </c>
      <c r="B226" s="40" t="s">
        <v>4381</v>
      </c>
      <c r="C226" s="21" t="s">
        <v>244</v>
      </c>
      <c r="D226" s="21" t="s">
        <v>73</v>
      </c>
      <c r="E226" s="21" t="s">
        <v>88</v>
      </c>
      <c r="F226" s="55">
        <v>9.1749913144940594E-4</v>
      </c>
      <c r="G226" s="24">
        <v>4.0993880000000003</v>
      </c>
      <c r="H226" s="24">
        <v>6.3849299999999998</v>
      </c>
      <c r="I226" s="24">
        <v>7.1902819999999998</v>
      </c>
      <c r="J226" s="24">
        <v>5.8915329999999999</v>
      </c>
      <c r="K226" s="24">
        <v>1.6921170000000001</v>
      </c>
      <c r="L226" s="24">
        <v>7.7242150000000001</v>
      </c>
      <c r="M226" s="24">
        <v>1321.509</v>
      </c>
      <c r="N226" s="24">
        <v>8.4919502840909082</v>
      </c>
      <c r="O226" s="24">
        <v>9.5959595959595951</v>
      </c>
      <c r="P226" s="24">
        <v>7.8681771457541627</v>
      </c>
      <c r="Q226" s="24">
        <v>4.5916294133262543</v>
      </c>
      <c r="R226" s="24">
        <v>7.43</v>
      </c>
      <c r="S226" s="24">
        <v>7.5182474167433364</v>
      </c>
      <c r="T226" s="24">
        <v>0.70901180743409542</v>
      </c>
      <c r="U226" s="24" t="s">
        <v>4536</v>
      </c>
      <c r="V226">
        <v>0</v>
      </c>
      <c r="W226" s="21">
        <v>0</v>
      </c>
      <c r="X226" s="56">
        <f>IFERROR(VLOOKUP(A226,Output!A:F,6,0),"-")</f>
        <v>2E-3</v>
      </c>
    </row>
    <row r="227" spans="1:24" hidden="1" x14ac:dyDescent="0.25">
      <c r="A227" s="21" t="s">
        <v>1949</v>
      </c>
      <c r="B227" s="40" t="s">
        <v>1950</v>
      </c>
      <c r="C227" s="21" t="s">
        <v>244</v>
      </c>
      <c r="D227" s="21" t="s">
        <v>73</v>
      </c>
      <c r="E227" s="21" t="s">
        <v>87</v>
      </c>
      <c r="F227" s="55">
        <v>9.142296985539699E-4</v>
      </c>
      <c r="G227" s="21">
        <v>6.6856999999999998</v>
      </c>
      <c r="H227" s="21">
        <v>6.2547969999999999</v>
      </c>
      <c r="I227" s="21">
        <v>5.5052380000000003</v>
      </c>
      <c r="J227" s="21">
        <v>6.1485779999999997</v>
      </c>
      <c r="K227" s="24">
        <v>0.99725600000000003</v>
      </c>
      <c r="L227" s="24">
        <v>3.3115619999999999</v>
      </c>
      <c r="M227" s="24">
        <v>36.885399999999997</v>
      </c>
      <c r="N227" s="24">
        <v>4.9251030436520162</v>
      </c>
      <c r="O227" s="24">
        <v>10</v>
      </c>
      <c r="P227" s="24">
        <v>5.8888888888888893</v>
      </c>
      <c r="Q227" s="24">
        <v>0.83143791987614946</v>
      </c>
      <c r="R227" s="24">
        <v>3.68</v>
      </c>
      <c r="S227" s="24">
        <v>4.0338528035662558</v>
      </c>
      <c r="T227" s="24">
        <v>0.72208654736867206</v>
      </c>
      <c r="U227" s="24" t="s">
        <v>3634</v>
      </c>
      <c r="V227">
        <v>0</v>
      </c>
      <c r="W227" s="21">
        <v>0</v>
      </c>
      <c r="X227" s="56" t="str">
        <f>IFERROR(VLOOKUP(A227,Output!A:F,6,0),"-")</f>
        <v>-</v>
      </c>
    </row>
    <row r="228" spans="1:24" hidden="1" x14ac:dyDescent="0.25">
      <c r="A228" s="21" t="s">
        <v>2659</v>
      </c>
      <c r="B228" s="40" t="s">
        <v>2660</v>
      </c>
      <c r="C228" s="21" t="s">
        <v>247</v>
      </c>
      <c r="D228" s="21" t="s">
        <v>74</v>
      </c>
      <c r="E228" s="21" t="s">
        <v>86</v>
      </c>
      <c r="F228" s="55">
        <v>9.1326889958325225E-4</v>
      </c>
      <c r="G228" s="24">
        <v>6.05002</v>
      </c>
      <c r="H228" s="24">
        <v>4.8388910000000003</v>
      </c>
      <c r="I228" s="24">
        <v>3.3026309999999999</v>
      </c>
      <c r="J228" s="24">
        <v>4.7305140000000003</v>
      </c>
      <c r="K228" s="24">
        <v>2.8826770000000002</v>
      </c>
      <c r="L228" s="24">
        <v>6.8407159999999996</v>
      </c>
      <c r="M228" s="24">
        <v>133.32050000000001</v>
      </c>
      <c r="N228" s="24">
        <v>7.6118602065131054</v>
      </c>
      <c r="O228" s="24">
        <v>2.3711340206185563</v>
      </c>
      <c r="P228" s="24">
        <v>5.6721311475409832</v>
      </c>
      <c r="Q228" s="24">
        <v>7.2003296858966435</v>
      </c>
      <c r="R228" s="24">
        <v>3.57</v>
      </c>
      <c r="S228" s="24">
        <v>5.8565764941759006</v>
      </c>
      <c r="T228" s="24">
        <v>0.54800412287413691</v>
      </c>
      <c r="U228" s="24" t="s">
        <v>4050</v>
      </c>
      <c r="V228">
        <v>1</v>
      </c>
      <c r="W228" s="21">
        <v>0</v>
      </c>
      <c r="X228" s="56" t="str">
        <f>IFERROR(VLOOKUP(A228,Output!A:F,6,0),"-")</f>
        <v>-</v>
      </c>
    </row>
    <row r="229" spans="1:24" hidden="1" x14ac:dyDescent="0.25">
      <c r="A229" s="21" t="s">
        <v>1973</v>
      </c>
      <c r="B229" s="40" t="s">
        <v>1974</v>
      </c>
      <c r="C229" s="21" t="s">
        <v>244</v>
      </c>
      <c r="D229" s="21" t="s">
        <v>73</v>
      </c>
      <c r="E229" s="21" t="s">
        <v>99</v>
      </c>
      <c r="F229" s="55">
        <v>8.9905641914384091E-4</v>
      </c>
      <c r="G229" s="24">
        <v>4.0636359999999998</v>
      </c>
      <c r="H229" s="24">
        <v>5.156854</v>
      </c>
      <c r="I229" s="24">
        <v>4.8645290000000001</v>
      </c>
      <c r="J229" s="24">
        <v>4.6950060000000002</v>
      </c>
      <c r="K229" s="24">
        <v>0.51223470000000004</v>
      </c>
      <c r="L229" s="24">
        <v>3.4083079999999999</v>
      </c>
      <c r="M229" s="24">
        <v>6.2519</v>
      </c>
      <c r="N229" s="24">
        <v>3.0564331536253468</v>
      </c>
      <c r="O229" s="24">
        <v>3.3333333333333339</v>
      </c>
      <c r="P229" s="24">
        <v>3.283582089552239</v>
      </c>
      <c r="Q229" s="24">
        <v>4.5435492360647238</v>
      </c>
      <c r="R229" s="24">
        <v>6.03</v>
      </c>
      <c r="S229" s="24">
        <v>4.9713486704775898</v>
      </c>
      <c r="T229" s="24">
        <v>1.0599772384288315</v>
      </c>
      <c r="U229" s="24" t="s">
        <v>3678</v>
      </c>
      <c r="V229">
        <v>0</v>
      </c>
      <c r="W229" s="21">
        <v>0</v>
      </c>
      <c r="X229" s="56" t="str">
        <f>IFERROR(VLOOKUP(A229,Output!A:F,6,0),"-")</f>
        <v>-</v>
      </c>
    </row>
    <row r="230" spans="1:24" hidden="1" x14ac:dyDescent="0.25">
      <c r="A230" s="21" t="s">
        <v>1892</v>
      </c>
      <c r="B230" s="40" t="s">
        <v>1893</v>
      </c>
      <c r="C230" s="21" t="s">
        <v>244</v>
      </c>
      <c r="D230" s="21" t="s">
        <v>73</v>
      </c>
      <c r="E230" s="21" t="s">
        <v>89</v>
      </c>
      <c r="F230" s="55">
        <v>8.9801724714713477E-4</v>
      </c>
      <c r="G230" s="24">
        <v>6.4787540000000003</v>
      </c>
      <c r="H230" s="24">
        <v>6.0995710000000001</v>
      </c>
      <c r="I230" s="24">
        <v>7.3369929999999997</v>
      </c>
      <c r="J230" s="24">
        <v>6.6464230000000004</v>
      </c>
      <c r="K230" s="24">
        <v>0.71877919999999995</v>
      </c>
      <c r="L230" s="24">
        <v>6.1533579999999999</v>
      </c>
      <c r="M230" s="24">
        <v>0.89759999999999995</v>
      </c>
      <c r="N230" s="57">
        <v>7.391492187499999</v>
      </c>
      <c r="O230" s="24">
        <v>9.1752577319587623</v>
      </c>
      <c r="P230" s="24">
        <v>7.8756476683937837</v>
      </c>
      <c r="Q230" s="24">
        <v>2.1997414607844501</v>
      </c>
      <c r="R230" s="24">
        <v>2.17</v>
      </c>
      <c r="S230" s="24">
        <v>4.3523052714985573</v>
      </c>
      <c r="T230" s="24">
        <v>1.6465845774530234</v>
      </c>
      <c r="U230" s="24" t="s">
        <v>3610</v>
      </c>
      <c r="V230">
        <v>0</v>
      </c>
      <c r="W230" s="21">
        <v>0</v>
      </c>
      <c r="X230" s="56" t="str">
        <f>IFERROR(VLOOKUP(A230,Output!A:F,6,0),"-")</f>
        <v>-</v>
      </c>
    </row>
    <row r="231" spans="1:24" x14ac:dyDescent="0.25">
      <c r="A231" s="21" t="s">
        <v>2641</v>
      </c>
      <c r="B231" s="40" t="s">
        <v>2642</v>
      </c>
      <c r="C231" s="21" t="s">
        <v>248</v>
      </c>
      <c r="D231" s="21" t="s">
        <v>75</v>
      </c>
      <c r="E231" s="21" t="s">
        <v>100</v>
      </c>
      <c r="F231" s="55">
        <v>8.9557953415650752E-4</v>
      </c>
      <c r="G231" s="24">
        <v>4.5281260000000003</v>
      </c>
      <c r="H231" s="24">
        <v>3.9854859999999999</v>
      </c>
      <c r="I231" s="24">
        <v>4.0498279999999998</v>
      </c>
      <c r="J231" s="24">
        <v>4.1878130000000002</v>
      </c>
      <c r="K231" s="24">
        <v>0.50022739999999999</v>
      </c>
      <c r="L231" s="24">
        <v>1.6082540000000001</v>
      </c>
      <c r="M231" s="24">
        <v>22.0639</v>
      </c>
      <c r="N231" s="24">
        <v>7.1834373716632429</v>
      </c>
      <c r="O231" s="24">
        <v>10</v>
      </c>
      <c r="P231" s="24">
        <v>0</v>
      </c>
      <c r="Q231" s="24">
        <v>0</v>
      </c>
      <c r="R231" s="24">
        <v>1.95</v>
      </c>
      <c r="S231" s="24">
        <v>1.0775156057494863</v>
      </c>
      <c r="T231" s="24">
        <v>0.44948801571190933</v>
      </c>
      <c r="U231" s="24" t="s">
        <v>4040</v>
      </c>
      <c r="V231">
        <v>0</v>
      </c>
      <c r="W231" s="21">
        <v>1</v>
      </c>
      <c r="X231" s="56" t="str">
        <f>IFERROR(VLOOKUP(A231,Output!A:F,6,0),"-")</f>
        <v>-</v>
      </c>
    </row>
    <row r="232" spans="1:24" hidden="1" x14ac:dyDescent="0.25">
      <c r="A232" s="21" t="s">
        <v>1656</v>
      </c>
      <c r="B232" s="40" t="s">
        <v>1657</v>
      </c>
      <c r="C232" s="21" t="s">
        <v>244</v>
      </c>
      <c r="D232" s="21" t="s">
        <v>73</v>
      </c>
      <c r="E232" s="21" t="s">
        <v>93</v>
      </c>
      <c r="F232" s="55">
        <v>8.9161369806993972E-4</v>
      </c>
      <c r="G232" s="21">
        <v>4.5262339999999996</v>
      </c>
      <c r="H232" s="21">
        <v>3.0813920000000001</v>
      </c>
      <c r="I232" s="21">
        <v>4.3021209999999996</v>
      </c>
      <c r="J232" s="21">
        <v>3.9420989999999998</v>
      </c>
      <c r="K232" s="24">
        <v>1.980869</v>
      </c>
      <c r="L232" s="24">
        <v>10.85613</v>
      </c>
      <c r="M232" s="24">
        <v>1.9739</v>
      </c>
      <c r="N232" s="24">
        <v>5.4134114583333321</v>
      </c>
      <c r="O232" s="24">
        <v>4.6391752577319583</v>
      </c>
      <c r="P232" s="24">
        <v>2.9533678756476691</v>
      </c>
      <c r="Q232" s="24">
        <v>8.1546840976112378</v>
      </c>
      <c r="R232" s="24">
        <v>4.2</v>
      </c>
      <c r="S232" s="24">
        <v>6.293209657832664</v>
      </c>
      <c r="T232" s="24">
        <v>0.93584938609833057</v>
      </c>
      <c r="U232" s="24" t="s">
        <v>3499</v>
      </c>
      <c r="V232">
        <v>0</v>
      </c>
      <c r="W232" s="21">
        <v>1</v>
      </c>
      <c r="X232" s="56" t="str">
        <f>IFERROR(VLOOKUP(A232,Output!A:F,6,0),"-")</f>
        <v>-</v>
      </c>
    </row>
    <row r="233" spans="1:24" hidden="1" x14ac:dyDescent="0.25">
      <c r="A233" s="21" t="s">
        <v>1965</v>
      </c>
      <c r="B233" s="40" t="s">
        <v>1966</v>
      </c>
      <c r="C233" s="21" t="s">
        <v>244</v>
      </c>
      <c r="D233" s="21" t="s">
        <v>73</v>
      </c>
      <c r="E233" s="21" t="s">
        <v>100</v>
      </c>
      <c r="F233" s="55">
        <v>8.9083358967005015E-4</v>
      </c>
      <c r="G233" s="24">
        <v>5.4018030000000001</v>
      </c>
      <c r="H233" s="24">
        <v>5.9753889999999998</v>
      </c>
      <c r="I233" s="24">
        <v>5.9226539999999996</v>
      </c>
      <c r="J233" s="24">
        <v>5.7301339999999996</v>
      </c>
      <c r="K233" s="24">
        <v>0.99634889999999998</v>
      </c>
      <c r="L233" s="24">
        <v>4.172739</v>
      </c>
      <c r="M233" s="24">
        <v>9.3129000000000008</v>
      </c>
      <c r="N233" s="24">
        <v>8.7192113173450423</v>
      </c>
      <c r="O233" s="24">
        <v>9.4444444444444446</v>
      </c>
      <c r="P233" s="24">
        <v>8.8854489164086665</v>
      </c>
      <c r="Q233" s="24">
        <v>0.96270017105087657</v>
      </c>
      <c r="R233" s="24">
        <v>4.22</v>
      </c>
      <c r="S233" s="24">
        <v>5.391288477111944</v>
      </c>
      <c r="T233" s="24">
        <v>0.7976239880659477</v>
      </c>
      <c r="U233" s="24" t="s">
        <v>3673</v>
      </c>
      <c r="V233">
        <v>0</v>
      </c>
      <c r="W233" s="21">
        <v>0</v>
      </c>
      <c r="X233" s="56" t="str">
        <f>IFERROR(VLOOKUP(A233,Output!A:F,6,0),"-")</f>
        <v>-</v>
      </c>
    </row>
    <row r="234" spans="1:24" x14ac:dyDescent="0.25">
      <c r="A234" s="21" t="s">
        <v>2688</v>
      </c>
      <c r="B234" s="40" t="s">
        <v>2689</v>
      </c>
      <c r="C234" s="21" t="s">
        <v>248</v>
      </c>
      <c r="D234" s="21" t="s">
        <v>75</v>
      </c>
      <c r="E234" s="21" t="s">
        <v>91</v>
      </c>
      <c r="F234" s="55">
        <v>8.88069305636601E-4</v>
      </c>
      <c r="G234" s="24">
        <v>5.9013859999999996</v>
      </c>
      <c r="H234" s="24">
        <v>7.4276229999999996</v>
      </c>
      <c r="I234" s="24">
        <v>5.6060930000000004</v>
      </c>
      <c r="J234" s="24">
        <v>6.393764</v>
      </c>
      <c r="K234" s="24">
        <v>1.0318670000000001</v>
      </c>
      <c r="L234" s="24">
        <v>1.6097129999999999</v>
      </c>
      <c r="M234" s="24">
        <v>26.709</v>
      </c>
      <c r="N234" s="24">
        <v>9.5898719153469596</v>
      </c>
      <c r="O234" s="24">
        <v>8.3333333333333339</v>
      </c>
      <c r="P234" s="24">
        <v>6.3385826771653537</v>
      </c>
      <c r="Q234" s="24">
        <v>1.0479652609165002</v>
      </c>
      <c r="R234" s="24">
        <v>6.72</v>
      </c>
      <c r="S234" s="24">
        <v>4.179147974975681</v>
      </c>
      <c r="T234" s="24">
        <v>0.29714284585047063</v>
      </c>
      <c r="U234" s="24" t="s">
        <v>4033</v>
      </c>
      <c r="V234">
        <v>0</v>
      </c>
      <c r="W234" s="21">
        <v>0</v>
      </c>
      <c r="X234" s="56" t="str">
        <f>IFERROR(VLOOKUP(A234,Output!A:F,6,0),"-")</f>
        <v>-</v>
      </c>
    </row>
    <row r="235" spans="1:24" hidden="1" x14ac:dyDescent="0.25">
      <c r="A235" s="21" t="s">
        <v>1999</v>
      </c>
      <c r="B235" s="40" t="s">
        <v>2000</v>
      </c>
      <c r="C235" s="21" t="s">
        <v>244</v>
      </c>
      <c r="D235" s="21" t="s">
        <v>73</v>
      </c>
      <c r="E235" s="21" t="s">
        <v>91</v>
      </c>
      <c r="F235" s="55">
        <v>8.7969808051026495E-4</v>
      </c>
      <c r="G235" s="24">
        <v>5.416595</v>
      </c>
      <c r="H235" s="24">
        <v>6.100174</v>
      </c>
      <c r="I235" s="24">
        <v>5.2107029999999996</v>
      </c>
      <c r="J235" s="24">
        <v>5.6076699999999997</v>
      </c>
      <c r="K235" s="24">
        <v>0</v>
      </c>
      <c r="L235" s="24">
        <v>3.7081249999999999</v>
      </c>
      <c r="M235" s="24">
        <v>10.3803</v>
      </c>
      <c r="N235" s="24">
        <v>6.7439718260416237</v>
      </c>
      <c r="O235" s="24">
        <v>5.2525252525252526</v>
      </c>
      <c r="P235" s="24">
        <v>9.2827442857266362</v>
      </c>
      <c r="Q235" s="24">
        <v>2.1537638556991907</v>
      </c>
      <c r="R235" s="24" t="e">
        <v>#N/A</v>
      </c>
      <c r="S235" s="24">
        <v>4.3204083278540146</v>
      </c>
      <c r="T235" s="24">
        <v>0.92212745900899595</v>
      </c>
      <c r="U235" s="24" t="s">
        <v>3696</v>
      </c>
      <c r="V235">
        <v>0</v>
      </c>
      <c r="W235" s="21">
        <v>0</v>
      </c>
      <c r="X235" s="56" t="str">
        <f>IFERROR(VLOOKUP(A235,Output!A:F,6,0),"-")</f>
        <v>-</v>
      </c>
    </row>
    <row r="236" spans="1:24" hidden="1" x14ac:dyDescent="0.25">
      <c r="A236" s="21" t="s">
        <v>1867</v>
      </c>
      <c r="B236" s="40" t="s">
        <v>1868</v>
      </c>
      <c r="C236" s="21" t="s">
        <v>244</v>
      </c>
      <c r="D236" s="21" t="s">
        <v>73</v>
      </c>
      <c r="E236" s="21" t="s">
        <v>99</v>
      </c>
      <c r="F236" s="55">
        <v>8.7769680164895443E-4</v>
      </c>
      <c r="G236" s="24">
        <v>5.5373419999999998</v>
      </c>
      <c r="H236" s="24">
        <v>5.6023670000000001</v>
      </c>
      <c r="I236" s="24">
        <v>4.9332200000000004</v>
      </c>
      <c r="J236" s="24">
        <v>5.3576430000000004</v>
      </c>
      <c r="K236" s="24">
        <v>0</v>
      </c>
      <c r="L236" s="24">
        <v>2.3275920000000001</v>
      </c>
      <c r="M236" s="24">
        <v>13.3972</v>
      </c>
      <c r="N236" s="24">
        <v>7.2040258251006959</v>
      </c>
      <c r="O236" s="24">
        <v>6.4583333333333339</v>
      </c>
      <c r="P236" s="24">
        <v>5.7313432835820901</v>
      </c>
      <c r="Q236" s="24">
        <v>2.6560121462644917</v>
      </c>
      <c r="R236" s="24" t="e">
        <v>#N/A</v>
      </c>
      <c r="S236" s="24">
        <v>4.2807230702190235</v>
      </c>
      <c r="T236" s="24">
        <v>1.4289811604375027</v>
      </c>
      <c r="U236" s="24" t="s">
        <v>3521</v>
      </c>
      <c r="V236">
        <v>0</v>
      </c>
      <c r="W236" s="21">
        <v>0</v>
      </c>
      <c r="X236" s="56" t="str">
        <f>IFERROR(VLOOKUP(A236,Output!A:F,6,0),"-")</f>
        <v>-</v>
      </c>
    </row>
    <row r="237" spans="1:24" hidden="1" x14ac:dyDescent="0.25">
      <c r="A237" s="21" t="s">
        <v>1727</v>
      </c>
      <c r="B237" s="40" t="s">
        <v>1728</v>
      </c>
      <c r="C237" s="21" t="s">
        <v>244</v>
      </c>
      <c r="D237" s="21" t="s">
        <v>73</v>
      </c>
      <c r="E237" s="21" t="s">
        <v>101</v>
      </c>
      <c r="F237" s="55">
        <v>8.7760595332742985E-4</v>
      </c>
      <c r="G237" s="24">
        <v>5.1336009999999996</v>
      </c>
      <c r="H237" s="24">
        <v>3.6995499999999999</v>
      </c>
      <c r="I237" s="24">
        <v>7.2063360000000003</v>
      </c>
      <c r="J237" s="24">
        <v>5.3890750000000001</v>
      </c>
      <c r="K237" s="24">
        <v>0.30903209999999998</v>
      </c>
      <c r="L237" s="24">
        <v>4.021255</v>
      </c>
      <c r="M237" s="24">
        <v>220.62559999999999</v>
      </c>
      <c r="N237" s="24">
        <v>6.0557442661730176</v>
      </c>
      <c r="O237" s="24">
        <v>8.2653061224489797</v>
      </c>
      <c r="P237" s="24">
        <v>5.1588061411311115</v>
      </c>
      <c r="Q237" s="24">
        <v>2.1453729298278845</v>
      </c>
      <c r="R237" s="24">
        <v>4.6399999999999997</v>
      </c>
      <c r="S237" s="24">
        <v>4.8390074132603154</v>
      </c>
      <c r="T237" s="24">
        <v>1.1262447063508723</v>
      </c>
      <c r="U237" s="24" t="s">
        <v>3510</v>
      </c>
      <c r="V237">
        <v>0</v>
      </c>
      <c r="W237" s="21">
        <v>0</v>
      </c>
      <c r="X237" s="56" t="str">
        <f>IFERROR(VLOOKUP(A237,Output!A:F,6,0),"-")</f>
        <v>-</v>
      </c>
    </row>
    <row r="238" spans="1:24" hidden="1" x14ac:dyDescent="0.25">
      <c r="A238" s="21" t="s">
        <v>1880</v>
      </c>
      <c r="B238" s="40" t="s">
        <v>1881</v>
      </c>
      <c r="C238" s="21" t="s">
        <v>244</v>
      </c>
      <c r="D238" s="21" t="s">
        <v>73</v>
      </c>
      <c r="E238" s="21" t="s">
        <v>98</v>
      </c>
      <c r="F238" s="55">
        <v>8.7572862256370294E-4</v>
      </c>
      <c r="G238" s="24">
        <v>4.1050449999999996</v>
      </c>
      <c r="H238" s="24">
        <v>5.9993619999999996</v>
      </c>
      <c r="I238" s="24">
        <v>6.3471570000000002</v>
      </c>
      <c r="J238" s="24">
        <v>5.7596160000000003</v>
      </c>
      <c r="K238" s="24">
        <v>0</v>
      </c>
      <c r="L238" s="24">
        <v>6.3098479999999997</v>
      </c>
      <c r="M238" s="24">
        <v>35.922400000000003</v>
      </c>
      <c r="N238" s="24">
        <v>7.4725515156337021</v>
      </c>
      <c r="O238" s="24">
        <v>7.2448979591836737</v>
      </c>
      <c r="P238" s="24">
        <v>6.6987491691963399</v>
      </c>
      <c r="Q238" s="24">
        <v>4.6143317496116341</v>
      </c>
      <c r="R238" s="24" t="e">
        <v>#N/A</v>
      </c>
      <c r="S238" s="24">
        <v>5.5307216287097276</v>
      </c>
      <c r="T238" s="24">
        <v>0.83821221935111101</v>
      </c>
      <c r="U238" s="24" t="s">
        <v>2833</v>
      </c>
      <c r="V238">
        <v>0</v>
      </c>
      <c r="W238" s="21">
        <v>0</v>
      </c>
      <c r="X238" s="56" t="str">
        <f>IFERROR(VLOOKUP(A238,Output!A:F,6,0),"-")</f>
        <v>-</v>
      </c>
    </row>
    <row r="239" spans="1:24" hidden="1" x14ac:dyDescent="0.25">
      <c r="A239" s="21" t="s">
        <v>2021</v>
      </c>
      <c r="B239" s="40" t="s">
        <v>2022</v>
      </c>
      <c r="C239" s="21" t="s">
        <v>244</v>
      </c>
      <c r="D239" s="21" t="s">
        <v>73</v>
      </c>
      <c r="E239" s="21" t="s">
        <v>92</v>
      </c>
      <c r="F239" s="55">
        <v>8.7541784685474515E-4</v>
      </c>
      <c r="G239" s="24">
        <v>4.1397349999999999</v>
      </c>
      <c r="H239" s="24">
        <v>2.6901079999999999</v>
      </c>
      <c r="I239" s="24">
        <v>4.6107329999999997</v>
      </c>
      <c r="J239" s="24">
        <v>3.8461460000000001</v>
      </c>
      <c r="K239" s="24">
        <v>2.1988400000000001</v>
      </c>
      <c r="L239" s="24">
        <v>5.2103919999999997</v>
      </c>
      <c r="M239" s="24">
        <v>17.881499999999999</v>
      </c>
      <c r="N239" s="24">
        <v>2.7320071022727275</v>
      </c>
      <c r="O239" s="24">
        <v>1.9191919191919191</v>
      </c>
      <c r="P239" s="24">
        <v>3.9134912712111585</v>
      </c>
      <c r="Q239" s="24">
        <v>4.076807008229359</v>
      </c>
      <c r="R239" s="24">
        <v>7</v>
      </c>
      <c r="S239" s="24">
        <v>4.5492839679412382</v>
      </c>
      <c r="T239" s="24">
        <v>0.99300977304735871</v>
      </c>
      <c r="U239" s="24" t="s">
        <v>3612</v>
      </c>
      <c r="V239">
        <v>0</v>
      </c>
      <c r="W239" s="21">
        <v>1</v>
      </c>
      <c r="X239" s="56" t="str">
        <f>IFERROR(VLOOKUP(A239,Output!A:F,6,0),"-")</f>
        <v>-</v>
      </c>
    </row>
    <row r="240" spans="1:24" x14ac:dyDescent="0.25">
      <c r="A240" s="21" t="s">
        <v>2590</v>
      </c>
      <c r="B240" s="40" t="s">
        <v>2591</v>
      </c>
      <c r="C240" s="21" t="s">
        <v>248</v>
      </c>
      <c r="D240" s="21" t="s">
        <v>75</v>
      </c>
      <c r="E240" s="21" t="s">
        <v>103</v>
      </c>
      <c r="F240" s="55">
        <v>8.6380918192958977E-4</v>
      </c>
      <c r="G240" s="24">
        <v>4.0068130000000002</v>
      </c>
      <c r="H240" s="24">
        <v>5.4092909999999996</v>
      </c>
      <c r="I240" s="24">
        <v>5.2776839999999998</v>
      </c>
      <c r="J240" s="24">
        <v>4.8088170000000003</v>
      </c>
      <c r="K240" s="24">
        <v>3.248297</v>
      </c>
      <c r="L240" s="24">
        <v>16.018190000000001</v>
      </c>
      <c r="M240" s="24">
        <v>43.42</v>
      </c>
      <c r="N240" s="24">
        <v>8.2016271043122657</v>
      </c>
      <c r="O240" s="24">
        <v>7.5268817204301079</v>
      </c>
      <c r="P240" s="24">
        <v>1.666666666666667</v>
      </c>
      <c r="Q240" s="24">
        <v>8.1622429686141746</v>
      </c>
      <c r="R240" s="24">
        <v>6.98</v>
      </c>
      <c r="S240" s="24">
        <v>6.7282307303750235</v>
      </c>
      <c r="T240" s="24">
        <v>0.48618477662405718</v>
      </c>
      <c r="U240" s="24" t="s">
        <v>4009</v>
      </c>
      <c r="V240">
        <v>0</v>
      </c>
      <c r="W240" s="21">
        <v>0</v>
      </c>
      <c r="X240" s="56" t="str">
        <f>IFERROR(VLOOKUP(A240,Output!A:F,6,0),"-")</f>
        <v>-</v>
      </c>
    </row>
    <row r="241" spans="1:24" hidden="1" x14ac:dyDescent="0.25">
      <c r="A241" s="21" t="s">
        <v>147</v>
      </c>
      <c r="B241" s="40" t="s">
        <v>215</v>
      </c>
      <c r="C241" s="21" t="s">
        <v>250</v>
      </c>
      <c r="D241" s="21" t="s">
        <v>76</v>
      </c>
      <c r="E241" s="21" t="s">
        <v>85</v>
      </c>
      <c r="F241" s="55">
        <v>8.5820727119780612E-4</v>
      </c>
      <c r="G241" s="24">
        <v>6.0563729999999998</v>
      </c>
      <c r="H241" s="24">
        <v>5.249085</v>
      </c>
      <c r="I241" s="24">
        <v>6.0616849999999998</v>
      </c>
      <c r="J241" s="24">
        <v>5.7756809999999996</v>
      </c>
      <c r="K241" s="24">
        <v>5.4762659999999999</v>
      </c>
      <c r="L241" s="24">
        <v>8.5677160000000008</v>
      </c>
      <c r="M241" s="24">
        <v>9.9109999999999996</v>
      </c>
      <c r="N241" s="24">
        <v>2.8384301310043676</v>
      </c>
      <c r="O241" s="24">
        <v>10</v>
      </c>
      <c r="P241" s="24">
        <v>3.1206891807371848</v>
      </c>
      <c r="Q241" s="24">
        <v>9.9820287539936121</v>
      </c>
      <c r="R241" s="24">
        <v>6.37</v>
      </c>
      <c r="S241" s="24">
        <v>6.6861264845525934</v>
      </c>
      <c r="T241" s="24">
        <v>0.50195712366812029</v>
      </c>
      <c r="U241" s="24" t="s">
        <v>4026</v>
      </c>
      <c r="V241">
        <v>0</v>
      </c>
      <c r="W241" s="21">
        <v>0</v>
      </c>
      <c r="X241" s="56" t="str">
        <f>IFERROR(VLOOKUP(A241,Output!A:F,6,0),"-")</f>
        <v>-</v>
      </c>
    </row>
    <row r="242" spans="1:24" hidden="1" x14ac:dyDescent="0.25">
      <c r="A242" s="21" t="s">
        <v>342</v>
      </c>
      <c r="B242" s="40" t="s">
        <v>343</v>
      </c>
      <c r="C242" s="21" t="s">
        <v>298</v>
      </c>
      <c r="D242" s="21" t="s">
        <v>74</v>
      </c>
      <c r="E242" s="21" t="s">
        <v>85</v>
      </c>
      <c r="F242" s="55">
        <v>8.5455100353353148E-4</v>
      </c>
      <c r="G242" s="21">
        <v>7.3203149999999999</v>
      </c>
      <c r="H242" s="21">
        <v>4.2807040000000001</v>
      </c>
      <c r="I242" s="21">
        <v>4.7608280000000001</v>
      </c>
      <c r="J242" s="21">
        <v>5.3606309999999997</v>
      </c>
      <c r="K242" s="24">
        <v>6.2399680000000002</v>
      </c>
      <c r="L242" s="24">
        <v>13.70523</v>
      </c>
      <c r="M242" s="24">
        <v>4.5148000000000001</v>
      </c>
      <c r="N242" s="24">
        <v>4.6488614299945885</v>
      </c>
      <c r="O242" s="24">
        <v>2.3232323232323231</v>
      </c>
      <c r="P242" s="24">
        <v>4.9210526315789469</v>
      </c>
      <c r="Q242" s="24">
        <v>6.4525909592061739</v>
      </c>
      <c r="R242" s="24">
        <v>5.13</v>
      </c>
      <c r="S242" s="24">
        <v>5.4054753503020869</v>
      </c>
      <c r="T242" s="24">
        <v>0.3273837365919427</v>
      </c>
      <c r="U242" s="24" t="s">
        <v>3990</v>
      </c>
      <c r="V242">
        <v>0</v>
      </c>
      <c r="W242" s="21">
        <v>0</v>
      </c>
      <c r="X242" s="56" t="str">
        <f>IFERROR(VLOOKUP(A242,Output!A:F,6,0),"-")</f>
        <v>-</v>
      </c>
    </row>
    <row r="243" spans="1:24" hidden="1" x14ac:dyDescent="0.25">
      <c r="A243" s="21" t="s">
        <v>2722</v>
      </c>
      <c r="B243" s="40" t="s">
        <v>2723</v>
      </c>
      <c r="C243" s="21" t="s">
        <v>256</v>
      </c>
      <c r="D243" s="21" t="s">
        <v>74</v>
      </c>
      <c r="E243" s="21" t="s">
        <v>98</v>
      </c>
      <c r="F243" s="55">
        <v>8.5231490741592198E-4</v>
      </c>
      <c r="G243" s="24">
        <v>7.2073650000000002</v>
      </c>
      <c r="H243" s="24">
        <v>5.7058770000000001</v>
      </c>
      <c r="I243" s="24">
        <v>2.4345180000000002</v>
      </c>
      <c r="J243" s="24">
        <v>4.6976310000000003</v>
      </c>
      <c r="K243" s="24">
        <v>3.7287490000000001</v>
      </c>
      <c r="L243" s="24">
        <v>4.6756700000000002</v>
      </c>
      <c r="M243" s="24">
        <v>27.255600000000001</v>
      </c>
      <c r="N243" s="24">
        <v>8.2210116693798945</v>
      </c>
      <c r="O243" s="24">
        <v>8.7878787878787872</v>
      </c>
      <c r="P243" s="24">
        <v>8.4866468842729965</v>
      </c>
      <c r="Q243" s="24">
        <v>2.3099137864053647</v>
      </c>
      <c r="R243" s="24">
        <v>5.58</v>
      </c>
      <c r="S243" s="24">
        <v>5.8775161071645599</v>
      </c>
      <c r="T243" s="24">
        <v>0.39884604048470207</v>
      </c>
      <c r="U243" s="24" t="s">
        <v>4089</v>
      </c>
      <c r="V243">
        <v>0</v>
      </c>
      <c r="W243" s="21">
        <v>0</v>
      </c>
      <c r="X243" s="56" t="str">
        <f>IFERROR(VLOOKUP(A243,Output!A:F,6,0),"-")</f>
        <v>-</v>
      </c>
    </row>
    <row r="244" spans="1:24" hidden="1" x14ac:dyDescent="0.25">
      <c r="A244" s="21" t="s">
        <v>1980</v>
      </c>
      <c r="B244" s="40" t="s">
        <v>1981</v>
      </c>
      <c r="C244" s="21" t="s">
        <v>245</v>
      </c>
      <c r="D244" s="21" t="s">
        <v>73</v>
      </c>
      <c r="E244" s="21" t="s">
        <v>89</v>
      </c>
      <c r="F244" s="55">
        <v>8.4962346301124749E-4</v>
      </c>
      <c r="G244" s="21">
        <v>5.8915819999999997</v>
      </c>
      <c r="H244" s="21">
        <v>3.3758620000000001</v>
      </c>
      <c r="I244" s="21">
        <v>5.9458409999999997</v>
      </c>
      <c r="J244" s="21">
        <v>5.0300710000000004</v>
      </c>
      <c r="K244" s="24">
        <v>0.84975290000000003</v>
      </c>
      <c r="L244" s="24">
        <v>8.4723699999999997</v>
      </c>
      <c r="M244" s="24">
        <v>8.8565000000000005</v>
      </c>
      <c r="N244" s="24">
        <v>7.3860677083333339</v>
      </c>
      <c r="O244" s="24">
        <v>4.7422680412371125</v>
      </c>
      <c r="P244" s="24">
        <v>3.0569948186528508</v>
      </c>
      <c r="Q244" s="24">
        <v>1.9385849403260222</v>
      </c>
      <c r="R244" s="24">
        <v>4.08</v>
      </c>
      <c r="S244" s="24">
        <v>3.5628314444430025</v>
      </c>
      <c r="T244" s="24">
        <v>1.5008832301398927</v>
      </c>
      <c r="U244" s="24" t="s">
        <v>3650</v>
      </c>
      <c r="V244">
        <v>0</v>
      </c>
      <c r="W244" s="21">
        <v>0</v>
      </c>
      <c r="X244" s="56" t="str">
        <f>IFERROR(VLOOKUP(A244,Output!A:F,6,0),"-")</f>
        <v>-</v>
      </c>
    </row>
    <row r="245" spans="1:24" hidden="1" x14ac:dyDescent="0.25">
      <c r="A245" s="21" t="s">
        <v>1616</v>
      </c>
      <c r="B245" s="40" t="s">
        <v>1617</v>
      </c>
      <c r="C245" s="21" t="s">
        <v>244</v>
      </c>
      <c r="D245" s="21" t="s">
        <v>73</v>
      </c>
      <c r="E245" s="21" t="s">
        <v>92</v>
      </c>
      <c r="F245" s="55">
        <v>8.4961541443348239E-4</v>
      </c>
      <c r="G245" s="24">
        <v>5.5205780000000004</v>
      </c>
      <c r="H245" s="24">
        <v>5.8333219999999999</v>
      </c>
      <c r="I245" s="24">
        <v>6.6428649999999996</v>
      </c>
      <c r="J245" s="24">
        <v>6.0228390000000003</v>
      </c>
      <c r="K245" s="24">
        <v>1.7207950000000001</v>
      </c>
      <c r="L245" s="24">
        <v>10.7873</v>
      </c>
      <c r="M245" s="24">
        <v>3.6008</v>
      </c>
      <c r="N245" s="24">
        <v>7.0797812500000017</v>
      </c>
      <c r="O245" s="24">
        <v>5.9595959595959602</v>
      </c>
      <c r="P245" s="24">
        <v>3.5921730439045403</v>
      </c>
      <c r="Q245" s="24">
        <v>9.7425006636580829</v>
      </c>
      <c r="R245" s="24">
        <v>5.34</v>
      </c>
      <c r="S245" s="24">
        <v>6.4632976214977953</v>
      </c>
      <c r="T245" s="24">
        <v>1.2824085202268483</v>
      </c>
      <c r="U245" s="24" t="s">
        <v>3476</v>
      </c>
      <c r="V245">
        <v>0</v>
      </c>
      <c r="W245" s="21">
        <v>0</v>
      </c>
      <c r="X245" s="56" t="str">
        <f>IFERROR(VLOOKUP(A245,Output!A:F,6,0),"-")</f>
        <v>-</v>
      </c>
    </row>
    <row r="246" spans="1:24" hidden="1" x14ac:dyDescent="0.25">
      <c r="A246" s="21" t="s">
        <v>1760</v>
      </c>
      <c r="B246" s="40" t="s">
        <v>1761</v>
      </c>
      <c r="C246" s="21" t="s">
        <v>245</v>
      </c>
      <c r="D246" s="21" t="s">
        <v>73</v>
      </c>
      <c r="E246" s="21" t="s">
        <v>99</v>
      </c>
      <c r="F246" s="55">
        <v>8.4878419756478397E-4</v>
      </c>
      <c r="G246" s="24">
        <v>3.0395279999999998</v>
      </c>
      <c r="H246" s="24">
        <v>2.1431740000000001</v>
      </c>
      <c r="I246" s="24">
        <v>3.7209289999999999</v>
      </c>
      <c r="J246" s="24">
        <v>2.9678770000000001</v>
      </c>
      <c r="K246" s="24">
        <v>0.1446356</v>
      </c>
      <c r="L246" s="24">
        <v>3.2591800000000002</v>
      </c>
      <c r="M246" s="24">
        <v>5.2068000000000003</v>
      </c>
      <c r="N246" s="24">
        <v>8.1156281069951142</v>
      </c>
      <c r="O246" s="24">
        <v>8.2291666666666661</v>
      </c>
      <c r="P246" s="24">
        <v>5.9402985074626855</v>
      </c>
      <c r="Q246" s="24">
        <v>3.7396872294431116</v>
      </c>
      <c r="R246" s="24" t="e">
        <v>#N/A</v>
      </c>
      <c r="S246" s="24">
        <v>5.9105414444600219</v>
      </c>
      <c r="T246" s="24">
        <v>0.99715240073346456</v>
      </c>
      <c r="U246" s="24" t="s">
        <v>3525</v>
      </c>
      <c r="V246">
        <v>0</v>
      </c>
      <c r="W246" s="21">
        <v>1</v>
      </c>
      <c r="X246" s="56" t="str">
        <f>IFERROR(VLOOKUP(A246,Output!A:F,6,0),"-")</f>
        <v>-</v>
      </c>
    </row>
    <row r="247" spans="1:24" x14ac:dyDescent="0.25">
      <c r="A247" s="21" t="s">
        <v>2535</v>
      </c>
      <c r="B247" s="40" t="s">
        <v>2536</v>
      </c>
      <c r="C247" s="21" t="s">
        <v>248</v>
      </c>
      <c r="D247" s="21" t="s">
        <v>75</v>
      </c>
      <c r="E247" s="21" t="s">
        <v>93</v>
      </c>
      <c r="F247" s="55">
        <v>8.4339497050044511E-4</v>
      </c>
      <c r="G247" s="24">
        <v>6.6180029999999999</v>
      </c>
      <c r="H247" s="24">
        <v>7.5555490000000001</v>
      </c>
      <c r="I247" s="24">
        <v>3.6075710000000001</v>
      </c>
      <c r="J247" s="24">
        <v>5.892493</v>
      </c>
      <c r="K247" s="24">
        <v>2.5914410000000001</v>
      </c>
      <c r="L247" s="24">
        <v>11.53618</v>
      </c>
      <c r="M247" s="24">
        <v>1.4455</v>
      </c>
      <c r="N247" s="24">
        <v>8.8301435462672568</v>
      </c>
      <c r="O247" s="24">
        <v>9.89247311827957</v>
      </c>
      <c r="P247" s="24">
        <v>5.4880298342541431</v>
      </c>
      <c r="Q247" s="24">
        <v>4.1325811001410431</v>
      </c>
      <c r="R247" s="24">
        <v>5.03</v>
      </c>
      <c r="S247" s="24">
        <v>5.0860952612771051</v>
      </c>
      <c r="T247" s="24">
        <v>0.20916340640351011</v>
      </c>
      <c r="U247" s="24" t="s">
        <v>3979</v>
      </c>
      <c r="V247">
        <v>0</v>
      </c>
      <c r="W247" s="21">
        <v>0</v>
      </c>
      <c r="X247" s="56" t="str">
        <f>IFERROR(VLOOKUP(A247,Output!A:F,6,0),"-")</f>
        <v>-</v>
      </c>
    </row>
    <row r="248" spans="1:24" x14ac:dyDescent="0.25">
      <c r="A248" s="21" t="s">
        <v>2592</v>
      </c>
      <c r="B248" s="40" t="s">
        <v>2593</v>
      </c>
      <c r="C248" s="21" t="s">
        <v>248</v>
      </c>
      <c r="D248" s="21" t="s">
        <v>75</v>
      </c>
      <c r="E248" s="21" t="s">
        <v>92</v>
      </c>
      <c r="F248" s="55">
        <v>8.4063149132477242E-4</v>
      </c>
      <c r="G248" s="24">
        <v>6.8383690000000001</v>
      </c>
      <c r="H248" s="24">
        <v>6.1847799999999999</v>
      </c>
      <c r="I248" s="24">
        <v>5.7628909999999998</v>
      </c>
      <c r="J248" s="24">
        <v>6.3196490000000001</v>
      </c>
      <c r="K248" s="24">
        <v>2.558605</v>
      </c>
      <c r="L248" s="24">
        <v>11.68127</v>
      </c>
      <c r="M248" s="24">
        <v>44.061500000000002</v>
      </c>
      <c r="N248" s="24">
        <v>5.3823916302119983</v>
      </c>
      <c r="O248" s="24">
        <v>7.1578947368421053</v>
      </c>
      <c r="P248" s="24">
        <v>5.4400002084571328</v>
      </c>
      <c r="Q248" s="24">
        <v>6.0540098851924853</v>
      </c>
      <c r="R248" s="24">
        <v>6.03</v>
      </c>
      <c r="S248" s="24">
        <v>6.1751730374362941</v>
      </c>
      <c r="T248" s="24">
        <v>0.49694078988870249</v>
      </c>
      <c r="U248" s="24" t="s">
        <v>4010</v>
      </c>
      <c r="V248">
        <v>1</v>
      </c>
      <c r="W248" s="21">
        <v>0</v>
      </c>
      <c r="X248" s="56" t="str">
        <f>IFERROR(VLOOKUP(A248,Output!A:F,6,0),"-")</f>
        <v>-</v>
      </c>
    </row>
    <row r="249" spans="1:24" hidden="1" x14ac:dyDescent="0.25">
      <c r="A249" s="21" t="s">
        <v>1768</v>
      </c>
      <c r="B249" s="40" t="s">
        <v>1769</v>
      </c>
      <c r="C249" s="21" t="s">
        <v>244</v>
      </c>
      <c r="D249" s="21" t="s">
        <v>73</v>
      </c>
      <c r="E249" s="21" t="s">
        <v>93</v>
      </c>
      <c r="F249" s="55">
        <v>8.2964347235253407E-4</v>
      </c>
      <c r="G249" s="24">
        <v>2.6774079999999998</v>
      </c>
      <c r="H249" s="24">
        <v>4.8080220000000002</v>
      </c>
      <c r="I249" s="24">
        <v>6.6334099999999996</v>
      </c>
      <c r="J249" s="24">
        <v>4.8077240000000003</v>
      </c>
      <c r="K249" s="24">
        <v>0.9688388</v>
      </c>
      <c r="L249" s="24">
        <v>4.6279899999999996</v>
      </c>
      <c r="M249" s="24">
        <v>8.4552999999999994</v>
      </c>
      <c r="N249" s="24">
        <v>8.0381940104166656</v>
      </c>
      <c r="O249" s="24">
        <v>4.3298969072164946</v>
      </c>
      <c r="P249" s="24">
        <v>3.9896373056994827</v>
      </c>
      <c r="Q249" s="24">
        <v>1.913712508111636</v>
      </c>
      <c r="R249" s="24">
        <v>3.93</v>
      </c>
      <c r="S249" s="24">
        <v>4.0303904459300748</v>
      </c>
      <c r="T249" s="24">
        <v>0.68792424124694351</v>
      </c>
      <c r="U249" s="24" t="s">
        <v>3595</v>
      </c>
      <c r="V249">
        <v>0</v>
      </c>
      <c r="W249" s="21">
        <v>0</v>
      </c>
      <c r="X249" s="56" t="str">
        <f>IFERROR(VLOOKUP(A249,Output!A:F,6,0),"-")</f>
        <v>-</v>
      </c>
    </row>
    <row r="250" spans="1:24" hidden="1" x14ac:dyDescent="0.25">
      <c r="A250" s="21" t="s">
        <v>1878</v>
      </c>
      <c r="B250" s="40" t="s">
        <v>1879</v>
      </c>
      <c r="C250" s="21" t="s">
        <v>244</v>
      </c>
      <c r="D250" s="21" t="s">
        <v>73</v>
      </c>
      <c r="E250" s="21" t="s">
        <v>99</v>
      </c>
      <c r="F250" s="55">
        <v>8.2470023710360795E-4</v>
      </c>
      <c r="G250" s="24">
        <v>7.8284479999999999</v>
      </c>
      <c r="H250" s="24">
        <v>5.6183240000000003</v>
      </c>
      <c r="I250" s="24">
        <v>6.605785</v>
      </c>
      <c r="J250" s="24">
        <v>6.6841860000000004</v>
      </c>
      <c r="K250" s="24">
        <v>0</v>
      </c>
      <c r="L250" s="24">
        <v>3.2071429999999999</v>
      </c>
      <c r="M250" s="24">
        <v>3.0709</v>
      </c>
      <c r="N250" s="24">
        <v>4.9210730008739532</v>
      </c>
      <c r="O250" s="24">
        <v>2.916666666666667</v>
      </c>
      <c r="P250" s="24">
        <v>6.3880597014925371</v>
      </c>
      <c r="Q250" s="24">
        <v>2.7125516957543616</v>
      </c>
      <c r="R250" s="24" t="e">
        <v>#N/A</v>
      </c>
      <c r="S250" s="24">
        <v>4.5888113525988263</v>
      </c>
      <c r="T250" s="24">
        <v>1.5342220862767579</v>
      </c>
      <c r="U250" s="24" t="s">
        <v>3563</v>
      </c>
      <c r="V250">
        <v>0</v>
      </c>
      <c r="W250" s="21">
        <v>0</v>
      </c>
      <c r="X250" s="56" t="str">
        <f>IFERROR(VLOOKUP(A250,Output!A:F,6,0),"-")</f>
        <v>-</v>
      </c>
    </row>
    <row r="251" spans="1:24" hidden="1" x14ac:dyDescent="0.25">
      <c r="A251" s="21" t="s">
        <v>2001</v>
      </c>
      <c r="B251" s="40" t="s">
        <v>2002</v>
      </c>
      <c r="C251" s="21" t="s">
        <v>244</v>
      </c>
      <c r="D251" s="21" t="s">
        <v>73</v>
      </c>
      <c r="E251" s="21" t="s">
        <v>103</v>
      </c>
      <c r="F251" s="55">
        <v>8.2109578215869663E-4</v>
      </c>
      <c r="G251" s="24">
        <v>4.0032709999999998</v>
      </c>
      <c r="H251" s="24">
        <v>6.2397020000000003</v>
      </c>
      <c r="I251" s="24">
        <v>4.8237839999999998</v>
      </c>
      <c r="J251" s="24">
        <v>4.9203539999999997</v>
      </c>
      <c r="K251" s="24">
        <v>5.2632240000000001</v>
      </c>
      <c r="L251" s="24">
        <v>15.22852</v>
      </c>
      <c r="M251" s="24">
        <v>30.7455</v>
      </c>
      <c r="N251" s="24">
        <v>3.7014368583508208</v>
      </c>
      <c r="O251" s="24">
        <v>6.0204081632653059</v>
      </c>
      <c r="P251" s="24">
        <v>2.1462944837200943</v>
      </c>
      <c r="Q251" s="24">
        <v>9.1801300460323141</v>
      </c>
      <c r="R251" s="24">
        <v>8.69</v>
      </c>
      <c r="S251" s="24">
        <v>5.8730566218109121</v>
      </c>
      <c r="T251" s="24">
        <v>1.2946824581145993</v>
      </c>
      <c r="U251" s="24" t="s">
        <v>3636</v>
      </c>
      <c r="V251">
        <v>0</v>
      </c>
      <c r="W251" s="21">
        <v>0</v>
      </c>
      <c r="X251" s="56" t="str">
        <f>IFERROR(VLOOKUP(A251,Output!A:F,6,0),"-")</f>
        <v>-</v>
      </c>
    </row>
    <row r="252" spans="1:24" hidden="1" x14ac:dyDescent="0.25">
      <c r="A252" s="21" t="s">
        <v>777</v>
      </c>
      <c r="B252" s="40" t="s">
        <v>778</v>
      </c>
      <c r="C252" s="21" t="s">
        <v>244</v>
      </c>
      <c r="D252" s="21" t="s">
        <v>73</v>
      </c>
      <c r="E252" s="21" t="s">
        <v>87</v>
      </c>
      <c r="F252" s="55">
        <v>8.1960820377324827E-4</v>
      </c>
      <c r="G252" s="24">
        <v>2.691913</v>
      </c>
      <c r="H252" s="24">
        <v>6.7197279999999999</v>
      </c>
      <c r="I252" s="24">
        <v>5.7998700000000003</v>
      </c>
      <c r="J252" s="24">
        <v>5.0705039999999997</v>
      </c>
      <c r="K252" s="24">
        <v>2.9541949999999999</v>
      </c>
      <c r="L252" s="24">
        <v>4.2797660000000004</v>
      </c>
      <c r="M252" s="24">
        <v>2717.0610000000001</v>
      </c>
      <c r="N252" s="24">
        <v>4.8553716350915099</v>
      </c>
      <c r="O252" s="24">
        <v>2.6804123711340204</v>
      </c>
      <c r="P252" s="24">
        <v>4.8888888888888893</v>
      </c>
      <c r="Q252" s="24">
        <v>2.0939422824408527</v>
      </c>
      <c r="R252" s="24">
        <v>7.1900009999999996</v>
      </c>
      <c r="S252" s="24">
        <v>4.235680063550979</v>
      </c>
      <c r="T252" s="24">
        <v>0.77128685422458154</v>
      </c>
      <c r="U252" s="24" t="s">
        <v>3785</v>
      </c>
      <c r="V252">
        <v>1</v>
      </c>
      <c r="W252" s="21">
        <v>0</v>
      </c>
      <c r="X252" s="56" t="str">
        <f>IFERROR(VLOOKUP(A252,Output!A:F,6,0),"-")</f>
        <v>-</v>
      </c>
    </row>
    <row r="253" spans="1:24" hidden="1" x14ac:dyDescent="0.25">
      <c r="A253" s="21" t="s">
        <v>2720</v>
      </c>
      <c r="B253" s="40" t="s">
        <v>2721</v>
      </c>
      <c r="C253" s="21" t="s">
        <v>252</v>
      </c>
      <c r="D253" s="21" t="s">
        <v>74</v>
      </c>
      <c r="E253" s="21" t="s">
        <v>90</v>
      </c>
      <c r="F253" s="55">
        <v>8.1935215839309353E-4</v>
      </c>
      <c r="G253" s="24">
        <v>4.7144760000000003</v>
      </c>
      <c r="H253" s="24">
        <v>3.7039249999999999</v>
      </c>
      <c r="I253" s="24">
        <v>4.3609349999999996</v>
      </c>
      <c r="J253" s="24">
        <v>4.3052479999999997</v>
      </c>
      <c r="K253" s="24">
        <v>1.952426</v>
      </c>
      <c r="L253" s="24">
        <v>5.3101279999999997</v>
      </c>
      <c r="M253" s="24">
        <v>128.92679999999999</v>
      </c>
      <c r="N253" s="24">
        <v>7.2051208293276945</v>
      </c>
      <c r="O253" s="24">
        <v>3.5789473684210527</v>
      </c>
      <c r="P253" s="24">
        <v>3.4042553191489362</v>
      </c>
      <c r="Q253" s="24">
        <v>5.491666829051038</v>
      </c>
      <c r="R253" s="24">
        <v>3.74</v>
      </c>
      <c r="S253" s="24">
        <v>4.6166705916648016</v>
      </c>
      <c r="T253" s="24">
        <v>0.18693901590101883</v>
      </c>
      <c r="U253" s="24" t="s">
        <v>4088</v>
      </c>
      <c r="V253">
        <v>0</v>
      </c>
      <c r="W253" s="21">
        <v>1</v>
      </c>
      <c r="X253" s="56" t="str">
        <f>IFERROR(VLOOKUP(A253,Output!A:F,6,0),"-")</f>
        <v>-</v>
      </c>
    </row>
    <row r="254" spans="1:24" hidden="1" x14ac:dyDescent="0.25">
      <c r="A254" s="21" t="s">
        <v>163</v>
      </c>
      <c r="B254" s="40" t="s">
        <v>230</v>
      </c>
      <c r="C254" s="21" t="s">
        <v>258</v>
      </c>
      <c r="D254" s="21" t="s">
        <v>74</v>
      </c>
      <c r="E254" s="21" t="s">
        <v>85</v>
      </c>
      <c r="F254" s="55">
        <v>8.1772493718341944E-4</v>
      </c>
      <c r="G254" s="24">
        <v>6.5342409999999997</v>
      </c>
      <c r="H254" s="24">
        <v>7.3434270000000001</v>
      </c>
      <c r="I254" s="24">
        <v>6.7151889999999996</v>
      </c>
      <c r="J254" s="24">
        <v>6.8807879999999999</v>
      </c>
      <c r="K254" s="24">
        <v>9.6104810000000001</v>
      </c>
      <c r="L254" s="24">
        <v>17.140999999999998</v>
      </c>
      <c r="M254" s="24">
        <v>10.1189</v>
      </c>
      <c r="N254" s="24">
        <v>3.9742501786976101</v>
      </c>
      <c r="O254" s="24">
        <v>8.282828282828282</v>
      </c>
      <c r="P254" s="24">
        <v>5.3421052631578938</v>
      </c>
      <c r="Q254" s="24">
        <v>6.1273428886438808</v>
      </c>
      <c r="R254" s="24">
        <v>7.78</v>
      </c>
      <c r="S254" s="24">
        <v>6.3294468559735302</v>
      </c>
      <c r="T254" s="24">
        <v>0.33694447587831927</v>
      </c>
      <c r="U254" s="24" t="s">
        <v>3993</v>
      </c>
      <c r="V254">
        <v>0</v>
      </c>
      <c r="W254" s="21">
        <v>0</v>
      </c>
      <c r="X254" s="56" t="str">
        <f>IFERROR(VLOOKUP(A254,Output!A:F,6,0),"-")</f>
        <v>-</v>
      </c>
    </row>
    <row r="255" spans="1:24" hidden="1" x14ac:dyDescent="0.25">
      <c r="A255" s="21" t="s">
        <v>2645</v>
      </c>
      <c r="B255" s="40" t="s">
        <v>2646</v>
      </c>
      <c r="C255" s="21" t="s">
        <v>258</v>
      </c>
      <c r="D255" s="21" t="s">
        <v>74</v>
      </c>
      <c r="E255" s="21" t="s">
        <v>102</v>
      </c>
      <c r="F255" s="55">
        <v>8.1384944638226585E-4</v>
      </c>
      <c r="G255" s="24">
        <v>4.2010969999999999</v>
      </c>
      <c r="H255" s="24">
        <v>7.3222050000000003</v>
      </c>
      <c r="I255" s="24">
        <v>7.3139450000000004</v>
      </c>
      <c r="J255" s="24">
        <v>5.4478879999999998</v>
      </c>
      <c r="K255" s="24">
        <v>7.58256</v>
      </c>
      <c r="L255" s="24">
        <v>9.8945640000000008</v>
      </c>
      <c r="M255" s="24">
        <v>821.21320000000003</v>
      </c>
      <c r="N255" s="24">
        <v>9.0550382241579292</v>
      </c>
      <c r="O255" s="24">
        <v>6.9230769230769234</v>
      </c>
      <c r="P255" s="24">
        <v>5.9146341463414629</v>
      </c>
      <c r="Q255" s="24">
        <v>6.7818684651607208</v>
      </c>
      <c r="R255" s="24">
        <v>6.87</v>
      </c>
      <c r="S255" s="24">
        <v>7.6992403050070752</v>
      </c>
      <c r="T255" s="24">
        <v>0.31301424712763687</v>
      </c>
      <c r="U255" s="24" t="s">
        <v>4044</v>
      </c>
      <c r="V255">
        <v>0</v>
      </c>
      <c r="W255" s="21">
        <v>0</v>
      </c>
      <c r="X255" s="56">
        <f>IFERROR(VLOOKUP(A255,Output!A:F,6,0),"-")</f>
        <v>5.0000000000000001E-3</v>
      </c>
    </row>
    <row r="256" spans="1:24" hidden="1" x14ac:dyDescent="0.25">
      <c r="A256" s="21" t="s">
        <v>2617</v>
      </c>
      <c r="B256" s="40" t="s">
        <v>2618</v>
      </c>
      <c r="C256" s="21" t="s">
        <v>258</v>
      </c>
      <c r="D256" s="21" t="s">
        <v>74</v>
      </c>
      <c r="E256" s="21" t="s">
        <v>103</v>
      </c>
      <c r="F256" s="55">
        <v>8.1000293046106691E-4</v>
      </c>
      <c r="G256" s="24">
        <v>5.0615480000000002</v>
      </c>
      <c r="H256" s="24">
        <v>7.2577660000000002</v>
      </c>
      <c r="I256" s="24">
        <v>6.4161970000000004</v>
      </c>
      <c r="J256" s="24">
        <v>6.1268079999999996</v>
      </c>
      <c r="K256" s="24">
        <v>0.60893989999999998</v>
      </c>
      <c r="L256" s="24">
        <v>2.5240399999999998</v>
      </c>
      <c r="M256" s="24">
        <v>23.985399999999998</v>
      </c>
      <c r="N256" s="24">
        <v>8.9040150358603114</v>
      </c>
      <c r="O256" s="24">
        <v>8.9898989898989896</v>
      </c>
      <c r="P256" s="24">
        <v>7.8338278931750747</v>
      </c>
      <c r="Q256" s="24">
        <v>7.7679451873351249E-2</v>
      </c>
      <c r="R256" s="24">
        <v>3.64</v>
      </c>
      <c r="S256" s="24">
        <v>4.149860870705556</v>
      </c>
      <c r="T256" s="24">
        <v>0.67662710566873197</v>
      </c>
      <c r="U256" s="24" t="s">
        <v>4023</v>
      </c>
      <c r="V256">
        <v>0</v>
      </c>
      <c r="W256" s="21">
        <v>0</v>
      </c>
      <c r="X256" s="56" t="str">
        <f>IFERROR(VLOOKUP(A256,Output!A:F,6,0),"-")</f>
        <v>-</v>
      </c>
    </row>
    <row r="257" spans="1:24" hidden="1" x14ac:dyDescent="0.25">
      <c r="A257" s="21" t="s">
        <v>1807</v>
      </c>
      <c r="B257" s="40" t="s">
        <v>1808</v>
      </c>
      <c r="C257" s="21" t="s">
        <v>244</v>
      </c>
      <c r="D257" s="21" t="s">
        <v>73</v>
      </c>
      <c r="E257" s="21" t="s">
        <v>93</v>
      </c>
      <c r="F257" s="55">
        <v>8.071592673294085E-4</v>
      </c>
      <c r="G257" s="21">
        <v>2.6226440000000002</v>
      </c>
      <c r="H257" s="21">
        <v>4.2406519999999999</v>
      </c>
      <c r="I257" s="21">
        <v>4.5485860000000002</v>
      </c>
      <c r="J257" s="21">
        <v>3.8630270000000002</v>
      </c>
      <c r="K257" s="24">
        <v>1.821374</v>
      </c>
      <c r="L257" s="24">
        <v>9.8042459999999991</v>
      </c>
      <c r="M257" s="24">
        <v>2.3887</v>
      </c>
      <c r="N257" s="24">
        <v>9.3467877604166656</v>
      </c>
      <c r="O257" s="24">
        <v>8.6597938144329891</v>
      </c>
      <c r="P257" s="24">
        <v>2.8497409326424878</v>
      </c>
      <c r="Q257" s="24">
        <v>6.0065999705438404</v>
      </c>
      <c r="R257" s="24">
        <v>4.3499999999999996</v>
      </c>
      <c r="S257" s="24">
        <v>5.8566430566283536</v>
      </c>
      <c r="T257" s="24">
        <v>0.6269068719494203</v>
      </c>
      <c r="U257" s="24" t="s">
        <v>3582</v>
      </c>
      <c r="V257">
        <v>0</v>
      </c>
      <c r="W257" s="21">
        <v>1</v>
      </c>
      <c r="X257" s="56" t="str">
        <f>IFERROR(VLOOKUP(A257,Output!A:F,6,0),"-")</f>
        <v>-</v>
      </c>
    </row>
    <row r="258" spans="1:24" x14ac:dyDescent="0.25">
      <c r="A258" s="21" t="s">
        <v>837</v>
      </c>
      <c r="B258" s="40" t="s">
        <v>838</v>
      </c>
      <c r="C258" s="21" t="s">
        <v>248</v>
      </c>
      <c r="D258" s="21" t="s">
        <v>75</v>
      </c>
      <c r="E258" s="21" t="s">
        <v>96</v>
      </c>
      <c r="F258" s="55">
        <v>8.0475344682817587E-4</v>
      </c>
      <c r="G258" s="24">
        <v>6.9958710000000002</v>
      </c>
      <c r="H258" s="24">
        <v>4.0121729999999998</v>
      </c>
      <c r="I258" s="24">
        <v>3.1024560000000001</v>
      </c>
      <c r="J258" s="24">
        <v>4.2450260000000002</v>
      </c>
      <c r="K258" s="24">
        <v>2.4076019999999998</v>
      </c>
      <c r="L258" s="24">
        <v>6.7303220000000001</v>
      </c>
      <c r="M258" s="24">
        <v>2.7799</v>
      </c>
      <c r="N258" s="24">
        <v>4.7991590863302216</v>
      </c>
      <c r="O258" s="24">
        <v>7.4193548387096779</v>
      </c>
      <c r="P258" s="24">
        <v>8.3333333333333339</v>
      </c>
      <c r="Q258" s="24">
        <v>2.7991583429799256</v>
      </c>
      <c r="R258" s="24">
        <v>5.880001</v>
      </c>
      <c r="S258" s="24">
        <v>5.5665419009886783</v>
      </c>
      <c r="T258" s="24">
        <v>0.41617145879375128</v>
      </c>
      <c r="U258" s="24" t="s">
        <v>4036</v>
      </c>
      <c r="V258">
        <v>0</v>
      </c>
      <c r="W258" s="21">
        <v>1</v>
      </c>
      <c r="X258" s="56" t="str">
        <f>IFERROR(VLOOKUP(A258,Output!A:F,6,0),"-")</f>
        <v>-</v>
      </c>
    </row>
    <row r="259" spans="1:24" hidden="1" x14ac:dyDescent="0.25">
      <c r="A259" s="21" t="s">
        <v>1886</v>
      </c>
      <c r="B259" s="40" t="s">
        <v>1887</v>
      </c>
      <c r="C259" s="21" t="s">
        <v>244</v>
      </c>
      <c r="D259" s="21" t="s">
        <v>73</v>
      </c>
      <c r="E259" s="21" t="s">
        <v>91</v>
      </c>
      <c r="F259" s="55">
        <v>8.0290408487218286E-4</v>
      </c>
      <c r="G259" s="21">
        <v>4.6731210000000001</v>
      </c>
      <c r="H259" s="21">
        <v>3.522742</v>
      </c>
      <c r="I259" s="21">
        <v>5.7026079999999997</v>
      </c>
      <c r="J259" s="21">
        <v>4.6247639999999999</v>
      </c>
      <c r="K259" s="24">
        <v>0</v>
      </c>
      <c r="L259" s="24">
        <v>1.4501710000000001</v>
      </c>
      <c r="M259" s="24">
        <v>32.813899999999997</v>
      </c>
      <c r="N259" s="24">
        <v>8.1722155524945528</v>
      </c>
      <c r="O259" s="24">
        <v>7.3737373737373737</v>
      </c>
      <c r="P259" s="24">
        <v>8.2536382608996348</v>
      </c>
      <c r="Q259" s="24">
        <v>0.25067411395502831</v>
      </c>
      <c r="R259" s="24" t="e">
        <v>#N/A</v>
      </c>
      <c r="S259" s="24">
        <v>3.6839292824616807</v>
      </c>
      <c r="T259" s="24">
        <v>0.88124590287914506</v>
      </c>
      <c r="U259" s="24" t="s">
        <v>3633</v>
      </c>
      <c r="V259">
        <v>0</v>
      </c>
      <c r="W259" s="21">
        <v>0</v>
      </c>
      <c r="X259" s="56" t="str">
        <f>IFERROR(VLOOKUP(A259,Output!A:F,6,0),"-")</f>
        <v>-</v>
      </c>
    </row>
    <row r="260" spans="1:24" x14ac:dyDescent="0.25">
      <c r="A260" s="21" t="s">
        <v>2639</v>
      </c>
      <c r="B260" s="40" t="s">
        <v>2640</v>
      </c>
      <c r="C260" s="21" t="s">
        <v>248</v>
      </c>
      <c r="D260" s="21" t="s">
        <v>75</v>
      </c>
      <c r="E260" s="21" t="s">
        <v>98</v>
      </c>
      <c r="F260" s="55">
        <v>8.0101860492346865E-4</v>
      </c>
      <c r="G260" s="24">
        <v>6.986186</v>
      </c>
      <c r="H260" s="24">
        <v>5.3802349999999999</v>
      </c>
      <c r="I260" s="24">
        <v>1.5835239999999999</v>
      </c>
      <c r="J260" s="24">
        <v>4.182741</v>
      </c>
      <c r="K260" s="24">
        <v>0.70420039999999995</v>
      </c>
      <c r="L260" s="24">
        <v>2.9991759999999998</v>
      </c>
      <c r="M260" s="24">
        <v>18.851099999999999</v>
      </c>
      <c r="N260" s="24">
        <v>7.1094774013902544</v>
      </c>
      <c r="O260" s="24">
        <v>8.279569892473118</v>
      </c>
      <c r="P260" s="24">
        <v>7.3863636363636367</v>
      </c>
      <c r="Q260" s="24">
        <v>0.98019834815206952</v>
      </c>
      <c r="R260" s="24">
        <v>3.86</v>
      </c>
      <c r="S260" s="24">
        <v>3.8286541440133557</v>
      </c>
      <c r="T260" s="24">
        <v>0.43271480975446769</v>
      </c>
      <c r="U260" s="24" t="s">
        <v>4071</v>
      </c>
      <c r="V260">
        <v>0</v>
      </c>
      <c r="W260" s="21">
        <v>1</v>
      </c>
      <c r="X260" s="56" t="str">
        <f>IFERROR(VLOOKUP(A260,Output!A:F,6,0),"-")</f>
        <v>-</v>
      </c>
    </row>
    <row r="261" spans="1:24" hidden="1" x14ac:dyDescent="0.25">
      <c r="A261" s="21" t="s">
        <v>2504</v>
      </c>
      <c r="B261" s="40" t="s">
        <v>2505</v>
      </c>
      <c r="C261" s="21" t="s">
        <v>247</v>
      </c>
      <c r="D261" s="21" t="s">
        <v>74</v>
      </c>
      <c r="E261" s="21" t="s">
        <v>92</v>
      </c>
      <c r="F261" s="55">
        <v>7.9458155364132619E-4</v>
      </c>
      <c r="G261" s="24">
        <v>4.8677289999999998</v>
      </c>
      <c r="H261" s="24">
        <v>5.6711179999999999</v>
      </c>
      <c r="I261" s="24">
        <v>2.7002359999999999</v>
      </c>
      <c r="J261" s="24">
        <v>4.4584979999999996</v>
      </c>
      <c r="K261" s="24">
        <v>2.4562979999999999</v>
      </c>
      <c r="L261" s="24">
        <v>6.1959759999999999</v>
      </c>
      <c r="M261" s="24">
        <v>17.682300000000001</v>
      </c>
      <c r="N261" s="24">
        <v>7.9950622222222236</v>
      </c>
      <c r="O261" s="24">
        <v>7.2448979591836729</v>
      </c>
      <c r="P261" s="24">
        <v>4.6849315068493151</v>
      </c>
      <c r="Q261" s="24">
        <v>4.8109025780730654</v>
      </c>
      <c r="R261" s="24">
        <v>6.02</v>
      </c>
      <c r="S261" s="24">
        <v>6.1243419083060875</v>
      </c>
      <c r="T261" s="24">
        <v>0.23222700428113685</v>
      </c>
      <c r="U261" s="24" t="s">
        <v>3955</v>
      </c>
      <c r="V261">
        <v>1</v>
      </c>
      <c r="W261" s="21">
        <v>1</v>
      </c>
      <c r="X261" s="56" t="str">
        <f>IFERROR(VLOOKUP(A261,Output!A:F,6,0),"-")</f>
        <v>-</v>
      </c>
    </row>
    <row r="262" spans="1:24" hidden="1" x14ac:dyDescent="0.25">
      <c r="A262" s="21" t="s">
        <v>4458</v>
      </c>
      <c r="B262" s="40" t="s">
        <v>4459</v>
      </c>
      <c r="C262" s="21" t="s">
        <v>244</v>
      </c>
      <c r="D262" s="21" t="s">
        <v>73</v>
      </c>
      <c r="E262" s="21" t="s">
        <v>99</v>
      </c>
      <c r="F262" s="55">
        <v>7.8981880774878406E-4</v>
      </c>
      <c r="G262" s="24" t="e">
        <v>#N/A</v>
      </c>
      <c r="H262" s="24" t="e">
        <v>#N/A</v>
      </c>
      <c r="I262" s="24" t="e">
        <v>#N/A</v>
      </c>
      <c r="J262" s="24" t="e">
        <v>#N/A</v>
      </c>
      <c r="K262" s="24">
        <v>0</v>
      </c>
      <c r="L262" s="24">
        <v>8.9342919999999992</v>
      </c>
      <c r="M262" s="24" t="e">
        <v>#N/A</v>
      </c>
      <c r="N262" s="24">
        <v>10</v>
      </c>
      <c r="O262" s="24">
        <v>9.8958333333333339</v>
      </c>
      <c r="P262" s="24">
        <v>8.9850746268656714</v>
      </c>
      <c r="Q262" s="24">
        <v>1.743206504854399</v>
      </c>
      <c r="R262" s="24" t="e">
        <v>#N/A</v>
      </c>
      <c r="S262" s="24">
        <v>5.680458535654342</v>
      </c>
      <c r="T262" s="24">
        <v>2.3020384700671386</v>
      </c>
      <c r="U262" s="24" t="s">
        <v>4460</v>
      </c>
      <c r="V262">
        <v>0</v>
      </c>
      <c r="W262" s="21">
        <v>0</v>
      </c>
      <c r="X262" s="56" t="str">
        <f>IFERROR(VLOOKUP(A262,Output!A:F,6,0),"-")</f>
        <v>-</v>
      </c>
    </row>
    <row r="263" spans="1:24" hidden="1" x14ac:dyDescent="0.25">
      <c r="A263" s="21" t="s">
        <v>758</v>
      </c>
      <c r="B263" s="40" t="s">
        <v>759</v>
      </c>
      <c r="C263" s="21" t="s">
        <v>244</v>
      </c>
      <c r="D263" s="21" t="s">
        <v>73</v>
      </c>
      <c r="E263" s="21" t="s">
        <v>85</v>
      </c>
      <c r="F263" s="55">
        <v>7.874153012136588E-4</v>
      </c>
      <c r="G263" s="24">
        <v>4.3684000000000003</v>
      </c>
      <c r="H263" s="24">
        <v>6.0892299999999997</v>
      </c>
      <c r="I263" s="24">
        <v>3.9763769999999998</v>
      </c>
      <c r="J263" s="24">
        <v>4.8334820000000001</v>
      </c>
      <c r="K263" s="24">
        <v>5.5189000000000004</v>
      </c>
      <c r="L263" s="24">
        <v>9.5804030000000004</v>
      </c>
      <c r="M263" s="24">
        <v>12.408200000000001</v>
      </c>
      <c r="N263" s="24">
        <v>6.3378906249999991</v>
      </c>
      <c r="O263" s="24">
        <v>2.5773195876288657</v>
      </c>
      <c r="P263" s="24">
        <v>3.0569948186528508</v>
      </c>
      <c r="Q263" s="24">
        <v>6.1888355644901054</v>
      </c>
      <c r="R263" s="24">
        <v>5.3299989999999999</v>
      </c>
      <c r="S263" s="24">
        <v>4.9483376359709839</v>
      </c>
      <c r="T263" s="24">
        <v>1.528193003778844</v>
      </c>
      <c r="U263" s="24" t="s">
        <v>3581</v>
      </c>
      <c r="V263">
        <v>0</v>
      </c>
      <c r="W263" s="21">
        <v>0</v>
      </c>
      <c r="X263" s="56" t="str">
        <f>IFERROR(VLOOKUP(A263,Output!A:F,6,0),"-")</f>
        <v>-</v>
      </c>
    </row>
    <row r="264" spans="1:24" hidden="1" x14ac:dyDescent="0.25">
      <c r="A264" s="21" t="s">
        <v>2134</v>
      </c>
      <c r="B264" s="40" t="s">
        <v>2135</v>
      </c>
      <c r="C264" s="21" t="s">
        <v>244</v>
      </c>
      <c r="D264" s="21" t="s">
        <v>73</v>
      </c>
      <c r="E264" s="21" t="s">
        <v>92</v>
      </c>
      <c r="F264" s="55">
        <v>7.8667050594871408E-4</v>
      </c>
      <c r="G264" s="21">
        <v>5.8676750000000002</v>
      </c>
      <c r="H264" s="21">
        <v>4.853898</v>
      </c>
      <c r="I264" s="21">
        <v>5.9064059999999996</v>
      </c>
      <c r="J264" s="21">
        <v>5.5751609999999996</v>
      </c>
      <c r="K264" s="24">
        <v>6.0118489999999998</v>
      </c>
      <c r="L264" s="24">
        <v>7.759614</v>
      </c>
      <c r="M264" s="24">
        <v>34.799100000000003</v>
      </c>
      <c r="N264" s="24">
        <v>3.5321974431818188</v>
      </c>
      <c r="O264" s="24">
        <v>0.70707070707070707</v>
      </c>
      <c r="P264" s="24">
        <v>4.593202905898238</v>
      </c>
      <c r="Q264" s="24">
        <v>7.315281125564109</v>
      </c>
      <c r="R264" s="24">
        <v>7.16</v>
      </c>
      <c r="S264" s="24">
        <v>5.7562925772421707</v>
      </c>
      <c r="T264" s="24">
        <v>1.1202299147419101</v>
      </c>
      <c r="U264" s="24" t="s">
        <v>3769</v>
      </c>
      <c r="V264">
        <v>0</v>
      </c>
      <c r="W264" s="21">
        <v>0</v>
      </c>
      <c r="X264" s="56" t="str">
        <f>IFERROR(VLOOKUP(A264,Output!A:F,6,0),"-")</f>
        <v>-</v>
      </c>
    </row>
    <row r="265" spans="1:24" hidden="1" x14ac:dyDescent="0.25">
      <c r="A265" s="21" t="s">
        <v>346</v>
      </c>
      <c r="B265" s="40" t="s">
        <v>836</v>
      </c>
      <c r="C265" s="21" t="s">
        <v>257</v>
      </c>
      <c r="D265" s="21" t="s">
        <v>74</v>
      </c>
      <c r="E265" s="21" t="s">
        <v>87</v>
      </c>
      <c r="F265" s="55">
        <v>7.862631473065741E-4</v>
      </c>
      <c r="G265" s="21">
        <v>5</v>
      </c>
      <c r="H265" s="21">
        <v>5.5</v>
      </c>
      <c r="I265" s="21">
        <v>6</v>
      </c>
      <c r="J265" s="21">
        <v>5.5</v>
      </c>
      <c r="K265" s="24">
        <v>6.219563</v>
      </c>
      <c r="L265" s="24">
        <v>7.4228839999999998</v>
      </c>
      <c r="M265" s="24">
        <v>284.20569999999998</v>
      </c>
      <c r="N265" s="24">
        <v>6.4230865766481324</v>
      </c>
      <c r="O265" s="24">
        <v>4.2268041237113403</v>
      </c>
      <c r="P265" s="24">
        <v>3.5081967213114758</v>
      </c>
      <c r="Q265" s="24">
        <v>4.3956351572373578</v>
      </c>
      <c r="R265" s="24">
        <v>7.52</v>
      </c>
      <c r="S265" s="24">
        <v>5.5631948159573739</v>
      </c>
      <c r="T265" s="24">
        <v>0.58423371729118412</v>
      </c>
      <c r="U265" s="24" t="s">
        <v>3999</v>
      </c>
      <c r="V265">
        <v>0</v>
      </c>
      <c r="W265" s="21">
        <v>0</v>
      </c>
      <c r="X265" s="56" t="str">
        <f>IFERROR(VLOOKUP(A265,Output!A:F,6,0),"-")</f>
        <v>-</v>
      </c>
    </row>
    <row r="266" spans="1:24" hidden="1" x14ac:dyDescent="0.25">
      <c r="A266" s="21" t="s">
        <v>1604</v>
      </c>
      <c r="B266" s="40" t="s">
        <v>4380</v>
      </c>
      <c r="C266" s="21" t="s">
        <v>244</v>
      </c>
      <c r="D266" s="21" t="s">
        <v>73</v>
      </c>
      <c r="E266" s="21" t="s">
        <v>97</v>
      </c>
      <c r="F266" s="55">
        <v>7.8381476995040798E-4</v>
      </c>
      <c r="G266" s="24">
        <v>4.1186550000000004</v>
      </c>
      <c r="H266" s="24">
        <v>5.2352080000000001</v>
      </c>
      <c r="I266" s="24">
        <v>7.2319699999999996</v>
      </c>
      <c r="J266" s="24">
        <v>5.5872919999999997</v>
      </c>
      <c r="K266" s="24">
        <v>2.7255639999999999</v>
      </c>
      <c r="L266" s="24">
        <v>1.4379690000000001</v>
      </c>
      <c r="M266" s="24">
        <v>121.74639999999999</v>
      </c>
      <c r="N266" s="24">
        <v>6.5401523861134683</v>
      </c>
      <c r="O266" s="24">
        <v>9.7938144329896897</v>
      </c>
      <c r="P266" s="24">
        <v>1.5454545454545452</v>
      </c>
      <c r="Q266" s="24">
        <v>2.9730299199325754</v>
      </c>
      <c r="R266" s="24">
        <v>3.7</v>
      </c>
      <c r="S266" s="24">
        <v>3.4369075796561019</v>
      </c>
      <c r="T266" s="24">
        <v>0.96258441677997664</v>
      </c>
      <c r="U266" s="24" t="s">
        <v>3522</v>
      </c>
      <c r="V266">
        <v>0</v>
      </c>
      <c r="W266" s="21">
        <v>0</v>
      </c>
      <c r="X266" s="56" t="str">
        <f>IFERROR(VLOOKUP(A266,Output!A:F,6,0),"-")</f>
        <v>-</v>
      </c>
    </row>
    <row r="267" spans="1:24" hidden="1" x14ac:dyDescent="0.25">
      <c r="A267" s="21" t="s">
        <v>1762</v>
      </c>
      <c r="B267" s="40" t="s">
        <v>1763</v>
      </c>
      <c r="C267" s="21" t="s">
        <v>245</v>
      </c>
      <c r="D267" s="21" t="s">
        <v>73</v>
      </c>
      <c r="E267" s="21" t="s">
        <v>95</v>
      </c>
      <c r="F267" s="55">
        <v>7.8229972579333589E-4</v>
      </c>
      <c r="G267" s="24">
        <v>4.7322230000000003</v>
      </c>
      <c r="H267" s="24">
        <v>4.0441269999999996</v>
      </c>
      <c r="I267" s="24">
        <v>6.1560389999999998</v>
      </c>
      <c r="J267" s="24">
        <v>5.0217489999999998</v>
      </c>
      <c r="K267" s="24">
        <v>4.2713650000000003</v>
      </c>
      <c r="L267" s="24">
        <v>11.906940000000001</v>
      </c>
      <c r="M267" s="24">
        <v>793.24099999999999</v>
      </c>
      <c r="N267" s="24">
        <v>5.0718553849188392</v>
      </c>
      <c r="O267" s="24">
        <v>3.5051546391752577</v>
      </c>
      <c r="P267" s="24">
        <v>4.448160535117057</v>
      </c>
      <c r="Q267" s="24">
        <v>10</v>
      </c>
      <c r="R267" s="24">
        <v>6.33</v>
      </c>
      <c r="S267" s="24">
        <v>6.7875845453642114</v>
      </c>
      <c r="T267" s="24">
        <v>0.51225432081922895</v>
      </c>
      <c r="U267" s="24" t="s">
        <v>3526</v>
      </c>
      <c r="V267">
        <v>1</v>
      </c>
      <c r="W267" s="21">
        <v>0</v>
      </c>
      <c r="X267" s="56" t="str">
        <f>IFERROR(VLOOKUP(A267,Output!A:F,6,0),"-")</f>
        <v>-</v>
      </c>
    </row>
    <row r="268" spans="1:24" hidden="1" x14ac:dyDescent="0.25">
      <c r="A268" s="21" t="s">
        <v>835</v>
      </c>
      <c r="B268" s="40" t="s">
        <v>203</v>
      </c>
      <c r="C268" s="21" t="s">
        <v>250</v>
      </c>
      <c r="D268" s="21" t="s">
        <v>76</v>
      </c>
      <c r="E268" s="21" t="s">
        <v>98</v>
      </c>
      <c r="F268" s="55">
        <v>7.7416744281940352E-4</v>
      </c>
      <c r="G268" s="24">
        <v>4.0782879999999997</v>
      </c>
      <c r="H268" s="24">
        <v>6.9711460000000001</v>
      </c>
      <c r="I268" s="24">
        <v>7.7255909999999997</v>
      </c>
      <c r="J268" s="24">
        <v>6.6943520000000003</v>
      </c>
      <c r="K268" s="24">
        <v>2.900649</v>
      </c>
      <c r="L268" s="24">
        <v>4.5410459999999997</v>
      </c>
      <c r="M268" s="24">
        <v>22.8933</v>
      </c>
      <c r="N268" s="24">
        <v>7.5445584158415837</v>
      </c>
      <c r="O268" s="24">
        <v>10</v>
      </c>
      <c r="P268" s="24">
        <v>0</v>
      </c>
      <c r="Q268" s="24">
        <v>2.915656668602598</v>
      </c>
      <c r="R268" s="24">
        <v>6.04</v>
      </c>
      <c r="S268" s="24">
        <v>4.714815096096757</v>
      </c>
      <c r="T268" s="24">
        <v>0.50415614134389941</v>
      </c>
      <c r="U268" s="24" t="s">
        <v>3922</v>
      </c>
      <c r="V268">
        <v>0</v>
      </c>
      <c r="W268" s="21">
        <v>0</v>
      </c>
      <c r="X268" s="56" t="str">
        <f>IFERROR(VLOOKUP(A268,Output!A:F,6,0),"-")</f>
        <v>-</v>
      </c>
    </row>
    <row r="269" spans="1:24" hidden="1" x14ac:dyDescent="0.25">
      <c r="A269" s="21" t="s">
        <v>1618</v>
      </c>
      <c r="B269" s="40" t="s">
        <v>1619</v>
      </c>
      <c r="C269" s="21" t="s">
        <v>244</v>
      </c>
      <c r="D269" s="21" t="s">
        <v>73</v>
      </c>
      <c r="E269" s="21" t="s">
        <v>98</v>
      </c>
      <c r="F269" s="55">
        <v>7.7103926246374632E-4</v>
      </c>
      <c r="G269" s="24">
        <v>2.7580749999999998</v>
      </c>
      <c r="H269" s="24">
        <v>3.0938119999999998</v>
      </c>
      <c r="I269" s="24">
        <v>4.4713139999999996</v>
      </c>
      <c r="J269" s="24">
        <v>3.3727680000000002</v>
      </c>
      <c r="K269" s="24">
        <v>0</v>
      </c>
      <c r="L269" s="24">
        <v>3.336354</v>
      </c>
      <c r="M269" s="24">
        <v>35.947099999999999</v>
      </c>
      <c r="N269" s="24">
        <v>6.4759305702585435</v>
      </c>
      <c r="O269" s="24">
        <v>4.5918367346938771</v>
      </c>
      <c r="P269" s="24">
        <v>7.6034648608410578</v>
      </c>
      <c r="Q269" s="24">
        <v>1.3158718836306627</v>
      </c>
      <c r="R269" s="24" t="e">
        <v>#N/A</v>
      </c>
      <c r="S269" s="24">
        <v>4.5122740353252491</v>
      </c>
      <c r="T269" s="24">
        <v>1.3137339985158967</v>
      </c>
      <c r="U269" s="24" t="s">
        <v>3477</v>
      </c>
      <c r="V269">
        <v>0</v>
      </c>
      <c r="W269" s="21">
        <v>1</v>
      </c>
      <c r="X269" s="56" t="str">
        <f>IFERROR(VLOOKUP(A269,Output!A:F,6,0),"-")</f>
        <v>-</v>
      </c>
    </row>
    <row r="270" spans="1:24" hidden="1" x14ac:dyDescent="0.25">
      <c r="A270" s="21" t="s">
        <v>2582</v>
      </c>
      <c r="B270" s="40" t="s">
        <v>2583</v>
      </c>
      <c r="C270" s="21" t="s">
        <v>254</v>
      </c>
      <c r="D270" s="21" t="s">
        <v>74</v>
      </c>
      <c r="E270" s="21" t="s">
        <v>88</v>
      </c>
      <c r="F270" s="55">
        <v>7.7082265511464114E-4</v>
      </c>
      <c r="G270" s="24">
        <v>4.5202559999999998</v>
      </c>
      <c r="H270" s="24">
        <v>4.7715110000000003</v>
      </c>
      <c r="I270" s="24">
        <v>6.8248199999999999</v>
      </c>
      <c r="J270" s="24">
        <v>5.3721949999999996</v>
      </c>
      <c r="K270" s="24">
        <v>3.5848879999999999</v>
      </c>
      <c r="L270" s="24">
        <v>8.2378509999999991</v>
      </c>
      <c r="M270" s="24">
        <v>4885.2139999999999</v>
      </c>
      <c r="N270" s="24">
        <v>7.0839511111111122</v>
      </c>
      <c r="O270" s="24">
        <v>7.1428571428571423</v>
      </c>
      <c r="P270" s="24">
        <v>4.10958904109589</v>
      </c>
      <c r="Q270" s="24">
        <v>7.3707853074296512</v>
      </c>
      <c r="R270" s="24">
        <v>6.71</v>
      </c>
      <c r="S270" s="24">
        <v>6.8540127145520682</v>
      </c>
      <c r="T270" s="24">
        <v>0.62134548916365462</v>
      </c>
      <c r="U270" s="24" t="s">
        <v>4004</v>
      </c>
      <c r="V270">
        <v>0</v>
      </c>
      <c r="W270" s="21">
        <v>0</v>
      </c>
      <c r="X270" s="56">
        <f>IFERROR(VLOOKUP(A270,Output!A:F,6,0),"-")</f>
        <v>2.0000000000000981E-3</v>
      </c>
    </row>
    <row r="271" spans="1:24" hidden="1" x14ac:dyDescent="0.25">
      <c r="A271" s="21" t="s">
        <v>1638</v>
      </c>
      <c r="B271" s="40" t="s">
        <v>1639</v>
      </c>
      <c r="C271" s="21" t="s">
        <v>244</v>
      </c>
      <c r="D271" s="21" t="s">
        <v>73</v>
      </c>
      <c r="E271" s="21" t="s">
        <v>98</v>
      </c>
      <c r="F271" s="55">
        <v>7.7063673296826562E-4</v>
      </c>
      <c r="G271" s="24">
        <v>5.6270600000000002</v>
      </c>
      <c r="H271" s="24">
        <v>3.7312449999999999</v>
      </c>
      <c r="I271" s="24">
        <v>4.1944270000000001</v>
      </c>
      <c r="J271" s="24">
        <v>4.2956810000000001</v>
      </c>
      <c r="K271" s="24">
        <v>1.0315970000000001</v>
      </c>
      <c r="L271" s="24">
        <v>4.1717000000000004</v>
      </c>
      <c r="M271" s="24">
        <v>24.681799999999999</v>
      </c>
      <c r="N271" s="24">
        <v>4.5819268719471076</v>
      </c>
      <c r="O271" s="24">
        <v>7.6530612244897958</v>
      </c>
      <c r="P271" s="24">
        <v>8.1809432076263455</v>
      </c>
      <c r="Q271" s="24">
        <v>3.5128939816392402</v>
      </c>
      <c r="R271" s="24">
        <v>5.81</v>
      </c>
      <c r="S271" s="24">
        <v>5.8022074196277584</v>
      </c>
      <c r="T271" s="24">
        <v>1.0805002537312365</v>
      </c>
      <c r="U271" s="24" t="s">
        <v>2816</v>
      </c>
      <c r="V271">
        <v>0</v>
      </c>
      <c r="W271" s="21">
        <v>1</v>
      </c>
      <c r="X271" s="56" t="str">
        <f>IFERROR(VLOOKUP(A271,Output!A:F,6,0),"-")</f>
        <v>-</v>
      </c>
    </row>
    <row r="272" spans="1:24" hidden="1" x14ac:dyDescent="0.25">
      <c r="A272" s="21" t="s">
        <v>1766</v>
      </c>
      <c r="B272" s="40" t="s">
        <v>1767</v>
      </c>
      <c r="C272" s="21" t="s">
        <v>244</v>
      </c>
      <c r="D272" s="21" t="s">
        <v>73</v>
      </c>
      <c r="E272" s="21" t="s">
        <v>93</v>
      </c>
      <c r="F272" s="55">
        <v>7.6697412704900079E-4</v>
      </c>
      <c r="G272" s="24">
        <v>6.7812999999999999</v>
      </c>
      <c r="H272" s="24">
        <v>2.99112</v>
      </c>
      <c r="I272" s="24">
        <v>6.6090559999999998</v>
      </c>
      <c r="J272" s="24">
        <v>5.3944510000000001</v>
      </c>
      <c r="K272" s="24">
        <v>2.2798609999999999</v>
      </c>
      <c r="L272" s="24">
        <v>8.0299320000000005</v>
      </c>
      <c r="M272" s="24">
        <v>0.52480000000000004</v>
      </c>
      <c r="N272" s="24">
        <v>1.8912760416666665</v>
      </c>
      <c r="O272" s="24">
        <v>6.4948453608247414</v>
      </c>
      <c r="P272" s="24">
        <v>7.9274611398963746</v>
      </c>
      <c r="Q272" s="24">
        <v>5.207346223866125</v>
      </c>
      <c r="R272" s="24">
        <v>5.41</v>
      </c>
      <c r="S272" s="24">
        <v>5.084644699432312</v>
      </c>
      <c r="T272" s="24">
        <v>0.64669735059930478</v>
      </c>
      <c r="U272" s="24" t="s">
        <v>3564</v>
      </c>
      <c r="V272">
        <v>0</v>
      </c>
      <c r="W272" s="21">
        <v>0</v>
      </c>
      <c r="X272" s="56">
        <f>IFERROR(VLOOKUP(A272,Output!A:F,6,0),"-")</f>
        <v>7.4999999999998653E-3</v>
      </c>
    </row>
    <row r="273" spans="1:24" hidden="1" x14ac:dyDescent="0.25">
      <c r="A273" s="21" t="s">
        <v>2551</v>
      </c>
      <c r="B273" s="40" t="s">
        <v>2552</v>
      </c>
      <c r="C273" s="21" t="s">
        <v>247</v>
      </c>
      <c r="D273" s="21" t="s">
        <v>74</v>
      </c>
      <c r="E273" s="21" t="s">
        <v>89</v>
      </c>
      <c r="F273" s="55">
        <v>7.6369413039524808E-4</v>
      </c>
      <c r="G273" s="24">
        <v>7.6410489999999998</v>
      </c>
      <c r="H273" s="24">
        <v>2.524772</v>
      </c>
      <c r="I273" s="24">
        <v>7.3380660000000004</v>
      </c>
      <c r="J273" s="24">
        <v>5.7443080000000002</v>
      </c>
      <c r="K273" s="24">
        <v>1.3255209999999999</v>
      </c>
      <c r="L273" s="24">
        <v>3.8952849999999999</v>
      </c>
      <c r="M273" s="24">
        <v>13.4041</v>
      </c>
      <c r="N273" s="24">
        <v>7.9889349213819898</v>
      </c>
      <c r="O273" s="24">
        <v>3.7373737373737375</v>
      </c>
      <c r="P273" s="24">
        <v>2.9473684210526319</v>
      </c>
      <c r="Q273" s="24">
        <v>0.9233737596471886</v>
      </c>
      <c r="R273" s="24">
        <v>3.9</v>
      </c>
      <c r="S273" s="24">
        <v>3.7382781480314731</v>
      </c>
      <c r="T273" s="24">
        <v>0.37767165713538392</v>
      </c>
      <c r="U273" s="24" t="s">
        <v>4014</v>
      </c>
      <c r="V273">
        <v>0</v>
      </c>
      <c r="W273" s="21">
        <v>0</v>
      </c>
      <c r="X273" s="56" t="str">
        <f>IFERROR(VLOOKUP(A273,Output!A:F,6,0),"-")</f>
        <v>-</v>
      </c>
    </row>
    <row r="274" spans="1:24" hidden="1" x14ac:dyDescent="0.25">
      <c r="A274" s="21" t="s">
        <v>2601</v>
      </c>
      <c r="B274" s="40" t="s">
        <v>2602</v>
      </c>
      <c r="C274" s="21" t="s">
        <v>247</v>
      </c>
      <c r="D274" s="21" t="s">
        <v>74</v>
      </c>
      <c r="E274" s="21" t="s">
        <v>102</v>
      </c>
      <c r="F274" s="55">
        <v>7.6253211698040096E-4</v>
      </c>
      <c r="G274" s="21">
        <v>5.8005550000000001</v>
      </c>
      <c r="H274" s="21">
        <v>4.1992380000000002</v>
      </c>
      <c r="I274" s="21">
        <v>4.6271329999999997</v>
      </c>
      <c r="J274" s="21">
        <v>5.2456069999999997</v>
      </c>
      <c r="K274" s="24">
        <v>5.3552059999999999</v>
      </c>
      <c r="L274" s="24">
        <v>6.4567949999999996</v>
      </c>
      <c r="M274" s="24">
        <v>465.4264</v>
      </c>
      <c r="N274" s="24">
        <v>7.9428158431556337</v>
      </c>
      <c r="O274" s="24">
        <v>8.2417582417582427</v>
      </c>
      <c r="P274" s="24">
        <v>2.2256097560975614</v>
      </c>
      <c r="Q274" s="24">
        <v>4.6721242045121611</v>
      </c>
      <c r="R274" s="24">
        <v>6.02</v>
      </c>
      <c r="S274" s="24">
        <v>5.6072496564001675</v>
      </c>
      <c r="T274" s="24">
        <v>-4.5918537648136318E-2</v>
      </c>
      <c r="U274" s="24" t="s">
        <v>4016</v>
      </c>
      <c r="V274">
        <v>0</v>
      </c>
      <c r="W274" s="21">
        <v>0</v>
      </c>
      <c r="X274" s="56">
        <f>IFERROR(VLOOKUP(A274,Output!A:F,6,0),"-")</f>
        <v>4.9999999999999082E-3</v>
      </c>
    </row>
    <row r="275" spans="1:24" hidden="1" x14ac:dyDescent="0.25">
      <c r="A275" s="21" t="s">
        <v>120</v>
      </c>
      <c r="B275" s="40" t="s">
        <v>188</v>
      </c>
      <c r="C275" s="21" t="s">
        <v>244</v>
      </c>
      <c r="D275" s="21" t="s">
        <v>73</v>
      </c>
      <c r="E275" s="21" t="s">
        <v>99</v>
      </c>
      <c r="F275" s="55">
        <v>7.5734118675075172E-4</v>
      </c>
      <c r="G275" s="24">
        <v>5.9872959999999997</v>
      </c>
      <c r="H275" s="24">
        <v>4.8628590000000003</v>
      </c>
      <c r="I275" s="24">
        <v>4.1957389999999997</v>
      </c>
      <c r="J275" s="24">
        <v>5.1124980000000004</v>
      </c>
      <c r="K275" s="24">
        <v>1.9730920000000001</v>
      </c>
      <c r="L275" s="24">
        <v>5.9354370000000003</v>
      </c>
      <c r="M275" s="24">
        <v>153.85419999999999</v>
      </c>
      <c r="N275" s="24">
        <v>2.9952646405102321</v>
      </c>
      <c r="O275" s="24">
        <v>0.3125</v>
      </c>
      <c r="P275" s="24">
        <v>6.298507462686568</v>
      </c>
      <c r="Q275" s="24">
        <v>6.4085847390363435</v>
      </c>
      <c r="R275" s="24">
        <v>8.75</v>
      </c>
      <c r="S275" s="24">
        <v>6.3561726736438278</v>
      </c>
      <c r="T275" s="24">
        <v>1.7833053382561386</v>
      </c>
      <c r="U275" s="24" t="s">
        <v>2823</v>
      </c>
      <c r="V275">
        <v>0</v>
      </c>
      <c r="W275" s="21">
        <v>0</v>
      </c>
      <c r="X275" s="56">
        <f>IFERROR(VLOOKUP(A275,Output!A:F,6,0),"-")</f>
        <v>7.4999999999999746E-3</v>
      </c>
    </row>
    <row r="276" spans="1:24" hidden="1" x14ac:dyDescent="0.25">
      <c r="A276" s="21" t="s">
        <v>1738</v>
      </c>
      <c r="B276" s="40" t="s">
        <v>1739</v>
      </c>
      <c r="C276" s="21" t="s">
        <v>244</v>
      </c>
      <c r="D276" s="21" t="s">
        <v>73</v>
      </c>
      <c r="E276" s="21" t="s">
        <v>86</v>
      </c>
      <c r="F276" s="55">
        <v>7.5475387082091423E-4</v>
      </c>
      <c r="G276" s="24">
        <v>4.479266</v>
      </c>
      <c r="H276" s="24">
        <v>4.4785649999999997</v>
      </c>
      <c r="I276" s="24">
        <v>2.8155830000000002</v>
      </c>
      <c r="J276" s="24">
        <v>3.9244720000000002</v>
      </c>
      <c r="K276" s="24">
        <v>1.0782320000000001</v>
      </c>
      <c r="L276" s="24">
        <v>7.8876580000000001</v>
      </c>
      <c r="M276" s="24">
        <v>296.75709999999998</v>
      </c>
      <c r="N276" s="24">
        <v>5.0051655477874766</v>
      </c>
      <c r="O276" s="24">
        <v>9.4845360824742269</v>
      </c>
      <c r="P276" s="24">
        <v>8.518518518518519</v>
      </c>
      <c r="Q276" s="24">
        <v>7.1762022989821608</v>
      </c>
      <c r="R276" s="24">
        <v>2.77</v>
      </c>
      <c r="S276" s="24">
        <v>6.672222518051548</v>
      </c>
      <c r="T276" s="24">
        <v>1.2453207971470941</v>
      </c>
      <c r="U276" s="24" t="s">
        <v>3486</v>
      </c>
      <c r="V276">
        <v>0</v>
      </c>
      <c r="W276" s="21">
        <v>1</v>
      </c>
      <c r="X276" s="56" t="str">
        <f>IFERROR(VLOOKUP(A276,Output!A:F,6,0),"-")</f>
        <v>-</v>
      </c>
    </row>
    <row r="277" spans="1:24" hidden="1" x14ac:dyDescent="0.25">
      <c r="A277" s="21" t="s">
        <v>1644</v>
      </c>
      <c r="B277" s="40" t="s">
        <v>1645</v>
      </c>
      <c r="C277" s="21" t="s">
        <v>244</v>
      </c>
      <c r="D277" s="21" t="s">
        <v>73</v>
      </c>
      <c r="E277" s="21" t="s">
        <v>95</v>
      </c>
      <c r="F277" s="55">
        <v>7.537743589068924E-4</v>
      </c>
      <c r="G277" s="24">
        <v>7.2512819999999998</v>
      </c>
      <c r="H277" s="24">
        <v>5.420636</v>
      </c>
      <c r="I277" s="24">
        <v>6.086735</v>
      </c>
      <c r="J277" s="24">
        <v>6.5357890000000003</v>
      </c>
      <c r="K277" s="24">
        <v>4.8404170000000004</v>
      </c>
      <c r="L277" s="24">
        <v>5.2993230000000002</v>
      </c>
      <c r="M277" s="58">
        <v>1257.7650000000001</v>
      </c>
      <c r="N277" s="24">
        <v>2.5538926614435526</v>
      </c>
      <c r="O277" s="24">
        <v>6.8041237113402069</v>
      </c>
      <c r="P277" s="24">
        <v>3.6454849498327753</v>
      </c>
      <c r="Q277" s="24">
        <v>2.0703417320007178</v>
      </c>
      <c r="R277" s="24">
        <v>7.369999</v>
      </c>
      <c r="S277" s="24">
        <v>4.102777843145275</v>
      </c>
      <c r="T277" s="24">
        <v>0.66875211154170588</v>
      </c>
      <c r="U277" s="24" t="s">
        <v>3494</v>
      </c>
      <c r="V277">
        <v>1</v>
      </c>
      <c r="W277" s="21">
        <v>0</v>
      </c>
      <c r="X277" s="56" t="str">
        <f>IFERROR(VLOOKUP(A277,Output!A:F,6,0),"-")</f>
        <v>-</v>
      </c>
    </row>
    <row r="278" spans="1:24" hidden="1" x14ac:dyDescent="0.25">
      <c r="A278" s="21" t="s">
        <v>1405</v>
      </c>
      <c r="B278" s="40" t="s">
        <v>1406</v>
      </c>
      <c r="C278" s="21" t="s">
        <v>244</v>
      </c>
      <c r="D278" s="21" t="s">
        <v>73</v>
      </c>
      <c r="E278" s="21" t="s">
        <v>92</v>
      </c>
      <c r="F278" s="55">
        <v>7.5147236505883049E-4</v>
      </c>
      <c r="G278" s="24">
        <v>4.684876</v>
      </c>
      <c r="H278" s="24">
        <v>5.3615760000000003</v>
      </c>
      <c r="I278" s="24">
        <v>4.8985789999999998</v>
      </c>
      <c r="J278" s="24">
        <v>4.9519970000000004</v>
      </c>
      <c r="K278" s="24">
        <v>0.93276139999999996</v>
      </c>
      <c r="L278" s="24">
        <v>7.7909369999999996</v>
      </c>
      <c r="M278" s="24">
        <v>47.737200000000001</v>
      </c>
      <c r="N278" s="24">
        <v>6.3565326704545466</v>
      </c>
      <c r="O278" s="24">
        <v>8.1818181818181817</v>
      </c>
      <c r="P278" s="24">
        <v>7.1575695276722175</v>
      </c>
      <c r="Q278" s="24">
        <v>6.1790984868595702</v>
      </c>
      <c r="R278" s="24">
        <v>5.7</v>
      </c>
      <c r="S278" s="24">
        <v>5.8772201889757456</v>
      </c>
      <c r="T278" s="24">
        <v>1.9308316254530491</v>
      </c>
      <c r="U278" s="24" t="s">
        <v>3291</v>
      </c>
      <c r="V278">
        <v>0</v>
      </c>
      <c r="W278" s="21">
        <v>0</v>
      </c>
      <c r="X278" s="56" t="str">
        <f>IFERROR(VLOOKUP(A278,Output!A:F,6,0),"-")</f>
        <v>-</v>
      </c>
    </row>
    <row r="279" spans="1:24" hidden="1" x14ac:dyDescent="0.25">
      <c r="A279" s="21" t="s">
        <v>2559</v>
      </c>
      <c r="B279" s="40" t="s">
        <v>2560</v>
      </c>
      <c r="C279" s="21" t="s">
        <v>247</v>
      </c>
      <c r="D279" s="21" t="s">
        <v>74</v>
      </c>
      <c r="E279" s="21" t="s">
        <v>101</v>
      </c>
      <c r="F279" s="55">
        <v>7.5115172984211028E-4</v>
      </c>
      <c r="G279" s="24">
        <v>6.6938029999999999</v>
      </c>
      <c r="H279" s="24">
        <v>4.4902730000000002</v>
      </c>
      <c r="I279" s="24">
        <v>5.6306200000000004</v>
      </c>
      <c r="J279" s="24">
        <v>5.3871180000000001</v>
      </c>
      <c r="K279" s="24">
        <v>2.0991930000000001</v>
      </c>
      <c r="L279" s="24">
        <v>4.8199319999999997</v>
      </c>
      <c r="M279" s="24">
        <v>6.0837000000000003</v>
      </c>
      <c r="N279" s="24">
        <v>7.2611750980980219</v>
      </c>
      <c r="O279" s="24">
        <v>7.7777777777777777</v>
      </c>
      <c r="P279" s="24">
        <v>6.2017804154302674</v>
      </c>
      <c r="Q279" s="24">
        <v>2.6591973214328508</v>
      </c>
      <c r="R279" s="24">
        <v>4.72</v>
      </c>
      <c r="S279" s="24">
        <v>5.3680211588306532</v>
      </c>
      <c r="T279" s="24">
        <v>0.15540728361378167</v>
      </c>
      <c r="U279" s="24" t="s">
        <v>3988</v>
      </c>
      <c r="V279">
        <v>0</v>
      </c>
      <c r="W279" s="21">
        <v>0</v>
      </c>
      <c r="X279" s="56" t="str">
        <f>IFERROR(VLOOKUP(A279,Output!A:F,6,0),"-")</f>
        <v>-</v>
      </c>
    </row>
    <row r="280" spans="1:24" hidden="1" x14ac:dyDescent="0.25">
      <c r="A280" s="21" t="s">
        <v>747</v>
      </c>
      <c r="B280" s="40" t="s">
        <v>748</v>
      </c>
      <c r="C280" s="21" t="s">
        <v>244</v>
      </c>
      <c r="D280" s="21" t="s">
        <v>73</v>
      </c>
      <c r="E280" s="21" t="s">
        <v>97</v>
      </c>
      <c r="F280" s="55">
        <v>7.4741668672295908E-4</v>
      </c>
      <c r="G280" s="24">
        <v>6.7360280000000001</v>
      </c>
      <c r="H280" s="24">
        <v>3.6207980000000002</v>
      </c>
      <c r="I280" s="24">
        <v>5.6591389999999997</v>
      </c>
      <c r="J280" s="24">
        <v>5.682226</v>
      </c>
      <c r="K280" s="24">
        <v>5.2470439999999998</v>
      </c>
      <c r="L280" s="24">
        <v>4.4611340000000004</v>
      </c>
      <c r="M280" s="24">
        <v>43.764000000000003</v>
      </c>
      <c r="N280" s="24">
        <v>1.3118809716368032</v>
      </c>
      <c r="O280" s="24">
        <v>7.9381443298969065</v>
      </c>
      <c r="P280" s="24">
        <v>9.0000000000000018</v>
      </c>
      <c r="Q280" s="24">
        <v>5.243714004775951</v>
      </c>
      <c r="R280" s="24">
        <v>6.32</v>
      </c>
      <c r="S280" s="24">
        <v>6.1138952822072055</v>
      </c>
      <c r="T280" s="24">
        <v>1.0385860489982526</v>
      </c>
      <c r="U280" s="24" t="s">
        <v>2820</v>
      </c>
      <c r="V280">
        <v>0</v>
      </c>
      <c r="W280" s="21">
        <v>0</v>
      </c>
      <c r="X280" s="56">
        <f>IFERROR(VLOOKUP(A280,Output!A:F,6,0),"-")</f>
        <v>7.4999999999998922E-3</v>
      </c>
    </row>
    <row r="281" spans="1:24" hidden="1" x14ac:dyDescent="0.25">
      <c r="A281" s="21" t="s">
        <v>118</v>
      </c>
      <c r="B281" s="40" t="s">
        <v>186</v>
      </c>
      <c r="C281" s="21" t="s">
        <v>244</v>
      </c>
      <c r="D281" s="21" t="s">
        <v>73</v>
      </c>
      <c r="E281" s="21" t="s">
        <v>88</v>
      </c>
      <c r="F281" s="55">
        <v>7.3959256367021073E-4</v>
      </c>
      <c r="G281" s="21">
        <v>5.9047409999999996</v>
      </c>
      <c r="H281" s="21">
        <v>7.1372689999999999</v>
      </c>
      <c r="I281" s="21">
        <v>5.1924060000000001</v>
      </c>
      <c r="J281" s="21">
        <v>6.0607990000000003</v>
      </c>
      <c r="K281" s="24">
        <v>1.367882</v>
      </c>
      <c r="L281" s="24">
        <v>5.0475339999999997</v>
      </c>
      <c r="M281" s="24">
        <v>18.157</v>
      </c>
      <c r="N281" s="24">
        <v>6.7021775568181816</v>
      </c>
      <c r="O281" s="24">
        <v>3.7373737373737375</v>
      </c>
      <c r="P281" s="24">
        <v>4.9948506900315124</v>
      </c>
      <c r="Q281" s="24">
        <v>4.8976203875763211</v>
      </c>
      <c r="R281" s="24">
        <v>6.43</v>
      </c>
      <c r="S281" s="24">
        <v>5.3125144088608121</v>
      </c>
      <c r="T281" s="24">
        <v>1.4645675340075819</v>
      </c>
      <c r="U281" s="24" t="s">
        <v>3446</v>
      </c>
      <c r="V281">
        <v>0</v>
      </c>
      <c r="W281" s="21">
        <v>0</v>
      </c>
      <c r="X281" s="56" t="str">
        <f>IFERROR(VLOOKUP(A281,Output!A:F,6,0),"-")</f>
        <v>-</v>
      </c>
    </row>
    <row r="282" spans="1:24" x14ac:dyDescent="0.25">
      <c r="A282" s="21" t="s">
        <v>328</v>
      </c>
      <c r="B282" s="40" t="s">
        <v>329</v>
      </c>
      <c r="C282" s="21" t="s">
        <v>248</v>
      </c>
      <c r="D282" s="21" t="s">
        <v>75</v>
      </c>
      <c r="E282" s="21" t="s">
        <v>85</v>
      </c>
      <c r="F282" s="55">
        <v>7.3800558534936253E-4</v>
      </c>
      <c r="G282" s="21">
        <v>3.8800509999999999</v>
      </c>
      <c r="H282" s="21">
        <v>5.8102869999999998</v>
      </c>
      <c r="I282" s="21">
        <v>2.7957230000000002</v>
      </c>
      <c r="J282" s="21">
        <v>4.1761189999999999</v>
      </c>
      <c r="K282" s="24">
        <v>3.4475199999999999</v>
      </c>
      <c r="L282" s="24">
        <v>12.304679999999999</v>
      </c>
      <c r="M282" s="24">
        <v>7.8867000000000003</v>
      </c>
      <c r="N282" s="24">
        <v>9.9198569381825035</v>
      </c>
      <c r="O282" s="24">
        <v>8.7096774193548381</v>
      </c>
      <c r="P282" s="24">
        <v>2.5690607734806625</v>
      </c>
      <c r="Q282" s="24">
        <v>9.5627644569816646</v>
      </c>
      <c r="R282" s="24">
        <v>5.75</v>
      </c>
      <c r="S282" s="24">
        <v>6.3645395654296042</v>
      </c>
      <c r="T282" s="24">
        <v>0.29916329309412537</v>
      </c>
      <c r="U282" s="24" t="s">
        <v>3978</v>
      </c>
      <c r="V282">
        <v>0</v>
      </c>
      <c r="W282" s="21">
        <v>1</v>
      </c>
      <c r="X282" s="56" t="str">
        <f>IFERROR(VLOOKUP(A282,Output!A:F,6,0),"-")</f>
        <v>-</v>
      </c>
    </row>
    <row r="283" spans="1:24" hidden="1" x14ac:dyDescent="0.25">
      <c r="A283" s="21" t="s">
        <v>2752</v>
      </c>
      <c r="B283" s="40" t="s">
        <v>2753</v>
      </c>
      <c r="C283" s="21" t="s">
        <v>298</v>
      </c>
      <c r="D283" s="21" t="s">
        <v>74</v>
      </c>
      <c r="E283" s="21" t="s">
        <v>99</v>
      </c>
      <c r="F283" s="55">
        <v>7.3799914648715024E-4</v>
      </c>
      <c r="G283" s="21">
        <v>5.3320299999999996</v>
      </c>
      <c r="H283" s="21">
        <v>3.2267790000000001</v>
      </c>
      <c r="I283" s="21">
        <v>4.2918950000000002</v>
      </c>
      <c r="J283" s="21">
        <v>4.0738760000000003</v>
      </c>
      <c r="K283" s="24">
        <v>0.1904459</v>
      </c>
      <c r="L283" s="24">
        <v>5.7940620000000003</v>
      </c>
      <c r="M283" s="24">
        <v>2.5953E-2</v>
      </c>
      <c r="N283" s="57">
        <v>7.0047287450822369</v>
      </c>
      <c r="O283" s="24">
        <v>6.4835164835164836</v>
      </c>
      <c r="P283" s="24">
        <v>0</v>
      </c>
      <c r="Q283" s="24">
        <v>6.1601590594687829</v>
      </c>
      <c r="R283" s="24">
        <v>1.1299999999999999</v>
      </c>
      <c r="S283" s="24">
        <v>3.8592117917529807</v>
      </c>
      <c r="T283" s="24">
        <v>0.98019922483719124</v>
      </c>
      <c r="U283" s="24" t="s">
        <v>4104</v>
      </c>
      <c r="V283">
        <v>0</v>
      </c>
      <c r="W283" s="21">
        <v>1</v>
      </c>
      <c r="X283" s="56" t="str">
        <f>IFERROR(VLOOKUP(A283,Output!A:F,6,0),"-")</f>
        <v>-</v>
      </c>
    </row>
    <row r="284" spans="1:24" hidden="1" x14ac:dyDescent="0.25">
      <c r="A284" s="21" t="s">
        <v>169</v>
      </c>
      <c r="B284" s="40" t="s">
        <v>236</v>
      </c>
      <c r="C284" s="21" t="s">
        <v>244</v>
      </c>
      <c r="D284" s="21" t="s">
        <v>73</v>
      </c>
      <c r="E284" s="21" t="s">
        <v>96</v>
      </c>
      <c r="F284" s="55">
        <v>7.3764058234771185E-4</v>
      </c>
      <c r="G284" s="24">
        <v>2.3261810000000001</v>
      </c>
      <c r="H284" s="24">
        <v>5.148606</v>
      </c>
      <c r="I284" s="24">
        <v>4.9098069999999998</v>
      </c>
      <c r="J284" s="24">
        <v>4.1281980000000003</v>
      </c>
      <c r="K284" s="24">
        <v>0.77310210000000001</v>
      </c>
      <c r="L284" s="24">
        <v>12.99817</v>
      </c>
      <c r="M284" s="24">
        <v>2.5739000000000001</v>
      </c>
      <c r="N284" s="24">
        <v>6.0177362361040956</v>
      </c>
      <c r="O284" s="24">
        <v>7.5510204081632644</v>
      </c>
      <c r="P284" s="24">
        <v>7.0259865140557709</v>
      </c>
      <c r="Q284" s="24">
        <v>7.8491516242791715</v>
      </c>
      <c r="R284" s="24">
        <v>5.73</v>
      </c>
      <c r="S284" s="24">
        <v>6.4312789059732829</v>
      </c>
      <c r="T284" s="24">
        <v>1.164600317438351</v>
      </c>
      <c r="U284" s="24" t="s">
        <v>2818</v>
      </c>
      <c r="V284">
        <v>0</v>
      </c>
      <c r="W284" s="21">
        <v>1</v>
      </c>
      <c r="X284" s="56" t="str">
        <f>IFERROR(VLOOKUP(A284,Output!A:F,6,0),"-")</f>
        <v>-</v>
      </c>
    </row>
    <row r="285" spans="1:24" hidden="1" x14ac:dyDescent="0.25">
      <c r="A285" s="21" t="s">
        <v>291</v>
      </c>
      <c r="B285" s="40" t="s">
        <v>292</v>
      </c>
      <c r="C285" s="21" t="s">
        <v>245</v>
      </c>
      <c r="D285" s="21" t="s">
        <v>73</v>
      </c>
      <c r="E285" s="21" t="s">
        <v>85</v>
      </c>
      <c r="F285" s="55">
        <v>7.3372716262383973E-4</v>
      </c>
      <c r="G285" s="24">
        <v>6.6167670000000003</v>
      </c>
      <c r="H285" s="24">
        <v>4.2422890000000004</v>
      </c>
      <c r="I285" s="24">
        <v>6.4293969999999998</v>
      </c>
      <c r="J285" s="24">
        <v>5.7201199999999996</v>
      </c>
      <c r="K285" s="24">
        <v>5.3467399999999996</v>
      </c>
      <c r="L285" s="24">
        <v>13.80223</v>
      </c>
      <c r="M285" s="24">
        <v>3.7018</v>
      </c>
      <c r="N285" s="24">
        <v>5.0748697916666661</v>
      </c>
      <c r="O285" s="24">
        <v>4.4329896907216488</v>
      </c>
      <c r="P285" s="24">
        <v>4.4300518134715032</v>
      </c>
      <c r="Q285" s="24">
        <v>7.6180217973285345</v>
      </c>
      <c r="R285" s="24">
        <v>7.27</v>
      </c>
      <c r="S285" s="24">
        <v>6.8072863648592161</v>
      </c>
      <c r="T285" s="24">
        <v>0.93209780792370234</v>
      </c>
      <c r="U285" s="24" t="s">
        <v>3495</v>
      </c>
      <c r="V285">
        <v>0</v>
      </c>
      <c r="W285" s="21">
        <v>0</v>
      </c>
      <c r="X285" s="56">
        <f>IFERROR(VLOOKUP(A285,Output!A:F,6,0),"-")</f>
        <v>7.4999999999999997E-3</v>
      </c>
    </row>
    <row r="286" spans="1:24" x14ac:dyDescent="0.25">
      <c r="A286" s="21" t="s">
        <v>357</v>
      </c>
      <c r="B286" s="40" t="s">
        <v>358</v>
      </c>
      <c r="C286" s="21" t="s">
        <v>255</v>
      </c>
      <c r="D286" s="21" t="s">
        <v>75</v>
      </c>
      <c r="E286" s="21" t="s">
        <v>85</v>
      </c>
      <c r="F286" s="55">
        <v>7.3009846133841093E-4</v>
      </c>
      <c r="G286" s="21">
        <v>7.6982670000000004</v>
      </c>
      <c r="H286" s="21">
        <v>4.5968609999999996</v>
      </c>
      <c r="I286" s="21">
        <v>4.1739119999999996</v>
      </c>
      <c r="J286" s="21">
        <v>5.379251</v>
      </c>
      <c r="K286" s="24">
        <v>6.1764010000000003</v>
      </c>
      <c r="L286" s="24">
        <v>11.11539</v>
      </c>
      <c r="M286" s="24">
        <v>4.0472000000000001</v>
      </c>
      <c r="N286" s="24">
        <v>5.9808612632494675</v>
      </c>
      <c r="O286" s="24">
        <v>1.9354838709677415</v>
      </c>
      <c r="P286" s="24">
        <v>6.9981580110497248</v>
      </c>
      <c r="Q286" s="24">
        <v>5.3173483779971784</v>
      </c>
      <c r="R286" s="24">
        <v>6.63</v>
      </c>
      <c r="S286" s="24">
        <v>6.8933730535889985</v>
      </c>
      <c r="T286" s="24">
        <v>0.36331913362576873</v>
      </c>
      <c r="U286" s="24" t="s">
        <v>2877</v>
      </c>
      <c r="V286">
        <v>0</v>
      </c>
      <c r="W286" s="21">
        <v>0</v>
      </c>
      <c r="X286" s="56" t="str">
        <f>IFERROR(VLOOKUP(A286,Output!A:F,6,0),"-")</f>
        <v>-</v>
      </c>
    </row>
    <row r="287" spans="1:24" hidden="1" x14ac:dyDescent="0.25">
      <c r="A287" s="21" t="s">
        <v>1899</v>
      </c>
      <c r="B287" s="40" t="s">
        <v>1900</v>
      </c>
      <c r="C287" s="21" t="s">
        <v>244</v>
      </c>
      <c r="D287" s="21" t="s">
        <v>73</v>
      </c>
      <c r="E287" s="21" t="s">
        <v>93</v>
      </c>
      <c r="F287" s="55">
        <v>7.2790633057684341E-4</v>
      </c>
      <c r="G287" s="24">
        <v>5.7437189999999996</v>
      </c>
      <c r="H287" s="24">
        <v>4.9904489999999999</v>
      </c>
      <c r="I287" s="24">
        <v>4.8935899999999997</v>
      </c>
      <c r="J287" s="24">
        <v>5.1825289999999997</v>
      </c>
      <c r="K287" s="24">
        <v>2.9030450000000001</v>
      </c>
      <c r="L287" s="24">
        <v>13.575469999999999</v>
      </c>
      <c r="M287" s="24">
        <v>1.0230999999999999</v>
      </c>
      <c r="N287" s="24">
        <v>2.9774309895833326</v>
      </c>
      <c r="O287" s="24">
        <v>0.82474226804123707</v>
      </c>
      <c r="P287" s="24">
        <v>0.5181347150259068</v>
      </c>
      <c r="Q287" s="24">
        <v>6.8460316434459276</v>
      </c>
      <c r="R287" s="24">
        <v>5.82</v>
      </c>
      <c r="S287" s="24">
        <v>4.6858842006424455</v>
      </c>
      <c r="T287" s="24">
        <v>1.0638433182664755</v>
      </c>
      <c r="U287" s="24" t="s">
        <v>3645</v>
      </c>
      <c r="V287">
        <v>0</v>
      </c>
      <c r="W287" s="21">
        <v>0</v>
      </c>
      <c r="X287" s="56" t="str">
        <f>IFERROR(VLOOKUP(A287,Output!A:F,6,0),"-")</f>
        <v>-</v>
      </c>
    </row>
    <row r="288" spans="1:24" hidden="1" x14ac:dyDescent="0.25">
      <c r="A288" s="21" t="s">
        <v>2059</v>
      </c>
      <c r="B288" s="40" t="s">
        <v>2060</v>
      </c>
      <c r="C288" s="21" t="s">
        <v>244</v>
      </c>
      <c r="D288" s="21" t="s">
        <v>73</v>
      </c>
      <c r="E288" s="21" t="s">
        <v>99</v>
      </c>
      <c r="F288" s="55">
        <v>7.268927128145418E-4</v>
      </c>
      <c r="G288" s="24">
        <v>3.9919799999999999</v>
      </c>
      <c r="H288" s="24">
        <v>3.3823639999999999</v>
      </c>
      <c r="I288" s="24">
        <v>6.3693030000000004</v>
      </c>
      <c r="J288" s="24">
        <v>4.5812150000000003</v>
      </c>
      <c r="K288" s="24">
        <v>0</v>
      </c>
      <c r="L288" s="24">
        <v>2.9866959999999998</v>
      </c>
      <c r="M288" s="24">
        <v>1.5391999999999999</v>
      </c>
      <c r="N288" s="24">
        <v>5.0453835868495336</v>
      </c>
      <c r="O288" s="24">
        <v>3.5416666666666674</v>
      </c>
      <c r="P288" s="24">
        <v>7.5223880597014929</v>
      </c>
      <c r="Q288" s="24">
        <v>3.0181352681951799</v>
      </c>
      <c r="R288" s="24" t="e">
        <v>#N/A</v>
      </c>
      <c r="S288" s="24">
        <v>4.5680017073052461</v>
      </c>
      <c r="T288" s="24">
        <v>1.5251644198530596</v>
      </c>
      <c r="U288" s="24" t="s">
        <v>3663</v>
      </c>
      <c r="V288">
        <v>0</v>
      </c>
      <c r="W288" s="21">
        <v>1</v>
      </c>
      <c r="X288" s="56" t="str">
        <f>IFERROR(VLOOKUP(A288,Output!A:F,6,0),"-")</f>
        <v>-</v>
      </c>
    </row>
    <row r="289" spans="1:24" hidden="1" x14ac:dyDescent="0.25">
      <c r="A289" s="21" t="s">
        <v>2545</v>
      </c>
      <c r="B289" s="40" t="s">
        <v>2546</v>
      </c>
      <c r="C289" s="21" t="s">
        <v>250</v>
      </c>
      <c r="D289" s="21" t="s">
        <v>76</v>
      </c>
      <c r="E289" s="21" t="s">
        <v>89</v>
      </c>
      <c r="F289" s="55">
        <v>7.1516855079845607E-4</v>
      </c>
      <c r="G289" s="24">
        <v>6.7850200000000003</v>
      </c>
      <c r="H289" s="24">
        <v>5.7531379999999999</v>
      </c>
      <c r="I289" s="24">
        <v>7.6362399999999999</v>
      </c>
      <c r="J289" s="24">
        <v>6.7217880000000001</v>
      </c>
      <c r="K289" s="24">
        <v>3.1579480000000002</v>
      </c>
      <c r="L289" s="24">
        <v>5.113245</v>
      </c>
      <c r="M289" s="24">
        <v>1.9522999999999999</v>
      </c>
      <c r="N289" s="24">
        <v>1.1189956331877735</v>
      </c>
      <c r="O289" s="24">
        <v>1.7857142857142858</v>
      </c>
      <c r="P289" s="24">
        <v>6.3793100951248345</v>
      </c>
      <c r="Q289" s="24">
        <v>3.1888977635782743</v>
      </c>
      <c r="R289" s="24">
        <v>1.45</v>
      </c>
      <c r="S289" s="24">
        <v>3.4964022322858401</v>
      </c>
      <c r="T289" s="24">
        <v>0.43451693963870303</v>
      </c>
      <c r="U289" s="24" t="s">
        <v>3983</v>
      </c>
      <c r="V289">
        <v>0</v>
      </c>
      <c r="W289" s="21">
        <v>0</v>
      </c>
      <c r="X289" s="56" t="str">
        <f>IFERROR(VLOOKUP(A289,Output!A:F,6,0),"-")</f>
        <v>-</v>
      </c>
    </row>
    <row r="290" spans="1:24" hidden="1" x14ac:dyDescent="0.25">
      <c r="A290" s="21" t="s">
        <v>655</v>
      </c>
      <c r="B290" s="40" t="s">
        <v>656</v>
      </c>
      <c r="C290" s="21" t="s">
        <v>244</v>
      </c>
      <c r="D290" s="21" t="s">
        <v>73</v>
      </c>
      <c r="E290" s="21" t="s">
        <v>95</v>
      </c>
      <c r="F290" s="55">
        <v>7.1284210939543248E-4</v>
      </c>
      <c r="G290" s="24">
        <v>6.5523389999999999</v>
      </c>
      <c r="H290" s="24">
        <v>6.820449</v>
      </c>
      <c r="I290" s="24">
        <v>4.8777860000000004</v>
      </c>
      <c r="J290" s="24">
        <v>6.1035950000000003</v>
      </c>
      <c r="K290" s="24">
        <v>4.9882730000000004</v>
      </c>
      <c r="L290" s="24">
        <v>7.2756980000000002</v>
      </c>
      <c r="M290" s="24">
        <v>446.923</v>
      </c>
      <c r="N290" s="24">
        <v>7.0449103565921938</v>
      </c>
      <c r="O290" s="24">
        <v>9.3814432989690708</v>
      </c>
      <c r="P290" s="24">
        <v>4.2140468227424748</v>
      </c>
      <c r="Q290" s="24">
        <v>3.9290202884672922</v>
      </c>
      <c r="R290" s="24">
        <v>7.54</v>
      </c>
      <c r="S290" s="24">
        <v>5.6193048200109796</v>
      </c>
      <c r="T290" s="24">
        <v>0.77839396054517163</v>
      </c>
      <c r="U290" s="24" t="s">
        <v>3367</v>
      </c>
      <c r="V290">
        <v>0</v>
      </c>
      <c r="W290" s="21">
        <v>0</v>
      </c>
      <c r="X290" s="56">
        <f>IFERROR(VLOOKUP(A290,Output!A:F,6,0),"-")</f>
        <v>7.4999999999998514E-3</v>
      </c>
    </row>
    <row r="291" spans="1:24" hidden="1" x14ac:dyDescent="0.25">
      <c r="A291" s="21" t="s">
        <v>1672</v>
      </c>
      <c r="B291" s="40" t="s">
        <v>1673</v>
      </c>
      <c r="C291" s="21" t="s">
        <v>244</v>
      </c>
      <c r="D291" s="21" t="s">
        <v>73</v>
      </c>
      <c r="E291" s="21" t="s">
        <v>91</v>
      </c>
      <c r="F291" s="55">
        <v>7.1056687706843962E-4</v>
      </c>
      <c r="G291" s="24">
        <v>3.1892480000000001</v>
      </c>
      <c r="H291" s="24">
        <v>3.7634989999999999</v>
      </c>
      <c r="I291" s="24">
        <v>3.8566449999999999</v>
      </c>
      <c r="J291" s="24">
        <v>3.6859069999999998</v>
      </c>
      <c r="K291" s="24">
        <v>0</v>
      </c>
      <c r="L291" s="24">
        <v>4.926501</v>
      </c>
      <c r="M291" s="24">
        <v>2.9380000000000002</v>
      </c>
      <c r="N291" s="24">
        <v>6.7600457625675539</v>
      </c>
      <c r="O291" s="24">
        <v>7.8787878787878789</v>
      </c>
      <c r="P291" s="24">
        <v>5.4469854659169012</v>
      </c>
      <c r="Q291" s="24">
        <v>4.7831560763538992</v>
      </c>
      <c r="R291" s="24" t="e">
        <v>#N/A</v>
      </c>
      <c r="S291" s="24">
        <v>4.7099734601069665</v>
      </c>
      <c r="T291" s="24">
        <v>1.2981979717754499</v>
      </c>
      <c r="U291" s="24" t="s">
        <v>3452</v>
      </c>
      <c r="V291">
        <v>0</v>
      </c>
      <c r="W291" s="21">
        <v>1</v>
      </c>
      <c r="X291" s="56" t="str">
        <f>IFERROR(VLOOKUP(A291,Output!A:F,6,0),"-")</f>
        <v>-</v>
      </c>
    </row>
    <row r="292" spans="1:24" hidden="1" x14ac:dyDescent="0.25">
      <c r="A292" s="21" t="s">
        <v>2603</v>
      </c>
      <c r="B292" s="40" t="s">
        <v>2604</v>
      </c>
      <c r="C292" s="21" t="s">
        <v>246</v>
      </c>
      <c r="D292" s="21" t="s">
        <v>74</v>
      </c>
      <c r="E292" s="21" t="s">
        <v>92</v>
      </c>
      <c r="F292" s="55">
        <v>7.0915062920343509E-4</v>
      </c>
      <c r="G292" s="24">
        <v>8.0369050000000009</v>
      </c>
      <c r="H292" s="24">
        <v>6.1263139999999998</v>
      </c>
      <c r="I292" s="24">
        <v>5.3078690000000002</v>
      </c>
      <c r="J292" s="24">
        <v>6.6450170000000002</v>
      </c>
      <c r="K292" s="24">
        <v>1.6346780000000001</v>
      </c>
      <c r="L292" s="24">
        <v>3.339108</v>
      </c>
      <c r="M292" s="24">
        <v>30.402000000000001</v>
      </c>
      <c r="N292" s="24">
        <v>4.585186666666667</v>
      </c>
      <c r="O292" s="24">
        <v>5.1020408163265305</v>
      </c>
      <c r="P292" s="24">
        <v>7.9999999999999991</v>
      </c>
      <c r="Q292" s="24">
        <v>1.2698104028115811</v>
      </c>
      <c r="R292" s="24">
        <v>3.31</v>
      </c>
      <c r="S292" s="24">
        <v>4.4865692295215895</v>
      </c>
      <c r="T292" s="24">
        <v>0.85819532486816763</v>
      </c>
      <c r="U292" s="24" t="s">
        <v>4054</v>
      </c>
      <c r="V292">
        <v>0</v>
      </c>
      <c r="W292" s="21">
        <v>0</v>
      </c>
      <c r="X292" s="56" t="str">
        <f>IFERROR(VLOOKUP(A292,Output!A:F,6,0),"-")</f>
        <v>-</v>
      </c>
    </row>
    <row r="293" spans="1:24" hidden="1" x14ac:dyDescent="0.25">
      <c r="A293" s="21" t="s">
        <v>2083</v>
      </c>
      <c r="B293" s="40" t="s">
        <v>2084</v>
      </c>
      <c r="C293" s="21" t="s">
        <v>244</v>
      </c>
      <c r="D293" s="21" t="s">
        <v>73</v>
      </c>
      <c r="E293" s="21" t="s">
        <v>97</v>
      </c>
      <c r="F293" s="55">
        <v>7.0708556536333545E-4</v>
      </c>
      <c r="G293" s="24">
        <v>5.1389060000000004</v>
      </c>
      <c r="H293" s="24">
        <v>4.0597640000000004</v>
      </c>
      <c r="I293" s="24">
        <v>6.467365</v>
      </c>
      <c r="J293" s="24">
        <v>5.4544610000000002</v>
      </c>
      <c r="K293" s="24">
        <v>4.3350410000000004</v>
      </c>
      <c r="L293" s="24">
        <v>3.5328659999999998</v>
      </c>
      <c r="M293" s="24">
        <v>28.034700000000001</v>
      </c>
      <c r="N293" s="24">
        <v>6.7876787479077985</v>
      </c>
      <c r="O293" s="24">
        <v>1.34020618556701</v>
      </c>
      <c r="P293" s="24">
        <v>10</v>
      </c>
      <c r="Q293" s="24">
        <v>4.0609636184857418</v>
      </c>
      <c r="R293" s="24">
        <v>5.5</v>
      </c>
      <c r="S293" s="24">
        <v>6.9168419873093399</v>
      </c>
      <c r="T293" s="24">
        <v>0.81957185071221206</v>
      </c>
      <c r="U293" s="24" t="s">
        <v>3709</v>
      </c>
      <c r="V293">
        <v>0</v>
      </c>
      <c r="W293" s="21">
        <v>0</v>
      </c>
      <c r="X293" s="56" t="str">
        <f>IFERROR(VLOOKUP(A293,Output!A:F,6,0),"-")</f>
        <v>-</v>
      </c>
    </row>
    <row r="294" spans="1:24" hidden="1" x14ac:dyDescent="0.25">
      <c r="A294" s="21" t="s">
        <v>1417</v>
      </c>
      <c r="B294" s="40" t="s">
        <v>1418</v>
      </c>
      <c r="C294" s="21" t="s">
        <v>244</v>
      </c>
      <c r="D294" s="21" t="s">
        <v>73</v>
      </c>
      <c r="E294" s="21" t="s">
        <v>93</v>
      </c>
      <c r="F294" s="55">
        <v>7.0357648606494136E-4</v>
      </c>
      <c r="G294" s="24">
        <v>5.1468340000000001</v>
      </c>
      <c r="H294" s="24">
        <v>4.3265710000000004</v>
      </c>
      <c r="I294" s="24">
        <v>4.861758</v>
      </c>
      <c r="J294" s="24">
        <v>4.7599660000000004</v>
      </c>
      <c r="K294" s="24">
        <v>2.1768429999999999</v>
      </c>
      <c r="L294" s="24">
        <v>9.2696699999999996</v>
      </c>
      <c r="M294" s="24">
        <v>2.0171000000000001</v>
      </c>
      <c r="N294" s="24">
        <v>7.2916666666666652</v>
      </c>
      <c r="O294" s="24">
        <v>9.8969072164948457</v>
      </c>
      <c r="P294" s="24">
        <v>0.43177896373057001</v>
      </c>
      <c r="Q294" s="24">
        <v>5.7038305979244539</v>
      </c>
      <c r="R294" s="24">
        <v>3.85</v>
      </c>
      <c r="S294" s="24">
        <v>4.3904982080283261</v>
      </c>
      <c r="T294" s="24">
        <v>0.58906572128807999</v>
      </c>
      <c r="U294" s="24" t="s">
        <v>3378</v>
      </c>
      <c r="V294">
        <v>0</v>
      </c>
      <c r="W294" s="21">
        <v>0</v>
      </c>
      <c r="X294" s="56" t="str">
        <f>IFERROR(VLOOKUP(A294,Output!A:F,6,0),"-")</f>
        <v>-</v>
      </c>
    </row>
    <row r="295" spans="1:24" hidden="1" x14ac:dyDescent="0.25">
      <c r="A295" s="21" t="s">
        <v>775</v>
      </c>
      <c r="B295" s="40" t="s">
        <v>776</v>
      </c>
      <c r="C295" s="21" t="s">
        <v>244</v>
      </c>
      <c r="D295" s="21" t="s">
        <v>73</v>
      </c>
      <c r="E295" s="21" t="s">
        <v>97</v>
      </c>
      <c r="F295" s="55">
        <v>7.018706906148348E-4</v>
      </c>
      <c r="G295" s="24">
        <v>4.9080219999999999</v>
      </c>
      <c r="H295" s="24">
        <v>6.5244169999999997</v>
      </c>
      <c r="I295" s="24">
        <v>6.0139690000000003</v>
      </c>
      <c r="J295" s="24">
        <v>5.6736800000000001</v>
      </c>
      <c r="K295" s="24">
        <v>6.0879919999999998</v>
      </c>
      <c r="L295" s="24">
        <v>2.5948319999999998</v>
      </c>
      <c r="M295" s="24">
        <v>12.707100000000001</v>
      </c>
      <c r="N295" s="24">
        <v>3.484598434884747</v>
      </c>
      <c r="O295" s="24">
        <v>1.5463917525773194</v>
      </c>
      <c r="P295" s="24">
        <v>8.0454545454545467</v>
      </c>
      <c r="Q295" s="24">
        <v>4.0333375474083439</v>
      </c>
      <c r="R295" s="24">
        <v>7</v>
      </c>
      <c r="S295" s="24">
        <v>5.342213762051891</v>
      </c>
      <c r="T295" s="24">
        <v>0.98792796026614149</v>
      </c>
      <c r="U295" s="24" t="s">
        <v>3691</v>
      </c>
      <c r="V295">
        <v>0</v>
      </c>
      <c r="W295" s="21">
        <v>0</v>
      </c>
      <c r="X295" s="56" t="str">
        <f>IFERROR(VLOOKUP(A295,Output!A:F,6,0),"-")</f>
        <v>-</v>
      </c>
    </row>
    <row r="296" spans="1:24" hidden="1" x14ac:dyDescent="0.25">
      <c r="A296" s="21" t="s">
        <v>1928</v>
      </c>
      <c r="B296" s="40" t="s">
        <v>1929</v>
      </c>
      <c r="C296" s="21" t="s">
        <v>244</v>
      </c>
      <c r="D296" s="21" t="s">
        <v>73</v>
      </c>
      <c r="E296" s="21" t="s">
        <v>102</v>
      </c>
      <c r="F296" s="55">
        <v>6.9954324313959034E-4</v>
      </c>
      <c r="G296" s="21">
        <v>1.4754389999999999</v>
      </c>
      <c r="H296" s="21">
        <v>6.7416929999999997</v>
      </c>
      <c r="I296" s="21">
        <v>5.585839</v>
      </c>
      <c r="J296" s="21">
        <v>3.3507699999999998</v>
      </c>
      <c r="K296" s="24">
        <v>4.2381330000000004</v>
      </c>
      <c r="L296" s="24">
        <v>7.0699610000000002</v>
      </c>
      <c r="M296" s="24">
        <v>3841.4540000000002</v>
      </c>
      <c r="N296" s="24">
        <v>9.7315773966760624</v>
      </c>
      <c r="O296" s="24">
        <v>5.2577319587628866</v>
      </c>
      <c r="P296" s="24">
        <v>2.7777777777777777</v>
      </c>
      <c r="Q296" s="24">
        <v>6.6075045108075265</v>
      </c>
      <c r="R296" s="24">
        <v>6.99</v>
      </c>
      <c r="S296" s="24">
        <v>5.7527652373573588</v>
      </c>
      <c r="T296" s="24">
        <v>0.51516800787830463</v>
      </c>
      <c r="U296" s="24" t="s">
        <v>3628</v>
      </c>
      <c r="V296">
        <v>1</v>
      </c>
      <c r="W296" s="21">
        <v>1</v>
      </c>
      <c r="X296" s="56" t="str">
        <f>IFERROR(VLOOKUP(A296,Output!A:F,6,0),"-")</f>
        <v>-</v>
      </c>
    </row>
    <row r="297" spans="1:24" hidden="1" x14ac:dyDescent="0.25">
      <c r="A297" s="21" t="s">
        <v>2120</v>
      </c>
      <c r="B297" s="40" t="s">
        <v>2121</v>
      </c>
      <c r="C297" s="21" t="s">
        <v>247</v>
      </c>
      <c r="D297" s="21" t="s">
        <v>74</v>
      </c>
      <c r="E297" s="21" t="s">
        <v>92</v>
      </c>
      <c r="F297" s="55">
        <v>6.9878094221800628E-4</v>
      </c>
      <c r="G297" s="21">
        <v>3.937011</v>
      </c>
      <c r="H297" s="21">
        <v>5.8563660000000004</v>
      </c>
      <c r="I297" s="21">
        <v>4.1126379999999996</v>
      </c>
      <c r="J297" s="21">
        <v>4.5655060000000001</v>
      </c>
      <c r="K297" s="24">
        <v>0.53253910000000004</v>
      </c>
      <c r="L297" s="24">
        <v>5.2259370000000001</v>
      </c>
      <c r="M297" s="24">
        <v>29.448699999999999</v>
      </c>
      <c r="N297" s="24">
        <v>7.4000014814814818</v>
      </c>
      <c r="O297" s="24">
        <v>10</v>
      </c>
      <c r="P297" s="24">
        <v>4.8858443835616443</v>
      </c>
      <c r="Q297" s="24">
        <v>4.8876335168072762</v>
      </c>
      <c r="R297" s="24" t="e">
        <v>#N/A</v>
      </c>
      <c r="S297" s="24">
        <v>4.5504900807992428</v>
      </c>
      <c r="T297" s="24">
        <v>0.79936081533588221</v>
      </c>
      <c r="U297" s="24" t="s">
        <v>3725</v>
      </c>
      <c r="V297">
        <v>0</v>
      </c>
      <c r="W297" s="21">
        <v>1</v>
      </c>
      <c r="X297" s="56" t="str">
        <f>IFERROR(VLOOKUP(A297,Output!A:F,6,0),"-")</f>
        <v>-</v>
      </c>
    </row>
    <row r="298" spans="1:24" hidden="1" x14ac:dyDescent="0.25">
      <c r="A298" s="21" t="s">
        <v>1612</v>
      </c>
      <c r="B298" s="40" t="s">
        <v>1613</v>
      </c>
      <c r="C298" s="21" t="s">
        <v>244</v>
      </c>
      <c r="D298" s="21" t="s">
        <v>73</v>
      </c>
      <c r="E298" s="21" t="s">
        <v>89</v>
      </c>
      <c r="F298" s="55">
        <v>6.9838344308362872E-4</v>
      </c>
      <c r="G298" s="24">
        <v>2.5157060000000002</v>
      </c>
      <c r="H298" s="24">
        <v>4.8629559999999996</v>
      </c>
      <c r="I298" s="24">
        <v>5.9983940000000002</v>
      </c>
      <c r="J298" s="24">
        <v>4.556184</v>
      </c>
      <c r="K298" s="24">
        <v>3.0726079999999998</v>
      </c>
      <c r="L298" s="24">
        <v>10.29358</v>
      </c>
      <c r="M298" s="24">
        <v>6.7470999999999997</v>
      </c>
      <c r="N298" s="24">
        <v>4.8220481770833326</v>
      </c>
      <c r="O298" s="24">
        <v>8.144329896907216</v>
      </c>
      <c r="P298" s="24">
        <v>5.0777202072538872</v>
      </c>
      <c r="Q298" s="24">
        <v>5.6091254861098596</v>
      </c>
      <c r="R298" s="24">
        <v>6.11</v>
      </c>
      <c r="S298" s="24">
        <v>5.9522327833379816</v>
      </c>
      <c r="T298" s="24">
        <v>1.0583285392926243</v>
      </c>
      <c r="U298" s="24" t="s">
        <v>2814</v>
      </c>
      <c r="V298">
        <v>0</v>
      </c>
      <c r="W298" s="21">
        <v>1</v>
      </c>
      <c r="X298" s="56" t="str">
        <f>IFERROR(VLOOKUP(A298,Output!A:F,6,0),"-")</f>
        <v>-</v>
      </c>
    </row>
    <row r="299" spans="1:24" hidden="1" x14ac:dyDescent="0.25">
      <c r="A299" s="21" t="s">
        <v>1514</v>
      </c>
      <c r="B299" s="40" t="s">
        <v>1515</v>
      </c>
      <c r="C299" s="21" t="s">
        <v>244</v>
      </c>
      <c r="D299" s="21" t="s">
        <v>73</v>
      </c>
      <c r="E299" s="21" t="s">
        <v>89</v>
      </c>
      <c r="F299" s="55">
        <v>6.9201178649582829E-4</v>
      </c>
      <c r="G299" s="24">
        <v>4.5170640000000004</v>
      </c>
      <c r="H299" s="24">
        <v>4.5970839999999997</v>
      </c>
      <c r="I299" s="24">
        <v>3.6055299999999999</v>
      </c>
      <c r="J299" s="24">
        <v>4.2260340000000003</v>
      </c>
      <c r="K299" s="24">
        <v>1.328282</v>
      </c>
      <c r="L299" s="24">
        <v>9.2899370000000001</v>
      </c>
      <c r="M299" s="24">
        <v>3.3725999999999998</v>
      </c>
      <c r="N299" s="24">
        <v>7.4956601562499987</v>
      </c>
      <c r="O299" s="24">
        <v>8.5567010309278349</v>
      </c>
      <c r="P299" s="24">
        <v>8.0310880829015545</v>
      </c>
      <c r="Q299" s="24">
        <v>3.8656904731593662</v>
      </c>
      <c r="R299" s="24">
        <v>4.28</v>
      </c>
      <c r="S299" s="24">
        <v>6.1966175026434556</v>
      </c>
      <c r="T299" s="24">
        <v>1.2786948340235107</v>
      </c>
      <c r="U299" s="24" t="s">
        <v>2812</v>
      </c>
      <c r="V299">
        <v>0</v>
      </c>
      <c r="W299" s="21">
        <v>1</v>
      </c>
      <c r="X299" s="56" t="str">
        <f>IFERROR(VLOOKUP(A299,Output!A:F,6,0),"-")</f>
        <v>-</v>
      </c>
    </row>
    <row r="300" spans="1:24" hidden="1" x14ac:dyDescent="0.25">
      <c r="A300" s="21" t="s">
        <v>1387</v>
      </c>
      <c r="B300" s="40" t="s">
        <v>1388</v>
      </c>
      <c r="C300" s="21" t="s">
        <v>244</v>
      </c>
      <c r="D300" s="21" t="s">
        <v>73</v>
      </c>
      <c r="E300" s="21" t="s">
        <v>92</v>
      </c>
      <c r="F300" s="55">
        <v>6.9022952955695243E-4</v>
      </c>
      <c r="G300" s="24">
        <v>6.0287889999999997</v>
      </c>
      <c r="H300" s="24">
        <v>4.3235279999999996</v>
      </c>
      <c r="I300" s="24">
        <v>4.6647970000000001</v>
      </c>
      <c r="J300" s="24">
        <v>5.1080129999999997</v>
      </c>
      <c r="K300" s="24">
        <v>1.4400470000000001</v>
      </c>
      <c r="L300" s="24">
        <v>6.0873989999999996</v>
      </c>
      <c r="M300" s="24">
        <v>13.4977</v>
      </c>
      <c r="N300" s="24">
        <v>4.8697911931818183</v>
      </c>
      <c r="O300" s="24">
        <v>7.3737373737373737</v>
      </c>
      <c r="P300" s="24">
        <v>9.0113285313642493</v>
      </c>
      <c r="Q300" s="24">
        <v>3.2561720201752054</v>
      </c>
      <c r="R300" s="24">
        <v>6.15</v>
      </c>
      <c r="S300" s="24">
        <v>6.5384304405080576</v>
      </c>
      <c r="T300" s="24">
        <v>1.1677382867574198</v>
      </c>
      <c r="U300" s="24" t="s">
        <v>3341</v>
      </c>
      <c r="V300">
        <v>0</v>
      </c>
      <c r="W300" s="21">
        <v>0</v>
      </c>
      <c r="X300" s="56" t="str">
        <f>IFERROR(VLOOKUP(A300,Output!A:F,6,0),"-")</f>
        <v>-</v>
      </c>
    </row>
    <row r="301" spans="1:24" hidden="1" x14ac:dyDescent="0.25">
      <c r="A301" s="21" t="s">
        <v>1784</v>
      </c>
      <c r="B301" s="40" t="s">
        <v>1785</v>
      </c>
      <c r="C301" s="21" t="s">
        <v>244</v>
      </c>
      <c r="D301" s="21" t="s">
        <v>73</v>
      </c>
      <c r="E301" s="21" t="s">
        <v>92</v>
      </c>
      <c r="F301" s="55">
        <v>6.9000537666619242E-4</v>
      </c>
      <c r="G301" s="24">
        <v>5.5781710000000002</v>
      </c>
      <c r="H301" s="24">
        <v>6.256208</v>
      </c>
      <c r="I301" s="24">
        <v>4.9364549999999996</v>
      </c>
      <c r="J301" s="24">
        <v>5.589067</v>
      </c>
      <c r="K301" s="24">
        <v>2.225641</v>
      </c>
      <c r="L301" s="24">
        <v>6.6817229999999999</v>
      </c>
      <c r="M301" s="24">
        <v>36.827100000000002</v>
      </c>
      <c r="N301" s="24">
        <v>4.0009460227272733</v>
      </c>
      <c r="O301" s="24">
        <v>2.1212121212121211</v>
      </c>
      <c r="P301" s="24">
        <v>4.0679711881854947</v>
      </c>
      <c r="Q301" s="24">
        <v>7.3223604990708786</v>
      </c>
      <c r="R301" s="24">
        <v>6.62</v>
      </c>
      <c r="S301" s="24">
        <v>5.812195546930579</v>
      </c>
      <c r="T301" s="24">
        <v>1.2546791654642075</v>
      </c>
      <c r="U301" s="24" t="s">
        <v>3539</v>
      </c>
      <c r="V301">
        <v>0</v>
      </c>
      <c r="W301" s="21">
        <v>0</v>
      </c>
      <c r="X301" s="56" t="str">
        <f>IFERROR(VLOOKUP(A301,Output!A:F,6,0),"-")</f>
        <v>-</v>
      </c>
    </row>
    <row r="302" spans="1:24" hidden="1" x14ac:dyDescent="0.25">
      <c r="A302" s="21" t="s">
        <v>1865</v>
      </c>
      <c r="B302" s="40" t="s">
        <v>1866</v>
      </c>
      <c r="C302" s="21" t="s">
        <v>244</v>
      </c>
      <c r="D302" s="21" t="s">
        <v>73</v>
      </c>
      <c r="E302" s="21" t="s">
        <v>99</v>
      </c>
      <c r="F302" s="55">
        <v>6.8920564985800023E-4</v>
      </c>
      <c r="G302" s="24">
        <v>6.1406539999999996</v>
      </c>
      <c r="H302" s="24">
        <v>4.9091060000000004</v>
      </c>
      <c r="I302" s="24">
        <v>7.2090319999999997</v>
      </c>
      <c r="J302" s="24">
        <v>6.0917019999999997</v>
      </c>
      <c r="K302" s="24">
        <v>1.6822999999999999</v>
      </c>
      <c r="L302" s="24">
        <v>6.0286650000000002</v>
      </c>
      <c r="M302" s="24">
        <v>41.7455</v>
      </c>
      <c r="N302" s="24">
        <v>4.9427786063755805</v>
      </c>
      <c r="O302" s="24">
        <v>4.7916666666666679</v>
      </c>
      <c r="P302" s="24">
        <v>5.6119402985074629</v>
      </c>
      <c r="Q302" s="24">
        <v>7.978806876810788</v>
      </c>
      <c r="R302" s="24">
        <v>6.9200010000000001</v>
      </c>
      <c r="S302" s="24">
        <v>6.870633741776949</v>
      </c>
      <c r="T302" s="24">
        <v>1.3205701469581186</v>
      </c>
      <c r="U302" s="24" t="s">
        <v>3520</v>
      </c>
      <c r="V302">
        <v>0</v>
      </c>
      <c r="W302" s="21">
        <v>0</v>
      </c>
      <c r="X302" s="56">
        <f>IFERROR(VLOOKUP(A302,Output!A:F,6,0),"-")</f>
        <v>7.4999999999999997E-3</v>
      </c>
    </row>
    <row r="303" spans="1:24" hidden="1" x14ac:dyDescent="0.25">
      <c r="A303" s="21" t="s">
        <v>1977</v>
      </c>
      <c r="B303" s="40" t="s">
        <v>4439</v>
      </c>
      <c r="C303" s="21" t="s">
        <v>244</v>
      </c>
      <c r="D303" s="21" t="s">
        <v>73</v>
      </c>
      <c r="E303" s="21" t="s">
        <v>102</v>
      </c>
      <c r="F303" s="55">
        <v>6.8894658626118355E-4</v>
      </c>
      <c r="G303" s="21">
        <v>4.7422279999999999</v>
      </c>
      <c r="H303" s="21">
        <v>4.6491680000000004</v>
      </c>
      <c r="I303" s="21">
        <v>3.8580999999999999</v>
      </c>
      <c r="J303" s="21">
        <v>4.5467909999999998</v>
      </c>
      <c r="K303" s="24">
        <v>3.8073839999999999</v>
      </c>
      <c r="L303" s="24">
        <v>6.6170470000000003</v>
      </c>
      <c r="M303" s="24">
        <v>804.33240000000001</v>
      </c>
      <c r="N303" s="24">
        <v>2.6026307786704446</v>
      </c>
      <c r="O303" s="24">
        <v>7.8350515463917523</v>
      </c>
      <c r="P303" s="24">
        <v>4.5238095238095237</v>
      </c>
      <c r="Q303" s="24">
        <v>4.8322716058474784</v>
      </c>
      <c r="R303" s="24">
        <v>5.65</v>
      </c>
      <c r="S303" s="24">
        <v>4.9430096001724433</v>
      </c>
      <c r="T303" s="24">
        <v>0.53960011302244748</v>
      </c>
      <c r="U303" s="24" t="s">
        <v>3679</v>
      </c>
      <c r="V303">
        <v>0</v>
      </c>
      <c r="W303" s="21">
        <v>1</v>
      </c>
      <c r="X303" s="56" t="str">
        <f>IFERROR(VLOOKUP(A303,Output!A:F,6,0),"-")</f>
        <v>-</v>
      </c>
    </row>
    <row r="304" spans="1:24" hidden="1" x14ac:dyDescent="0.25">
      <c r="A304" s="21" t="s">
        <v>2142</v>
      </c>
      <c r="B304" s="40" t="s">
        <v>2143</v>
      </c>
      <c r="C304" s="21" t="s">
        <v>244</v>
      </c>
      <c r="D304" s="21" t="s">
        <v>73</v>
      </c>
      <c r="E304" s="21" t="s">
        <v>95</v>
      </c>
      <c r="F304" s="55">
        <v>6.8778527709689101E-4</v>
      </c>
      <c r="G304" s="24">
        <v>3.2174269999999998</v>
      </c>
      <c r="H304" s="24">
        <v>4.5434450000000002</v>
      </c>
      <c r="I304" s="24">
        <v>3.9340350000000002</v>
      </c>
      <c r="J304" s="24">
        <v>3.697613</v>
      </c>
      <c r="K304" s="24">
        <v>1.2315389999999999</v>
      </c>
      <c r="L304" s="24">
        <v>5.8716309999999998</v>
      </c>
      <c r="M304" s="24">
        <v>1020.577</v>
      </c>
      <c r="N304" s="24">
        <v>6.6407187640288159</v>
      </c>
      <c r="O304" s="24">
        <v>0.30927835051546393</v>
      </c>
      <c r="P304" s="24">
        <v>3.2441471571906351</v>
      </c>
      <c r="Q304" s="24">
        <v>4.9883296427075212</v>
      </c>
      <c r="R304" s="24">
        <v>3.14</v>
      </c>
      <c r="S304" s="24">
        <v>4.4188726395594013</v>
      </c>
      <c r="T304" s="24">
        <v>0.67768675622406049</v>
      </c>
      <c r="U304" s="24" t="s">
        <v>3736</v>
      </c>
      <c r="V304">
        <v>1</v>
      </c>
      <c r="W304" s="21">
        <v>1</v>
      </c>
      <c r="X304" s="56" t="str">
        <f>IFERROR(VLOOKUP(A304,Output!A:F,6,0),"-")</f>
        <v>-</v>
      </c>
    </row>
    <row r="305" spans="1:24" hidden="1" x14ac:dyDescent="0.25">
      <c r="A305" s="21" t="s">
        <v>1605</v>
      </c>
      <c r="B305" s="40" t="s">
        <v>1606</v>
      </c>
      <c r="C305" s="21" t="s">
        <v>245</v>
      </c>
      <c r="D305" s="21" t="s">
        <v>73</v>
      </c>
      <c r="E305" s="21" t="s">
        <v>102</v>
      </c>
      <c r="F305" s="55">
        <v>6.8690466208215875E-4</v>
      </c>
      <c r="G305" s="24">
        <v>1.8136939999999999</v>
      </c>
      <c r="H305" s="24">
        <v>4.5582599999999998</v>
      </c>
      <c r="I305" s="24">
        <v>5.3973319999999996</v>
      </c>
      <c r="J305" s="24">
        <v>3.7121550000000001</v>
      </c>
      <c r="K305" s="24">
        <v>0.68522649999999996</v>
      </c>
      <c r="L305" s="24">
        <v>3.2798509999999998</v>
      </c>
      <c r="M305" s="24">
        <v>43.824199999999998</v>
      </c>
      <c r="N305" s="24">
        <v>9.752629499723211</v>
      </c>
      <c r="O305" s="24">
        <v>8.8659793814432977</v>
      </c>
      <c r="P305" s="24">
        <v>5.7539682539682548</v>
      </c>
      <c r="Q305" s="24">
        <v>0</v>
      </c>
      <c r="R305" s="24">
        <v>2.67</v>
      </c>
      <c r="S305" s="24">
        <v>3.9482614884505454</v>
      </c>
      <c r="T305" s="24">
        <v>0.54970398866971781</v>
      </c>
      <c r="U305" s="24" t="s">
        <v>3440</v>
      </c>
      <c r="V305">
        <v>0</v>
      </c>
      <c r="W305" s="21">
        <v>1</v>
      </c>
      <c r="X305" s="56" t="str">
        <f>IFERROR(VLOOKUP(A305,Output!A:F,6,0),"-")</f>
        <v>-</v>
      </c>
    </row>
    <row r="306" spans="1:24" hidden="1" x14ac:dyDescent="0.25">
      <c r="A306" s="21" t="s">
        <v>1841</v>
      </c>
      <c r="B306" s="40" t="s">
        <v>1842</v>
      </c>
      <c r="C306" s="21" t="s">
        <v>244</v>
      </c>
      <c r="D306" s="21" t="s">
        <v>73</v>
      </c>
      <c r="E306" s="21" t="s">
        <v>91</v>
      </c>
      <c r="F306" s="55">
        <v>6.8441644426605512E-4</v>
      </c>
      <c r="G306" s="24">
        <v>5.0742950000000002</v>
      </c>
      <c r="H306" s="24">
        <v>4.2572869999999998</v>
      </c>
      <c r="I306" s="24">
        <v>5.1010330000000002</v>
      </c>
      <c r="J306" s="24">
        <v>4.7581870000000004</v>
      </c>
      <c r="K306" s="24">
        <v>0</v>
      </c>
      <c r="L306" s="24">
        <v>2.0665870000000002</v>
      </c>
      <c r="M306" s="24">
        <v>21.081499999999998</v>
      </c>
      <c r="N306" s="24">
        <v>7.6693453346181082</v>
      </c>
      <c r="O306" s="24">
        <v>8.282828282828282</v>
      </c>
      <c r="P306" s="24">
        <v>10</v>
      </c>
      <c r="Q306" s="24">
        <v>1.0466507356116659</v>
      </c>
      <c r="R306" s="24" t="e">
        <v>#N/A</v>
      </c>
      <c r="S306" s="24">
        <v>4.5187004680374052</v>
      </c>
      <c r="T306" s="24">
        <v>1.3993049106974165</v>
      </c>
      <c r="U306" s="24" t="s">
        <v>3538</v>
      </c>
      <c r="V306">
        <v>0</v>
      </c>
      <c r="W306" s="21">
        <v>0</v>
      </c>
      <c r="X306" s="56" t="str">
        <f>IFERROR(VLOOKUP(A306,Output!A:F,6,0),"-")</f>
        <v>-</v>
      </c>
    </row>
    <row r="307" spans="1:24" hidden="1" x14ac:dyDescent="0.25">
      <c r="A307" s="21" t="s">
        <v>2613</v>
      </c>
      <c r="B307" s="40" t="s">
        <v>2614</v>
      </c>
      <c r="C307" s="21" t="s">
        <v>257</v>
      </c>
      <c r="D307" s="21" t="s">
        <v>74</v>
      </c>
      <c r="E307" s="21" t="s">
        <v>99</v>
      </c>
      <c r="F307" s="55">
        <v>6.844128224060607E-4</v>
      </c>
      <c r="G307" s="24">
        <v>5.5589269999999997</v>
      </c>
      <c r="H307" s="24">
        <v>5.9367070000000002</v>
      </c>
      <c r="I307" s="24">
        <v>6.1544179999999997</v>
      </c>
      <c r="J307" s="24">
        <v>5.8509080000000004</v>
      </c>
      <c r="K307" s="24">
        <v>1.154415</v>
      </c>
      <c r="L307" s="24">
        <v>6.5465819999999999</v>
      </c>
      <c r="M307" s="24">
        <v>110.5257</v>
      </c>
      <c r="N307" s="24">
        <v>2.5013131899764969</v>
      </c>
      <c r="O307" s="24">
        <v>0.54945054945054961</v>
      </c>
      <c r="P307" s="24">
        <v>4.201680282465901</v>
      </c>
      <c r="Q307" s="24">
        <v>7.8818011908569829</v>
      </c>
      <c r="R307" s="24">
        <v>3.78</v>
      </c>
      <c r="S307" s="24">
        <v>5.4608009059002667</v>
      </c>
      <c r="T307" s="24">
        <v>0.95959094932970779</v>
      </c>
      <c r="U307" s="24" t="s">
        <v>2859</v>
      </c>
      <c r="V307">
        <v>0</v>
      </c>
      <c r="W307" s="21">
        <v>0</v>
      </c>
      <c r="X307" s="56" t="str">
        <f>IFERROR(VLOOKUP(A307,Output!A:F,6,0),"-")</f>
        <v>-</v>
      </c>
    </row>
    <row r="308" spans="1:24" hidden="1" x14ac:dyDescent="0.25">
      <c r="A308" s="21" t="s">
        <v>2605</v>
      </c>
      <c r="B308" s="40" t="s">
        <v>2606</v>
      </c>
      <c r="C308" s="21" t="s">
        <v>246</v>
      </c>
      <c r="D308" s="21" t="s">
        <v>74</v>
      </c>
      <c r="E308" s="21" t="s">
        <v>89</v>
      </c>
      <c r="F308" s="55">
        <v>6.8215871759570149E-4</v>
      </c>
      <c r="G308" s="24" t="e">
        <v>#N/A</v>
      </c>
      <c r="H308" s="24" t="e">
        <v>#N/A</v>
      </c>
      <c r="I308" s="24" t="e">
        <v>#N/A</v>
      </c>
      <c r="J308" s="24" t="e">
        <v>#N/A</v>
      </c>
      <c r="K308" s="24">
        <v>1.889616</v>
      </c>
      <c r="L308" s="24">
        <v>6.7521760000000004</v>
      </c>
      <c r="M308" s="24" t="e">
        <v>#N/A</v>
      </c>
      <c r="N308" s="24">
        <v>2.7303679702377499</v>
      </c>
      <c r="O308" s="24">
        <v>7.2727272727272734</v>
      </c>
      <c r="P308" s="24">
        <v>9.1578947368421044</v>
      </c>
      <c r="Q308" s="24">
        <v>3.845093715545755</v>
      </c>
      <c r="R308" s="24">
        <v>1.81</v>
      </c>
      <c r="S308" s="24">
        <v>4.9762488677288506</v>
      </c>
      <c r="T308" s="24">
        <v>0.46921757256833535</v>
      </c>
      <c r="U308" s="24" t="s">
        <v>4055</v>
      </c>
      <c r="V308">
        <v>0</v>
      </c>
      <c r="W308" s="21">
        <v>0</v>
      </c>
      <c r="X308" s="56" t="str">
        <f>IFERROR(VLOOKUP(A308,Output!A:F,6,0),"-")</f>
        <v>-</v>
      </c>
    </row>
    <row r="309" spans="1:24" hidden="1" x14ac:dyDescent="0.25">
      <c r="A309" s="21" t="s">
        <v>1528</v>
      </c>
      <c r="B309" s="40" t="s">
        <v>1529</v>
      </c>
      <c r="C309" s="21" t="s">
        <v>244</v>
      </c>
      <c r="D309" s="21" t="s">
        <v>73</v>
      </c>
      <c r="E309" s="21" t="s">
        <v>92</v>
      </c>
      <c r="F309" s="55">
        <v>6.8193084223772495E-4</v>
      </c>
      <c r="G309" s="21">
        <v>3.7203919999999999</v>
      </c>
      <c r="H309" s="21">
        <v>4.5792710000000003</v>
      </c>
      <c r="I309" s="21">
        <v>5.7380649999999997</v>
      </c>
      <c r="J309" s="21">
        <v>4.7271850000000004</v>
      </c>
      <c r="K309" s="24">
        <v>2.2056390000000001</v>
      </c>
      <c r="L309" s="24">
        <v>8.0610130000000009</v>
      </c>
      <c r="M309" s="24">
        <v>5.7558999999999996</v>
      </c>
      <c r="N309" s="24">
        <v>1.5459275568181821</v>
      </c>
      <c r="O309" s="24">
        <v>6.9696969696969706</v>
      </c>
      <c r="P309" s="24">
        <v>1.9979403007293914</v>
      </c>
      <c r="Q309" s="24">
        <v>6.6290597292275022</v>
      </c>
      <c r="R309" s="24">
        <v>4.72</v>
      </c>
      <c r="S309" s="24">
        <v>4.764480004550177</v>
      </c>
      <c r="T309" s="24">
        <v>1.1581639419443275</v>
      </c>
      <c r="U309" s="24" t="s">
        <v>3432</v>
      </c>
      <c r="V309">
        <v>0</v>
      </c>
      <c r="W309" s="21">
        <v>0</v>
      </c>
      <c r="X309" s="56" t="str">
        <f>IFERROR(VLOOKUP(A309,Output!A:F,6,0),"-")</f>
        <v>-</v>
      </c>
    </row>
    <row r="310" spans="1:24" hidden="1" x14ac:dyDescent="0.25">
      <c r="A310" s="21" t="s">
        <v>1847</v>
      </c>
      <c r="B310" s="40" t="s">
        <v>1848</v>
      </c>
      <c r="C310" s="21" t="s">
        <v>244</v>
      </c>
      <c r="D310" s="21" t="s">
        <v>73</v>
      </c>
      <c r="E310" s="21" t="s">
        <v>97</v>
      </c>
      <c r="F310" s="55">
        <v>6.8096793051534391E-4</v>
      </c>
      <c r="G310" s="24">
        <v>5.5549559999999998</v>
      </c>
      <c r="H310" s="24">
        <v>7.6665749999999999</v>
      </c>
      <c r="I310" s="24">
        <v>5.834206</v>
      </c>
      <c r="J310" s="24">
        <v>6.0889800000000003</v>
      </c>
      <c r="K310" s="24">
        <v>5.9318169999999997</v>
      </c>
      <c r="L310" s="24">
        <v>2.765908</v>
      </c>
      <c r="M310" s="24">
        <v>46.767400000000002</v>
      </c>
      <c r="N310" s="24">
        <v>10</v>
      </c>
      <c r="O310" s="24">
        <v>5.5670103092783503</v>
      </c>
      <c r="P310" s="24">
        <v>2.3636363636363638</v>
      </c>
      <c r="Q310" s="24">
        <v>6.4763309453574944</v>
      </c>
      <c r="R310" s="24">
        <v>7.4200010000000001</v>
      </c>
      <c r="S310" s="24">
        <v>6.2772229636640251</v>
      </c>
      <c r="T310" s="24">
        <v>0.64491632632816798</v>
      </c>
      <c r="U310" s="24" t="s">
        <v>3544</v>
      </c>
      <c r="V310">
        <v>0</v>
      </c>
      <c r="W310" s="21">
        <v>0</v>
      </c>
      <c r="X310" s="56" t="str">
        <f>IFERROR(VLOOKUP(A310,Output!A:F,6,0),"-")</f>
        <v>-</v>
      </c>
    </row>
    <row r="311" spans="1:24" hidden="1" x14ac:dyDescent="0.25">
      <c r="A311" s="21" t="s">
        <v>1580</v>
      </c>
      <c r="B311" s="40" t="s">
        <v>1581</v>
      </c>
      <c r="C311" s="21" t="s">
        <v>244</v>
      </c>
      <c r="D311" s="21" t="s">
        <v>73</v>
      </c>
      <c r="E311" s="21" t="s">
        <v>92</v>
      </c>
      <c r="F311" s="55">
        <v>6.7951999137538907E-4</v>
      </c>
      <c r="G311" s="21">
        <v>5.9992530000000004</v>
      </c>
      <c r="H311" s="21">
        <v>5.779509</v>
      </c>
      <c r="I311" s="21">
        <v>4.6383409999999996</v>
      </c>
      <c r="J311" s="21">
        <v>5.5250560000000002</v>
      </c>
      <c r="K311" s="24">
        <v>0.81078289999999997</v>
      </c>
      <c r="L311" s="24">
        <v>4.8738029999999997</v>
      </c>
      <c r="M311" s="24">
        <v>8.7360000000000007</v>
      </c>
      <c r="N311" s="24">
        <v>6.98863494318182</v>
      </c>
      <c r="O311" s="24">
        <v>7.9797979797979801</v>
      </c>
      <c r="P311" s="24">
        <v>8.8877445977847813</v>
      </c>
      <c r="Q311" s="24">
        <v>4.0060164587204667</v>
      </c>
      <c r="R311" s="24">
        <v>5.21</v>
      </c>
      <c r="S311" s="24">
        <v>5.9042067093019028</v>
      </c>
      <c r="T311" s="24">
        <v>1.0892454206682356</v>
      </c>
      <c r="U311" s="24" t="s">
        <v>3451</v>
      </c>
      <c r="V311">
        <v>0</v>
      </c>
      <c r="W311" s="21">
        <v>0</v>
      </c>
      <c r="X311" s="56" t="str">
        <f>IFERROR(VLOOKUP(A311,Output!A:F,6,0),"-")</f>
        <v>-</v>
      </c>
    </row>
    <row r="312" spans="1:24" x14ac:dyDescent="0.25">
      <c r="A312" s="21" t="s">
        <v>2696</v>
      </c>
      <c r="B312" s="40" t="s">
        <v>2697</v>
      </c>
      <c r="C312" s="21" t="s">
        <v>248</v>
      </c>
      <c r="D312" s="21" t="s">
        <v>75</v>
      </c>
      <c r="E312" s="21" t="s">
        <v>100</v>
      </c>
      <c r="F312" s="55">
        <v>6.786237822412369E-4</v>
      </c>
      <c r="G312" s="24">
        <v>6.2043270000000001</v>
      </c>
      <c r="H312" s="24">
        <v>5.9307650000000001</v>
      </c>
      <c r="I312" s="24">
        <v>3.9591150000000002</v>
      </c>
      <c r="J312" s="24">
        <v>5.3647359999999997</v>
      </c>
      <c r="K312" s="24">
        <v>3.177505</v>
      </c>
      <c r="L312" s="24">
        <v>7.1493349999999998</v>
      </c>
      <c r="M312" s="24">
        <v>39.739199999999997</v>
      </c>
      <c r="N312" s="24">
        <v>0</v>
      </c>
      <c r="O312" s="24">
        <v>0</v>
      </c>
      <c r="P312" s="24">
        <v>10</v>
      </c>
      <c r="Q312" s="24">
        <v>10</v>
      </c>
      <c r="R312" s="24">
        <v>5.13</v>
      </c>
      <c r="S312" s="24">
        <v>6.4333976140337743</v>
      </c>
      <c r="T312" s="24">
        <v>8.7549470721622558E-2</v>
      </c>
      <c r="U312" s="24" t="s">
        <v>2873</v>
      </c>
      <c r="V312">
        <v>0</v>
      </c>
      <c r="W312" s="21">
        <v>0</v>
      </c>
      <c r="X312" s="56" t="str">
        <f>IFERROR(VLOOKUP(A312,Output!A:F,6,0),"-")</f>
        <v>-</v>
      </c>
    </row>
    <row r="313" spans="1:24" hidden="1" x14ac:dyDescent="0.25">
      <c r="A313" s="21" t="s">
        <v>2136</v>
      </c>
      <c r="B313" s="40" t="s">
        <v>2137</v>
      </c>
      <c r="C313" s="21" t="s">
        <v>244</v>
      </c>
      <c r="D313" s="21" t="s">
        <v>73</v>
      </c>
      <c r="E313" s="21" t="s">
        <v>90</v>
      </c>
      <c r="F313" s="55">
        <v>6.780705431271031E-4</v>
      </c>
      <c r="G313" s="21">
        <v>4.0986529999999997</v>
      </c>
      <c r="H313" s="21">
        <v>3.779963</v>
      </c>
      <c r="I313" s="21">
        <v>6.3207310000000003</v>
      </c>
      <c r="J313" s="21">
        <v>4.6696689999999998</v>
      </c>
      <c r="K313" s="24">
        <v>0</v>
      </c>
      <c r="L313" s="24">
        <v>3.2473350000000001</v>
      </c>
      <c r="M313" s="24">
        <v>1.9185000000000001</v>
      </c>
      <c r="N313" s="24">
        <v>8.9161254506128333</v>
      </c>
      <c r="O313" s="24">
        <v>7.7319587628865971</v>
      </c>
      <c r="P313" s="24">
        <v>7.7593360995850622</v>
      </c>
      <c r="Q313" s="24">
        <v>0.2469718027371402</v>
      </c>
      <c r="R313" s="24" t="e">
        <v>#N/A</v>
      </c>
      <c r="S313" s="24">
        <v>3.8675598258286086</v>
      </c>
      <c r="T313" s="24">
        <v>0.76965734171918565</v>
      </c>
      <c r="U313" s="24" t="s">
        <v>3770</v>
      </c>
      <c r="V313">
        <v>0</v>
      </c>
      <c r="W313" s="21">
        <v>0</v>
      </c>
      <c r="X313" s="56" t="str">
        <f>IFERROR(VLOOKUP(A313,Output!A:F,6,0),"-")</f>
        <v>-</v>
      </c>
    </row>
    <row r="314" spans="1:24" hidden="1" x14ac:dyDescent="0.25">
      <c r="A314" s="21" t="s">
        <v>1688</v>
      </c>
      <c r="B314" s="40" t="s">
        <v>1689</v>
      </c>
      <c r="C314" s="21" t="s">
        <v>244</v>
      </c>
      <c r="D314" s="21" t="s">
        <v>73</v>
      </c>
      <c r="E314" s="21" t="s">
        <v>92</v>
      </c>
      <c r="F314" s="55">
        <v>6.7619512390059539E-4</v>
      </c>
      <c r="G314" s="24">
        <v>6.2130559999999999</v>
      </c>
      <c r="H314" s="24">
        <v>5.0259609999999997</v>
      </c>
      <c r="I314" s="24">
        <v>4.0825570000000004</v>
      </c>
      <c r="J314" s="24">
        <v>5.0518980000000004</v>
      </c>
      <c r="K314" s="24">
        <v>0</v>
      </c>
      <c r="L314" s="24">
        <v>4.2820539999999996</v>
      </c>
      <c r="M314" s="24">
        <v>0.98753999999999997</v>
      </c>
      <c r="N314" s="24">
        <v>6.8134474431818184</v>
      </c>
      <c r="O314" s="24">
        <v>7.5757575757575761</v>
      </c>
      <c r="P314" s="24">
        <v>4.5314109391085031</v>
      </c>
      <c r="Q314" s="24">
        <v>4.249624634988054</v>
      </c>
      <c r="R314" s="24" t="e">
        <v>#N/A</v>
      </c>
      <c r="S314" s="24">
        <v>3.56362581426158</v>
      </c>
      <c r="T314" s="24">
        <v>2.1316893578264411</v>
      </c>
      <c r="U314" s="24" t="s">
        <v>3413</v>
      </c>
      <c r="V314">
        <v>0</v>
      </c>
      <c r="W314" s="21">
        <v>0</v>
      </c>
      <c r="X314" s="56" t="str">
        <f>IFERROR(VLOOKUP(A314,Output!A:F,6,0),"-")</f>
        <v>-</v>
      </c>
    </row>
    <row r="315" spans="1:24" hidden="1" x14ac:dyDescent="0.25">
      <c r="A315" s="21" t="s">
        <v>2027</v>
      </c>
      <c r="B315" s="40" t="s">
        <v>2028</v>
      </c>
      <c r="C315" s="21" t="s">
        <v>244</v>
      </c>
      <c r="D315" s="21" t="s">
        <v>73</v>
      </c>
      <c r="E315" s="21" t="s">
        <v>99</v>
      </c>
      <c r="F315" s="55">
        <v>6.7471167041125173E-4</v>
      </c>
      <c r="G315" s="24">
        <v>4.4125759999999996</v>
      </c>
      <c r="H315" s="24">
        <v>2.6625350000000001</v>
      </c>
      <c r="I315" s="24">
        <v>5.6292710000000001</v>
      </c>
      <c r="J315" s="24">
        <v>4.2347939999999999</v>
      </c>
      <c r="K315" s="24">
        <v>0</v>
      </c>
      <c r="L315" s="24">
        <v>0.48492229999999997</v>
      </c>
      <c r="M315" s="24">
        <v>18.765699999999999</v>
      </c>
      <c r="N315" s="24">
        <v>4.4771120344997657</v>
      </c>
      <c r="O315" s="24">
        <v>1.5625</v>
      </c>
      <c r="P315" s="24">
        <v>0.47761194029850745</v>
      </c>
      <c r="Q315" s="24">
        <v>1.5378179373197707</v>
      </c>
      <c r="R315" s="24" t="e">
        <v>#N/A</v>
      </c>
      <c r="S315" s="24">
        <v>1.3891037097858379</v>
      </c>
      <c r="T315" s="24">
        <v>1.8813253683924582</v>
      </c>
      <c r="U315" s="24" t="s">
        <v>3648</v>
      </c>
      <c r="V315">
        <v>0</v>
      </c>
      <c r="W315" s="21">
        <v>1</v>
      </c>
      <c r="X315" s="56" t="str">
        <f>IFERROR(VLOOKUP(A315,Output!A:F,6,0),"-")</f>
        <v>-</v>
      </c>
    </row>
    <row r="316" spans="1:24" hidden="1" x14ac:dyDescent="0.25">
      <c r="A316" s="21" t="s">
        <v>1863</v>
      </c>
      <c r="B316" s="40" t="s">
        <v>1864</v>
      </c>
      <c r="C316" s="21" t="s">
        <v>244</v>
      </c>
      <c r="D316" s="21" t="s">
        <v>73</v>
      </c>
      <c r="E316" s="21" t="s">
        <v>90</v>
      </c>
      <c r="F316" s="55">
        <v>6.7383749425873165E-4</v>
      </c>
      <c r="G316" s="24">
        <v>4.6196120000000001</v>
      </c>
      <c r="H316" s="24">
        <v>3.4224239999999999</v>
      </c>
      <c r="I316" s="24">
        <v>3.9983960000000001</v>
      </c>
      <c r="J316" s="24">
        <v>4.07409</v>
      </c>
      <c r="K316" s="24">
        <v>1.239392</v>
      </c>
      <c r="L316" s="24">
        <v>5.2999510000000001</v>
      </c>
      <c r="M316" s="24">
        <v>48.801099999999998</v>
      </c>
      <c r="N316" s="24">
        <v>5.39774044700793</v>
      </c>
      <c r="O316" s="24">
        <v>6.8041237113402069</v>
      </c>
      <c r="P316" s="24">
        <v>2.6970954356846475</v>
      </c>
      <c r="Q316" s="24">
        <v>1.715431807456347</v>
      </c>
      <c r="R316" s="24">
        <v>3.04</v>
      </c>
      <c r="S316" s="24">
        <v>3.6411506703162875</v>
      </c>
      <c r="T316" s="24">
        <v>0.71204915906332622</v>
      </c>
      <c r="U316" s="24" t="s">
        <v>3578</v>
      </c>
      <c r="V316">
        <v>0</v>
      </c>
      <c r="W316" s="21">
        <v>1</v>
      </c>
      <c r="X316" s="56" t="str">
        <f>IFERROR(VLOOKUP(A316,Output!A:F,6,0),"-")</f>
        <v>-</v>
      </c>
    </row>
    <row r="317" spans="1:24" hidden="1" x14ac:dyDescent="0.25">
      <c r="A317" s="21" t="s">
        <v>117</v>
      </c>
      <c r="B317" s="40" t="s">
        <v>185</v>
      </c>
      <c r="C317" s="21" t="s">
        <v>245</v>
      </c>
      <c r="D317" s="21" t="s">
        <v>73</v>
      </c>
      <c r="E317" s="21" t="s">
        <v>93</v>
      </c>
      <c r="F317" s="55">
        <v>6.7291734060572807E-4</v>
      </c>
      <c r="G317" s="24">
        <v>4.4575310000000004</v>
      </c>
      <c r="H317" s="24">
        <v>5.535596</v>
      </c>
      <c r="I317" s="24">
        <v>4.4274800000000001</v>
      </c>
      <c r="J317" s="24">
        <v>4.8243359999999997</v>
      </c>
      <c r="K317" s="24">
        <v>4.7607670000000004</v>
      </c>
      <c r="L317" s="24">
        <v>12.613</v>
      </c>
      <c r="M317" s="24">
        <v>6.8982999999999999</v>
      </c>
      <c r="N317" s="24">
        <v>4.664713541666667</v>
      </c>
      <c r="O317" s="24">
        <v>5.9793814432989674</v>
      </c>
      <c r="P317" s="24">
        <v>5.0259067357512963</v>
      </c>
      <c r="Q317" s="24">
        <v>7.4487005368115309</v>
      </c>
      <c r="R317" s="24">
        <v>7.32</v>
      </c>
      <c r="S317" s="24">
        <v>6.3540467169138655</v>
      </c>
      <c r="T317" s="24">
        <v>0.86269775427309814</v>
      </c>
      <c r="U317" s="24" t="s">
        <v>2817</v>
      </c>
      <c r="V317">
        <v>0</v>
      </c>
      <c r="W317" s="21">
        <v>0</v>
      </c>
      <c r="X317" s="56">
        <f>IFERROR(VLOOKUP(A317,Output!A:F,6,0),"-")</f>
        <v>7.4999999999999954E-3</v>
      </c>
    </row>
    <row r="318" spans="1:24" hidden="1" x14ac:dyDescent="0.25">
      <c r="A318" s="21" t="s">
        <v>1894</v>
      </c>
      <c r="B318" s="40" t="s">
        <v>1895</v>
      </c>
      <c r="C318" s="21" t="s">
        <v>244</v>
      </c>
      <c r="D318" s="21" t="s">
        <v>73</v>
      </c>
      <c r="E318" s="21" t="s">
        <v>96</v>
      </c>
      <c r="F318" s="55">
        <v>6.7222918720680571E-4</v>
      </c>
      <c r="G318" s="21">
        <v>3.768186</v>
      </c>
      <c r="H318" s="21">
        <v>3.1160070000000002</v>
      </c>
      <c r="I318" s="21">
        <v>6.757231</v>
      </c>
      <c r="J318" s="21">
        <v>4.4692460000000001</v>
      </c>
      <c r="K318" s="24">
        <v>3.8660969999999999</v>
      </c>
      <c r="L318" s="24">
        <v>5.8291560000000002</v>
      </c>
      <c r="M318" s="24">
        <v>204.97280000000001</v>
      </c>
      <c r="N318" s="24">
        <v>1.8937750540735396</v>
      </c>
      <c r="O318" s="24">
        <v>2.0618556701030926</v>
      </c>
      <c r="P318" s="24">
        <v>6.5145228215767634</v>
      </c>
      <c r="Q318" s="24">
        <v>3.8807609721566774</v>
      </c>
      <c r="R318" s="24">
        <v>7.68</v>
      </c>
      <c r="S318" s="24">
        <v>5.56835364097845</v>
      </c>
      <c r="T318" s="24">
        <v>0.38650506997125406</v>
      </c>
      <c r="U318" s="24" t="s">
        <v>3670</v>
      </c>
      <c r="V318">
        <v>0</v>
      </c>
      <c r="W318" s="21">
        <v>1</v>
      </c>
      <c r="X318" s="56" t="str">
        <f>IFERROR(VLOOKUP(A318,Output!A:F,6,0),"-")</f>
        <v>-</v>
      </c>
    </row>
    <row r="319" spans="1:24" hidden="1" x14ac:dyDescent="0.25">
      <c r="A319" s="21" t="s">
        <v>1682</v>
      </c>
      <c r="B319" s="40" t="s">
        <v>1683</v>
      </c>
      <c r="C319" s="21" t="s">
        <v>244</v>
      </c>
      <c r="D319" s="21" t="s">
        <v>73</v>
      </c>
      <c r="E319" s="21" t="s">
        <v>92</v>
      </c>
      <c r="F319" s="55">
        <v>6.7150109274072354E-4</v>
      </c>
      <c r="G319" s="24">
        <v>4.0647380000000002</v>
      </c>
      <c r="H319" s="24">
        <v>3.9557440000000001</v>
      </c>
      <c r="I319" s="24">
        <v>5.7312989999999999</v>
      </c>
      <c r="J319" s="24">
        <v>4.5320080000000003</v>
      </c>
      <c r="K319" s="24">
        <v>0.44067529999999999</v>
      </c>
      <c r="L319" s="24">
        <v>3.2582469999999999</v>
      </c>
      <c r="M319" s="24">
        <v>37.904000000000003</v>
      </c>
      <c r="N319" s="24">
        <v>8.2196960227272733</v>
      </c>
      <c r="O319" s="24">
        <v>2.9292929292929291</v>
      </c>
      <c r="P319" s="24">
        <v>9.5056642656821246</v>
      </c>
      <c r="Q319" s="24">
        <v>1.0174324396071144</v>
      </c>
      <c r="R319" s="24">
        <v>4.38</v>
      </c>
      <c r="S319" s="24">
        <v>4.5747630353036666</v>
      </c>
      <c r="T319" s="24">
        <v>1.4910657555981994</v>
      </c>
      <c r="U319" s="24" t="s">
        <v>3456</v>
      </c>
      <c r="V319">
        <v>0</v>
      </c>
      <c r="W319" s="21">
        <v>1</v>
      </c>
      <c r="X319" s="56" t="str">
        <f>IFERROR(VLOOKUP(A319,Output!A:F,6,0),"-")</f>
        <v>-</v>
      </c>
    </row>
    <row r="320" spans="1:24" hidden="1" x14ac:dyDescent="0.25">
      <c r="A320" s="21" t="s">
        <v>1429</v>
      </c>
      <c r="B320" s="40" t="s">
        <v>1430</v>
      </c>
      <c r="C320" s="21" t="s">
        <v>244</v>
      </c>
      <c r="D320" s="21" t="s">
        <v>73</v>
      </c>
      <c r="E320" s="21" t="s">
        <v>97</v>
      </c>
      <c r="F320" s="55">
        <v>6.7125581233332999E-4</v>
      </c>
      <c r="G320" s="24">
        <v>3.4577390000000001</v>
      </c>
      <c r="H320" s="24">
        <v>4.4886660000000003</v>
      </c>
      <c r="I320" s="24">
        <v>5.36205</v>
      </c>
      <c r="J320" s="24">
        <v>4.4256489999999999</v>
      </c>
      <c r="K320" s="24">
        <v>3.5607069999999998</v>
      </c>
      <c r="L320" s="24">
        <v>0.85992559999999996</v>
      </c>
      <c r="M320" s="24">
        <v>533.3605</v>
      </c>
      <c r="N320" s="24">
        <v>2.4944995883664047</v>
      </c>
      <c r="O320" s="24">
        <v>6.2886597938144329</v>
      </c>
      <c r="P320" s="24">
        <v>0.99999999999999978</v>
      </c>
      <c r="Q320" s="24">
        <v>2.1419202135131337</v>
      </c>
      <c r="R320" s="24">
        <v>4.91</v>
      </c>
      <c r="S320" s="24">
        <v>1.8006480592762553</v>
      </c>
      <c r="T320" s="24">
        <v>1.4354549180212841</v>
      </c>
      <c r="U320" s="24" t="s">
        <v>3340</v>
      </c>
      <c r="V320">
        <v>0</v>
      </c>
      <c r="W320" s="21">
        <v>1</v>
      </c>
      <c r="X320" s="56" t="str">
        <f>IFERROR(VLOOKUP(A320,Output!A:F,6,0),"-")</f>
        <v>-</v>
      </c>
    </row>
    <row r="321" spans="1:24" hidden="1" x14ac:dyDescent="0.25">
      <c r="A321" s="21" t="s">
        <v>2037</v>
      </c>
      <c r="B321" s="40" t="s">
        <v>2038</v>
      </c>
      <c r="C321" s="21" t="s">
        <v>245</v>
      </c>
      <c r="D321" s="21" t="s">
        <v>73</v>
      </c>
      <c r="E321" s="21" t="s">
        <v>98</v>
      </c>
      <c r="F321" s="55">
        <v>6.7063466334430259E-4</v>
      </c>
      <c r="G321" s="21">
        <v>3.953395</v>
      </c>
      <c r="H321" s="21">
        <v>3.6235539999999999</v>
      </c>
      <c r="I321" s="21">
        <v>5.3437400000000004</v>
      </c>
      <c r="J321" s="21">
        <v>4.3775969999999997</v>
      </c>
      <c r="K321" s="24">
        <v>0.96127969999999996</v>
      </c>
      <c r="L321" s="24">
        <v>5.9148129999999997</v>
      </c>
      <c r="M321" s="24">
        <v>31.2666</v>
      </c>
      <c r="N321" s="24">
        <v>3.9104727889312145</v>
      </c>
      <c r="O321" s="24">
        <v>2.4489795918367343</v>
      </c>
      <c r="P321" s="24">
        <v>5.6689123991103463</v>
      </c>
      <c r="Q321" s="24">
        <v>6.262664857955099</v>
      </c>
      <c r="R321" s="24">
        <v>6.13</v>
      </c>
      <c r="S321" s="24">
        <v>5.6173660849861093</v>
      </c>
      <c r="T321" s="24">
        <v>0.69102287571484622</v>
      </c>
      <c r="U321" s="24" t="s">
        <v>3684</v>
      </c>
      <c r="V321">
        <v>0</v>
      </c>
      <c r="W321" s="21">
        <v>1</v>
      </c>
      <c r="X321" s="56" t="str">
        <f>IFERROR(VLOOKUP(A321,Output!A:F,6,0),"-")</f>
        <v>-</v>
      </c>
    </row>
    <row r="322" spans="1:24" hidden="1" x14ac:dyDescent="0.25">
      <c r="A322" s="21" t="s">
        <v>1611</v>
      </c>
      <c r="B322" s="40" t="s">
        <v>4430</v>
      </c>
      <c r="C322" s="21" t="s">
        <v>244</v>
      </c>
      <c r="D322" s="21" t="s">
        <v>73</v>
      </c>
      <c r="E322" s="21" t="s">
        <v>89</v>
      </c>
      <c r="F322" s="55">
        <v>6.700911831307091E-4</v>
      </c>
      <c r="G322" s="24">
        <v>7.4503209999999997</v>
      </c>
      <c r="H322" s="24">
        <v>4.9866010000000003</v>
      </c>
      <c r="I322" s="24">
        <v>5.1783609999999998</v>
      </c>
      <c r="J322" s="24">
        <v>5.7928329999999999</v>
      </c>
      <c r="K322" s="24">
        <v>1.670345</v>
      </c>
      <c r="L322" s="24">
        <v>8.5837350000000008</v>
      </c>
      <c r="M322" s="24">
        <v>5.6398000000000001</v>
      </c>
      <c r="N322" s="24">
        <v>6.6254335937499995</v>
      </c>
      <c r="O322" s="24">
        <v>6.7010309278350508</v>
      </c>
      <c r="P322" s="24">
        <v>8.4974093264248705</v>
      </c>
      <c r="Q322" s="24">
        <v>3.7968140282032969</v>
      </c>
      <c r="R322" s="24">
        <v>3.88</v>
      </c>
      <c r="S322" s="24">
        <v>5.6876912779177085</v>
      </c>
      <c r="T322" s="24">
        <v>1.3560822653903604</v>
      </c>
      <c r="U322" s="24" t="s">
        <v>3444</v>
      </c>
      <c r="V322">
        <v>0</v>
      </c>
      <c r="W322" s="21">
        <v>0</v>
      </c>
      <c r="X322" s="56" t="str">
        <f>IFERROR(VLOOKUP(A322,Output!A:F,6,0),"-")</f>
        <v>-</v>
      </c>
    </row>
    <row r="323" spans="1:24" hidden="1" x14ac:dyDescent="0.25">
      <c r="A323" s="21" t="s">
        <v>1896</v>
      </c>
      <c r="B323" s="40" t="s">
        <v>4591</v>
      </c>
      <c r="C323" s="21" t="s">
        <v>244</v>
      </c>
      <c r="D323" s="21" t="s">
        <v>73</v>
      </c>
      <c r="E323" s="21" t="s">
        <v>98</v>
      </c>
      <c r="F323" s="55">
        <v>6.6902102410960722E-4</v>
      </c>
      <c r="G323" s="21">
        <v>7.3863339999999997</v>
      </c>
      <c r="H323" s="21">
        <v>6.5696839999999996</v>
      </c>
      <c r="I323" s="21">
        <v>6.8559659999999996</v>
      </c>
      <c r="J323" s="21">
        <v>6.9373279999999999</v>
      </c>
      <c r="K323" s="24">
        <v>0</v>
      </c>
      <c r="L323" s="24">
        <v>2.9904820000000001</v>
      </c>
      <c r="M323" s="24">
        <v>6.2598000000000003</v>
      </c>
      <c r="N323" s="24">
        <v>7.6393593985404387</v>
      </c>
      <c r="O323" s="24">
        <v>5.204081632653061</v>
      </c>
      <c r="P323" s="24">
        <v>9.5380173225717719</v>
      </c>
      <c r="Q323" s="24">
        <v>2.1481115592300957</v>
      </c>
      <c r="R323" s="24" t="e">
        <v>#N/A</v>
      </c>
      <c r="S323" s="24">
        <v>4.7719117914092477</v>
      </c>
      <c r="T323" s="24">
        <v>1.4351849054193524</v>
      </c>
      <c r="U323" s="24" t="s">
        <v>3642</v>
      </c>
      <c r="V323">
        <v>0</v>
      </c>
      <c r="W323" s="21">
        <v>0</v>
      </c>
      <c r="X323" s="56" t="str">
        <f>IFERROR(VLOOKUP(A323,Output!A:F,6,0),"-")</f>
        <v>-</v>
      </c>
    </row>
    <row r="324" spans="1:24" hidden="1" x14ac:dyDescent="0.25">
      <c r="A324" s="21" t="s">
        <v>166</v>
      </c>
      <c r="B324" s="40" t="s">
        <v>233</v>
      </c>
      <c r="C324" s="21" t="s">
        <v>244</v>
      </c>
      <c r="D324" s="21" t="s">
        <v>73</v>
      </c>
      <c r="E324" s="21" t="s">
        <v>89</v>
      </c>
      <c r="F324" s="55">
        <v>6.6873600384949783E-4</v>
      </c>
      <c r="G324" s="24">
        <v>5.7762070000000003</v>
      </c>
      <c r="H324" s="24">
        <v>4.9549770000000004</v>
      </c>
      <c r="I324" s="24">
        <v>4.8884990000000004</v>
      </c>
      <c r="J324" s="24">
        <v>5.1780790000000003</v>
      </c>
      <c r="K324" s="24">
        <v>1.1059920000000001</v>
      </c>
      <c r="L324" s="24">
        <v>2.6973829999999999</v>
      </c>
      <c r="M324" s="24">
        <v>3.6953</v>
      </c>
      <c r="N324" s="24">
        <v>7.1158854166666661</v>
      </c>
      <c r="O324" s="24">
        <v>4.2268041237113394</v>
      </c>
      <c r="P324" s="24">
        <v>10</v>
      </c>
      <c r="Q324" s="24">
        <v>4.6395976880932575E-2</v>
      </c>
      <c r="R324" s="24">
        <v>4.1900000000000004</v>
      </c>
      <c r="S324" s="24">
        <v>4.3664122440338335</v>
      </c>
      <c r="T324" s="24">
        <v>1.2723222841762989</v>
      </c>
      <c r="U324" s="24" t="s">
        <v>2821</v>
      </c>
      <c r="V324">
        <v>0</v>
      </c>
      <c r="W324" s="21">
        <v>0</v>
      </c>
      <c r="X324" s="56" t="str">
        <f>IFERROR(VLOOKUP(A324,Output!A:F,6,0),"-")</f>
        <v>-</v>
      </c>
    </row>
    <row r="325" spans="1:24" hidden="1" x14ac:dyDescent="0.25">
      <c r="A325" s="21" t="s">
        <v>2549</v>
      </c>
      <c r="B325" s="40" t="s">
        <v>2550</v>
      </c>
      <c r="C325" s="21" t="s">
        <v>254</v>
      </c>
      <c r="D325" s="21" t="s">
        <v>74</v>
      </c>
      <c r="E325" s="21" t="s">
        <v>88</v>
      </c>
      <c r="F325" s="55">
        <v>6.649495504398716E-4</v>
      </c>
      <c r="G325" s="24">
        <v>7.4267399999999997</v>
      </c>
      <c r="H325" s="24">
        <v>4.7268299999999996</v>
      </c>
      <c r="I325" s="24">
        <v>6.823556</v>
      </c>
      <c r="J325" s="24">
        <v>6.3257089999999998</v>
      </c>
      <c r="K325" s="24">
        <v>1.379189</v>
      </c>
      <c r="L325" s="24">
        <v>2.8788010000000002</v>
      </c>
      <c r="M325" s="24">
        <v>35.3611</v>
      </c>
      <c r="N325" s="24">
        <v>8.674074074074074</v>
      </c>
      <c r="O325" s="24">
        <v>1.7346938775510201</v>
      </c>
      <c r="P325" s="24">
        <v>5.4520547945205493</v>
      </c>
      <c r="Q325" s="24">
        <v>1.3561444696537714</v>
      </c>
      <c r="R325" s="24">
        <v>4.92</v>
      </c>
      <c r="S325" s="24">
        <v>3.7758743028964519</v>
      </c>
      <c r="T325" s="24">
        <v>0.62782735238009446</v>
      </c>
      <c r="U325" s="24" t="s">
        <v>2857</v>
      </c>
      <c r="V325">
        <v>0</v>
      </c>
      <c r="W325" s="21">
        <v>0</v>
      </c>
      <c r="X325" s="56" t="str">
        <f>IFERROR(VLOOKUP(A325,Output!A:F,6,0),"-")</f>
        <v>-</v>
      </c>
    </row>
    <row r="326" spans="1:24" hidden="1" x14ac:dyDescent="0.25">
      <c r="A326" s="21" t="s">
        <v>2547</v>
      </c>
      <c r="B326" s="40" t="s">
        <v>2548</v>
      </c>
      <c r="C326" s="21" t="s">
        <v>254</v>
      </c>
      <c r="D326" s="21" t="s">
        <v>74</v>
      </c>
      <c r="E326" s="21" t="s">
        <v>91</v>
      </c>
      <c r="F326" s="55">
        <v>6.6417487482997345E-4</v>
      </c>
      <c r="G326" s="21">
        <v>1.9933129999999999</v>
      </c>
      <c r="H326" s="21">
        <v>4.4258350000000002</v>
      </c>
      <c r="I326" s="21">
        <v>4.797307</v>
      </c>
      <c r="J326" s="21">
        <v>4.0879190000000003</v>
      </c>
      <c r="K326" s="24">
        <v>0.86056580000000005</v>
      </c>
      <c r="L326" s="24">
        <v>3.285558</v>
      </c>
      <c r="M326" s="24">
        <v>100.2436</v>
      </c>
      <c r="N326" s="24">
        <v>3.38566552901024</v>
      </c>
      <c r="O326" s="24">
        <v>5.2577319587628866</v>
      </c>
      <c r="P326" s="24">
        <v>3.7037037037037042</v>
      </c>
      <c r="Q326" s="24">
        <v>2.4489311868125352</v>
      </c>
      <c r="R326" s="24">
        <v>4.3099999999999996</v>
      </c>
      <c r="S326" s="24">
        <v>2.5262182528058621</v>
      </c>
      <c r="T326" s="24">
        <v>0.86474025929995435</v>
      </c>
      <c r="U326" s="24" t="s">
        <v>3985</v>
      </c>
      <c r="V326">
        <v>0</v>
      </c>
      <c r="W326" s="21">
        <v>1</v>
      </c>
      <c r="X326" s="56" t="str">
        <f>IFERROR(VLOOKUP(A326,Output!A:F,6,0),"-")</f>
        <v>-</v>
      </c>
    </row>
    <row r="327" spans="1:24" hidden="1" x14ac:dyDescent="0.25">
      <c r="A327" s="21" t="s">
        <v>611</v>
      </c>
      <c r="B327" s="40" t="s">
        <v>930</v>
      </c>
      <c r="C327" s="21" t="s">
        <v>244</v>
      </c>
      <c r="D327" s="21" t="s">
        <v>73</v>
      </c>
      <c r="E327" s="21" t="s">
        <v>89</v>
      </c>
      <c r="F327" s="55">
        <v>6.637850218444727E-4</v>
      </c>
      <c r="G327" s="24">
        <v>2.6551309999999999</v>
      </c>
      <c r="H327" s="24">
        <v>2.0743019999999999</v>
      </c>
      <c r="I327" s="24">
        <v>3.001179</v>
      </c>
      <c r="J327" s="24">
        <v>2.5729579999999999</v>
      </c>
      <c r="K327" s="24">
        <v>0</v>
      </c>
      <c r="L327" s="24">
        <v>1.7419199999999999</v>
      </c>
      <c r="M327" s="24">
        <v>1.8174999999999999</v>
      </c>
      <c r="N327" s="24">
        <v>6.5212669270833334</v>
      </c>
      <c r="O327" s="24">
        <v>8.0412371134020617</v>
      </c>
      <c r="P327" s="24">
        <v>0.2590673575129534</v>
      </c>
      <c r="Q327" s="24">
        <v>0</v>
      </c>
      <c r="R327" s="24" t="e">
        <v>#N/A</v>
      </c>
      <c r="S327" s="24">
        <v>1.0429568784407384</v>
      </c>
      <c r="T327" s="24">
        <v>2.2503622346201051</v>
      </c>
      <c r="U327" s="24" t="s">
        <v>2966</v>
      </c>
      <c r="V327">
        <v>0</v>
      </c>
      <c r="W327" s="21">
        <v>1</v>
      </c>
      <c r="X327" s="56" t="str">
        <f>IFERROR(VLOOKUP(A327,Output!A:F,6,0),"-")</f>
        <v>-</v>
      </c>
    </row>
    <row r="328" spans="1:24" x14ac:dyDescent="0.25">
      <c r="A328" s="21" t="s">
        <v>347</v>
      </c>
      <c r="B328" s="40" t="s">
        <v>348</v>
      </c>
      <c r="C328" s="21" t="s">
        <v>248</v>
      </c>
      <c r="D328" s="21" t="s">
        <v>75</v>
      </c>
      <c r="E328" s="21" t="s">
        <v>91</v>
      </c>
      <c r="F328" s="55">
        <v>6.6140133493209426E-4</v>
      </c>
      <c r="G328" s="24">
        <v>4.7968409999999997</v>
      </c>
      <c r="H328" s="24">
        <v>4.6753929999999997</v>
      </c>
      <c r="I328" s="24">
        <v>5.3507899999999999</v>
      </c>
      <c r="J328" s="24">
        <v>4.9698409999999997</v>
      </c>
      <c r="K328" s="24">
        <v>4.5465540000000004</v>
      </c>
      <c r="L328" s="24">
        <v>1.9127179999999999</v>
      </c>
      <c r="M328" s="24">
        <v>24.3156</v>
      </c>
      <c r="N328" s="24">
        <v>5.7215186543182313</v>
      </c>
      <c r="O328" s="24">
        <v>5.2564102564102564</v>
      </c>
      <c r="P328" s="24">
        <v>0</v>
      </c>
      <c r="Q328" s="24">
        <v>6.6997618962516059</v>
      </c>
      <c r="R328" s="24">
        <v>7.63</v>
      </c>
      <c r="S328" s="24">
        <v>4.9124658916837705</v>
      </c>
      <c r="T328" s="24">
        <v>0.21010977721849214</v>
      </c>
      <c r="U328" s="24" t="s">
        <v>4032</v>
      </c>
      <c r="V328">
        <v>0</v>
      </c>
      <c r="W328" s="21">
        <v>0</v>
      </c>
      <c r="X328" s="56" t="str">
        <f>IFERROR(VLOOKUP(A328,Output!A:F,6,0),"-")</f>
        <v>-</v>
      </c>
    </row>
    <row r="329" spans="1:24" hidden="1" x14ac:dyDescent="0.25">
      <c r="A329" s="21" t="s">
        <v>1566</v>
      </c>
      <c r="B329" s="40" t="s">
        <v>1567</v>
      </c>
      <c r="C329" s="21" t="s">
        <v>244</v>
      </c>
      <c r="D329" s="21" t="s">
        <v>73</v>
      </c>
      <c r="E329" s="21" t="s">
        <v>92</v>
      </c>
      <c r="F329" s="55">
        <v>6.6132728801665465E-4</v>
      </c>
      <c r="G329" s="24">
        <v>5.2837839999999998</v>
      </c>
      <c r="H329" s="24">
        <v>4.5423</v>
      </c>
      <c r="I329" s="24">
        <v>3.080972</v>
      </c>
      <c r="J329" s="24">
        <v>4.4004950000000003</v>
      </c>
      <c r="K329" s="24">
        <v>0.59322509999999995</v>
      </c>
      <c r="L329" s="24">
        <v>4.2560010000000004</v>
      </c>
      <c r="M329" s="24">
        <v>27.802199999999999</v>
      </c>
      <c r="N329" s="24">
        <v>6.4370269886363651</v>
      </c>
      <c r="O329" s="24">
        <v>5.454545454545455</v>
      </c>
      <c r="P329" s="24">
        <v>6.0453141254569962</v>
      </c>
      <c r="Q329" s="24">
        <v>3.2165298646137508</v>
      </c>
      <c r="R329" s="24">
        <v>4.04</v>
      </c>
      <c r="S329" s="24">
        <v>5.3209833121146213</v>
      </c>
      <c r="T329" s="24">
        <v>1.0161986421237106</v>
      </c>
      <c r="U329" s="24" t="s">
        <v>3379</v>
      </c>
      <c r="V329">
        <v>0</v>
      </c>
      <c r="W329" s="21">
        <v>1</v>
      </c>
      <c r="X329" s="56" t="str">
        <f>IFERROR(VLOOKUP(A329,Output!A:F,6,0),"-")</f>
        <v>-</v>
      </c>
    </row>
    <row r="330" spans="1:24" hidden="1" x14ac:dyDescent="0.25">
      <c r="A330" s="21" t="s">
        <v>1482</v>
      </c>
      <c r="B330" s="40" t="s">
        <v>1483</v>
      </c>
      <c r="C330" s="21" t="s">
        <v>244</v>
      </c>
      <c r="D330" s="21" t="s">
        <v>73</v>
      </c>
      <c r="E330" s="21" t="s">
        <v>86</v>
      </c>
      <c r="F330" s="55">
        <v>6.6083712963075551E-4</v>
      </c>
      <c r="G330" s="24">
        <v>2.5950380000000002</v>
      </c>
      <c r="H330" s="24">
        <v>4.8153360000000003</v>
      </c>
      <c r="I330" s="24">
        <v>5.2137510000000002</v>
      </c>
      <c r="J330" s="24">
        <v>4.0467409999999999</v>
      </c>
      <c r="K330" s="24">
        <v>2.0162589999999998</v>
      </c>
      <c r="L330" s="24">
        <v>3.426952</v>
      </c>
      <c r="M330" s="24">
        <v>34.651499999999999</v>
      </c>
      <c r="N330" s="24">
        <v>5.090392824916985</v>
      </c>
      <c r="O330" s="24">
        <v>9.4845360824742269</v>
      </c>
      <c r="P330" s="24">
        <v>10</v>
      </c>
      <c r="Q330" s="24">
        <v>0.41560765988186821</v>
      </c>
      <c r="R330" s="24">
        <v>5.62</v>
      </c>
      <c r="S330" s="24">
        <v>5.2888729706300115</v>
      </c>
      <c r="T330" s="24">
        <v>0.95223305002781078</v>
      </c>
      <c r="U330" s="24" t="s">
        <v>3386</v>
      </c>
      <c r="V330">
        <v>0</v>
      </c>
      <c r="W330" s="21">
        <v>1</v>
      </c>
      <c r="X330" s="56" t="str">
        <f>IFERROR(VLOOKUP(A330,Output!A:F,6,0),"-")</f>
        <v>-</v>
      </c>
    </row>
    <row r="331" spans="1:24" x14ac:dyDescent="0.25">
      <c r="A331" s="21" t="s">
        <v>2533</v>
      </c>
      <c r="B331" s="40" t="s">
        <v>2534</v>
      </c>
      <c r="C331" s="21" t="s">
        <v>248</v>
      </c>
      <c r="D331" s="21" t="s">
        <v>75</v>
      </c>
      <c r="E331" s="21" t="s">
        <v>91</v>
      </c>
      <c r="F331" s="55">
        <v>6.593767151952647E-4</v>
      </c>
      <c r="G331" s="24">
        <v>3.5353249999999998</v>
      </c>
      <c r="H331" s="24">
        <v>3.5355120000000002</v>
      </c>
      <c r="I331" s="24">
        <v>5.7728039999999998</v>
      </c>
      <c r="J331" s="24">
        <v>4.4303910000000002</v>
      </c>
      <c r="K331" s="24">
        <v>0.623143</v>
      </c>
      <c r="L331" s="24">
        <v>2.9741559999999998</v>
      </c>
      <c r="M331" s="24">
        <v>100.9028</v>
      </c>
      <c r="N331" s="24">
        <v>5.7139237179170141</v>
      </c>
      <c r="O331" s="24">
        <v>6.2820512820512819</v>
      </c>
      <c r="P331" s="24">
        <v>10</v>
      </c>
      <c r="Q331" s="24">
        <v>0.63739277654074822</v>
      </c>
      <c r="R331" s="24">
        <v>4.28</v>
      </c>
      <c r="S331" s="24">
        <v>4.8684956605084615</v>
      </c>
      <c r="T331" s="24">
        <v>0.57593030320952854</v>
      </c>
      <c r="U331" s="24" t="s">
        <v>3977</v>
      </c>
      <c r="V331">
        <v>0</v>
      </c>
      <c r="W331" s="21">
        <v>1</v>
      </c>
      <c r="X331" s="56" t="str">
        <f>IFERROR(VLOOKUP(A331,Output!A:F,6,0),"-")</f>
        <v>-</v>
      </c>
    </row>
    <row r="332" spans="1:24" hidden="1" x14ac:dyDescent="0.25">
      <c r="A332" s="21" t="s">
        <v>617</v>
      </c>
      <c r="B332" s="40" t="s">
        <v>1022</v>
      </c>
      <c r="C332" s="21" t="s">
        <v>244</v>
      </c>
      <c r="D332" s="21" t="s">
        <v>73</v>
      </c>
      <c r="E332" s="21" t="s">
        <v>99</v>
      </c>
      <c r="F332" s="55">
        <v>6.572286503969617E-4</v>
      </c>
      <c r="G332" s="24">
        <v>3.5384340000000001</v>
      </c>
      <c r="H332" s="24">
        <v>3.6822249999999999</v>
      </c>
      <c r="I332" s="24">
        <v>5.4072639999999996</v>
      </c>
      <c r="J332" s="24">
        <v>4.209308</v>
      </c>
      <c r="K332" s="24">
        <v>0</v>
      </c>
      <c r="L332" s="24">
        <v>1.973452</v>
      </c>
      <c r="M332" s="24">
        <v>7.4207999999999998</v>
      </c>
      <c r="N332" s="24">
        <v>7.0501189463393015</v>
      </c>
      <c r="O332" s="24">
        <v>9.6874999999999982</v>
      </c>
      <c r="P332" s="24">
        <v>5.6119402985074629</v>
      </c>
      <c r="Q332" s="24">
        <v>0.85924757236770966</v>
      </c>
      <c r="R332" s="24" t="e">
        <v>#N/A</v>
      </c>
      <c r="S332" s="24">
        <v>2.9887880746156594</v>
      </c>
      <c r="T332" s="24">
        <v>3.104985448638478</v>
      </c>
      <c r="U332" s="24" t="s">
        <v>3101</v>
      </c>
      <c r="V332">
        <v>0</v>
      </c>
      <c r="W332" s="21">
        <v>1</v>
      </c>
      <c r="X332" s="56" t="str">
        <f>IFERROR(VLOOKUP(A332,Output!A:F,6,0),"-")</f>
        <v>-</v>
      </c>
    </row>
    <row r="333" spans="1:24" hidden="1" x14ac:dyDescent="0.25">
      <c r="A333" s="21" t="s">
        <v>1495</v>
      </c>
      <c r="B333" s="40" t="s">
        <v>1496</v>
      </c>
      <c r="C333" s="21" t="s">
        <v>244</v>
      </c>
      <c r="D333" s="21" t="s">
        <v>73</v>
      </c>
      <c r="E333" s="21" t="s">
        <v>93</v>
      </c>
      <c r="F333" s="55">
        <v>6.5719001722368872E-4</v>
      </c>
      <c r="G333" s="24">
        <v>5.4200369999999998</v>
      </c>
      <c r="H333" s="24">
        <v>5.5501959999999997</v>
      </c>
      <c r="I333" s="24">
        <v>4.8706759999999996</v>
      </c>
      <c r="J333" s="24">
        <v>5.2733160000000003</v>
      </c>
      <c r="K333" s="24">
        <v>4.4417140000000002</v>
      </c>
      <c r="L333" s="24">
        <v>13.411020000000001</v>
      </c>
      <c r="M333" s="24">
        <v>0.77014000000000005</v>
      </c>
      <c r="N333" s="24">
        <v>3.6024309895833326</v>
      </c>
      <c r="O333" s="24">
        <v>7.216494845360824</v>
      </c>
      <c r="P333" s="24">
        <v>2.4352331606217619</v>
      </c>
      <c r="Q333" s="24">
        <v>8.5062409520745064</v>
      </c>
      <c r="R333" s="24">
        <v>6.89</v>
      </c>
      <c r="S333" s="24">
        <v>6.2422199777033383</v>
      </c>
      <c r="T333" s="24">
        <v>1.0289413191162915</v>
      </c>
      <c r="U333" s="24" t="s">
        <v>3391</v>
      </c>
      <c r="V333">
        <v>0</v>
      </c>
      <c r="W333" s="21">
        <v>0</v>
      </c>
      <c r="X333" s="56" t="str">
        <f>IFERROR(VLOOKUP(A333,Output!A:F,6,0),"-")</f>
        <v>-</v>
      </c>
    </row>
    <row r="334" spans="1:24" hidden="1" x14ac:dyDescent="0.25">
      <c r="A334" s="21" t="s">
        <v>1764</v>
      </c>
      <c r="B334" s="40" t="s">
        <v>1765</v>
      </c>
      <c r="C334" s="21" t="s">
        <v>244</v>
      </c>
      <c r="D334" s="21" t="s">
        <v>73</v>
      </c>
      <c r="E334" s="21" t="s">
        <v>91</v>
      </c>
      <c r="F334" s="55">
        <v>6.5489788288338911E-4</v>
      </c>
      <c r="G334" s="24">
        <v>5.2409990000000004</v>
      </c>
      <c r="H334" s="24">
        <v>4.3245050000000003</v>
      </c>
      <c r="I334" s="24">
        <v>3.978294</v>
      </c>
      <c r="J334" s="24">
        <v>4.369319</v>
      </c>
      <c r="K334" s="24">
        <v>0.65186299999999997</v>
      </c>
      <c r="L334" s="24">
        <v>5.2249340000000002</v>
      </c>
      <c r="M334" s="24">
        <v>8.7879000000000005</v>
      </c>
      <c r="N334" s="24">
        <v>3.0378872066234481</v>
      </c>
      <c r="O334" s="24">
        <v>4.6464646464646462</v>
      </c>
      <c r="P334" s="24">
        <v>8.2848232919549964</v>
      </c>
      <c r="Q334" s="24">
        <v>3.637270607203523</v>
      </c>
      <c r="R334" s="24">
        <v>5.5</v>
      </c>
      <c r="S334" s="24">
        <v>5.2083487257468963</v>
      </c>
      <c r="T334" s="24">
        <v>0.8240759137762772</v>
      </c>
      <c r="U334" s="24" t="s">
        <v>3532</v>
      </c>
      <c r="V334">
        <v>0</v>
      </c>
      <c r="W334" s="21">
        <v>1</v>
      </c>
      <c r="X334" s="56" t="str">
        <f>IFERROR(VLOOKUP(A334,Output!A:F,6,0),"-")</f>
        <v>-</v>
      </c>
    </row>
    <row r="335" spans="1:24" hidden="1" x14ac:dyDescent="0.25">
      <c r="A335" s="21" t="s">
        <v>1782</v>
      </c>
      <c r="B335" s="40" t="s">
        <v>1783</v>
      </c>
      <c r="C335" s="21" t="s">
        <v>244</v>
      </c>
      <c r="D335" s="21" t="s">
        <v>73</v>
      </c>
      <c r="E335" s="21" t="s">
        <v>95</v>
      </c>
      <c r="F335" s="55">
        <v>6.5096474414399238E-4</v>
      </c>
      <c r="G335" s="24">
        <v>7.0415830000000001</v>
      </c>
      <c r="H335" s="24">
        <v>5.0269149999999998</v>
      </c>
      <c r="I335" s="24">
        <v>7.7829660000000001</v>
      </c>
      <c r="J335" s="24">
        <v>6.8610639999999998</v>
      </c>
      <c r="K335" s="24">
        <v>1.255225</v>
      </c>
      <c r="L335" s="24">
        <v>5.3425089999999997</v>
      </c>
      <c r="M335" s="24">
        <v>445.33859999999999</v>
      </c>
      <c r="N335" s="24">
        <v>10</v>
      </c>
      <c r="O335" s="24">
        <v>3.814432989690721</v>
      </c>
      <c r="P335" s="24">
        <v>4.3478260869565215</v>
      </c>
      <c r="Q335" s="24">
        <v>1.8811215512597999</v>
      </c>
      <c r="R335" s="24">
        <v>4.0599999999999996</v>
      </c>
      <c r="S335" s="24">
        <v>3.9105155063687622</v>
      </c>
      <c r="T335" s="24">
        <v>0.70689790304507227</v>
      </c>
      <c r="U335" s="24" t="s">
        <v>3607</v>
      </c>
      <c r="V335">
        <v>1</v>
      </c>
      <c r="W335" s="21">
        <v>0</v>
      </c>
      <c r="X335" s="56" t="str">
        <f>IFERROR(VLOOKUP(A335,Output!A:F,6,0),"-")</f>
        <v>-</v>
      </c>
    </row>
    <row r="336" spans="1:24" hidden="1" x14ac:dyDescent="0.25">
      <c r="A336" s="21" t="s">
        <v>1488</v>
      </c>
      <c r="B336" s="40" t="s">
        <v>1489</v>
      </c>
      <c r="C336" s="21" t="s">
        <v>244</v>
      </c>
      <c r="D336" s="21" t="s">
        <v>73</v>
      </c>
      <c r="E336" s="21" t="s">
        <v>96</v>
      </c>
      <c r="F336" s="55">
        <v>6.5024208246790185E-4</v>
      </c>
      <c r="G336" s="24">
        <v>3.4985240000000002</v>
      </c>
      <c r="H336" s="24">
        <v>4.024044</v>
      </c>
      <c r="I336" s="24">
        <v>4.2195340000000003</v>
      </c>
      <c r="J336" s="24">
        <v>3.914034</v>
      </c>
      <c r="K336" s="24">
        <v>1.230996</v>
      </c>
      <c r="L336" s="24">
        <v>11.521050000000001</v>
      </c>
      <c r="M336" s="24">
        <v>2.1231</v>
      </c>
      <c r="N336" s="24">
        <v>5.8445951595599945</v>
      </c>
      <c r="O336" s="24">
        <v>7.9591836734693882</v>
      </c>
      <c r="P336" s="24">
        <v>6.2463907458956331</v>
      </c>
      <c r="Q336" s="24">
        <v>8.463652699822898</v>
      </c>
      <c r="R336" s="24">
        <v>6.62</v>
      </c>
      <c r="S336" s="24">
        <v>6.6598324211482325</v>
      </c>
      <c r="T336" s="24">
        <v>1.2651333722770848</v>
      </c>
      <c r="U336" s="24" t="s">
        <v>3407</v>
      </c>
      <c r="V336">
        <v>0</v>
      </c>
      <c r="W336" s="21">
        <v>1</v>
      </c>
      <c r="X336" s="56" t="str">
        <f>IFERROR(VLOOKUP(A336,Output!A:F,6,0),"-")</f>
        <v>-</v>
      </c>
    </row>
    <row r="337" spans="1:24" hidden="1" x14ac:dyDescent="0.25">
      <c r="A337" s="21" t="s">
        <v>149</v>
      </c>
      <c r="B337" s="40" t="s">
        <v>216</v>
      </c>
      <c r="C337" s="21" t="s">
        <v>257</v>
      </c>
      <c r="D337" s="21" t="s">
        <v>74</v>
      </c>
      <c r="E337" s="21" t="s">
        <v>92</v>
      </c>
      <c r="F337" s="55">
        <v>6.4988895111845488E-4</v>
      </c>
      <c r="G337" s="24">
        <v>5.6462960000000004</v>
      </c>
      <c r="H337" s="24">
        <v>6.1909260000000002</v>
      </c>
      <c r="I337" s="24">
        <v>4.6185200000000002</v>
      </c>
      <c r="J337" s="24">
        <v>5.5013519999999998</v>
      </c>
      <c r="K337" s="24">
        <v>4.7557799999999997</v>
      </c>
      <c r="L337" s="24">
        <v>6.8956039999999996</v>
      </c>
      <c r="M337" s="24">
        <v>480.36320000000001</v>
      </c>
      <c r="N337" s="24">
        <v>5.8246918518518527</v>
      </c>
      <c r="O337" s="24">
        <v>1.8367346938775508</v>
      </c>
      <c r="P337" s="24">
        <v>4.9589041095890414</v>
      </c>
      <c r="Q337" s="24">
        <v>7.9566205222124804</v>
      </c>
      <c r="R337" s="24">
        <v>7.23</v>
      </c>
      <c r="S337" s="24">
        <v>6.5542412487001513</v>
      </c>
      <c r="T337" s="24">
        <v>0.58077341197408816</v>
      </c>
      <c r="U337" s="24" t="s">
        <v>2871</v>
      </c>
      <c r="V337">
        <v>0</v>
      </c>
      <c r="W337" s="21">
        <v>0</v>
      </c>
      <c r="X337" s="56" t="str">
        <f>IFERROR(VLOOKUP(A337,Output!A:F,6,0),"-")</f>
        <v>-</v>
      </c>
    </row>
    <row r="338" spans="1:24" hidden="1" x14ac:dyDescent="0.25">
      <c r="A338" s="21" t="s">
        <v>334</v>
      </c>
      <c r="B338" s="40" t="s">
        <v>335</v>
      </c>
      <c r="C338" s="21" t="s">
        <v>247</v>
      </c>
      <c r="D338" s="21" t="s">
        <v>74</v>
      </c>
      <c r="E338" s="21" t="s">
        <v>85</v>
      </c>
      <c r="F338" s="55">
        <v>6.4982184610133773E-4</v>
      </c>
      <c r="G338" s="24">
        <v>4.5124880000000003</v>
      </c>
      <c r="H338" s="24">
        <v>6.493411</v>
      </c>
      <c r="I338" s="24">
        <v>4.5652109999999997</v>
      </c>
      <c r="J338" s="24">
        <v>5.2242639999999998</v>
      </c>
      <c r="K338" s="24">
        <v>5.7841199999999997</v>
      </c>
      <c r="L338" s="24">
        <v>13.461729999999999</v>
      </c>
      <c r="M338" s="24">
        <v>5.3159000000000001</v>
      </c>
      <c r="N338" s="24">
        <v>2.4930838470384211</v>
      </c>
      <c r="O338" s="24">
        <v>0.40404040404040409</v>
      </c>
      <c r="P338" s="24">
        <v>4.6315789473684204</v>
      </c>
      <c r="Q338" s="24">
        <v>6.4829106945975745</v>
      </c>
      <c r="R338" s="24">
        <v>4.82</v>
      </c>
      <c r="S338" s="24">
        <v>4.7640018872995142</v>
      </c>
      <c r="T338" s="24">
        <v>0.4490622561452744</v>
      </c>
      <c r="U338" s="24" t="s">
        <v>3963</v>
      </c>
      <c r="V338">
        <v>0</v>
      </c>
      <c r="W338" s="21">
        <v>0</v>
      </c>
      <c r="X338" s="56" t="str">
        <f>IFERROR(VLOOKUP(A338,Output!A:F,6,0),"-")</f>
        <v>-</v>
      </c>
    </row>
    <row r="339" spans="1:24" hidden="1" x14ac:dyDescent="0.25">
      <c r="A339" s="21" t="s">
        <v>1734</v>
      </c>
      <c r="B339" s="40" t="s">
        <v>1735</v>
      </c>
      <c r="C339" s="21" t="s">
        <v>244</v>
      </c>
      <c r="D339" s="21" t="s">
        <v>73</v>
      </c>
      <c r="E339" s="21" t="s">
        <v>86</v>
      </c>
      <c r="F339" s="55">
        <v>6.4855831999942727E-4</v>
      </c>
      <c r="G339" s="24">
        <v>5.786041</v>
      </c>
      <c r="H339" s="24">
        <v>6.0240450000000001</v>
      </c>
      <c r="I339" s="24">
        <v>6.8442930000000004</v>
      </c>
      <c r="J339" s="24">
        <v>6.2181259999999998</v>
      </c>
      <c r="K339" s="24">
        <v>3.2617560000000001</v>
      </c>
      <c r="L339" s="24">
        <v>5.1168040000000001</v>
      </c>
      <c r="M339" s="24">
        <v>315.63909999999998</v>
      </c>
      <c r="N339" s="24">
        <v>6.3558892745810569</v>
      </c>
      <c r="O339" s="24">
        <v>1.6494845360824739</v>
      </c>
      <c r="P339" s="24">
        <v>0.92592592592592649</v>
      </c>
      <c r="Q339" s="24">
        <v>5.3626089581175229</v>
      </c>
      <c r="R339" s="24">
        <v>4.96</v>
      </c>
      <c r="S339" s="24">
        <v>4.0426808408482948</v>
      </c>
      <c r="T339" s="24">
        <v>0.41302202999858773</v>
      </c>
      <c r="U339" s="24" t="s">
        <v>3485</v>
      </c>
      <c r="V339">
        <v>0</v>
      </c>
      <c r="W339" s="21">
        <v>0</v>
      </c>
      <c r="X339" s="56" t="str">
        <f>IFERROR(VLOOKUP(A339,Output!A:F,6,0),"-")</f>
        <v>-</v>
      </c>
    </row>
    <row r="340" spans="1:24" hidden="1" x14ac:dyDescent="0.25">
      <c r="A340" s="21" t="s">
        <v>1937</v>
      </c>
      <c r="B340" s="40" t="s">
        <v>1938</v>
      </c>
      <c r="C340" s="21" t="s">
        <v>244</v>
      </c>
      <c r="D340" s="21" t="s">
        <v>73</v>
      </c>
      <c r="E340" s="21" t="s">
        <v>102</v>
      </c>
      <c r="F340" s="55">
        <v>6.4508918176819289E-4</v>
      </c>
      <c r="G340" s="24">
        <v>3.2277960000000001</v>
      </c>
      <c r="H340" s="24">
        <v>5.4642039999999996</v>
      </c>
      <c r="I340" s="24">
        <v>6.1313899999999997</v>
      </c>
      <c r="J340" s="24">
        <v>4.2557960000000001</v>
      </c>
      <c r="K340" s="24">
        <v>5.481452</v>
      </c>
      <c r="L340" s="24">
        <v>6.2003649999999997</v>
      </c>
      <c r="M340" s="24">
        <v>2851.9839999999999</v>
      </c>
      <c r="N340" s="24">
        <v>6.4999998421052796</v>
      </c>
      <c r="O340" s="24">
        <v>0</v>
      </c>
      <c r="P340" s="24">
        <v>2.1428571428571423</v>
      </c>
      <c r="Q340" s="24">
        <v>4.5023382553301161</v>
      </c>
      <c r="R340" s="24">
        <v>6.86</v>
      </c>
      <c r="S340" s="24">
        <v>4.3299319130961011</v>
      </c>
      <c r="T340" s="24">
        <v>0.56445163685420263</v>
      </c>
      <c r="U340" s="24" t="s">
        <v>3631</v>
      </c>
      <c r="V340">
        <v>1</v>
      </c>
      <c r="W340" s="21">
        <v>1</v>
      </c>
      <c r="X340" s="56" t="str">
        <f>IFERROR(VLOOKUP(A340,Output!A:F,6,0),"-")</f>
        <v>-</v>
      </c>
    </row>
    <row r="341" spans="1:24" hidden="1" x14ac:dyDescent="0.25">
      <c r="A341" s="21" t="s">
        <v>765</v>
      </c>
      <c r="B341" s="40" t="s">
        <v>766</v>
      </c>
      <c r="C341" s="21" t="s">
        <v>244</v>
      </c>
      <c r="D341" s="21" t="s">
        <v>73</v>
      </c>
      <c r="E341" s="21" t="s">
        <v>90</v>
      </c>
      <c r="F341" s="55">
        <v>6.4156772778148482E-4</v>
      </c>
      <c r="G341" s="24">
        <v>5.976871</v>
      </c>
      <c r="H341" s="24">
        <v>4.4203539999999997</v>
      </c>
      <c r="I341" s="24">
        <v>6.3996500000000003</v>
      </c>
      <c r="J341" s="24">
        <v>5.6367500000000001</v>
      </c>
      <c r="K341" s="24">
        <v>3.3489230000000001</v>
      </c>
      <c r="L341" s="24">
        <v>5.2940329999999998</v>
      </c>
      <c r="M341" s="24">
        <v>63.437600000000003</v>
      </c>
      <c r="N341" s="24">
        <v>3.8908911319394375</v>
      </c>
      <c r="O341" s="24">
        <v>3.4020618556701026</v>
      </c>
      <c r="P341" s="24">
        <v>4.1078838174273855</v>
      </c>
      <c r="Q341" s="24">
        <v>5.3502052855120326</v>
      </c>
      <c r="R341" s="24">
        <v>6.67</v>
      </c>
      <c r="S341" s="24">
        <v>5.2589959982838561</v>
      </c>
      <c r="T341" s="24">
        <v>7.7194945614716182E-2</v>
      </c>
      <c r="U341" s="24" t="s">
        <v>3698</v>
      </c>
      <c r="V341">
        <v>0</v>
      </c>
      <c r="W341" s="21">
        <v>0</v>
      </c>
      <c r="X341" s="56">
        <f>IFERROR(VLOOKUP(A341,Output!A:F,6,0),"-")</f>
        <v>7.4999999999998965E-3</v>
      </c>
    </row>
    <row r="342" spans="1:24" hidden="1" x14ac:dyDescent="0.25">
      <c r="A342" s="21" t="s">
        <v>1513</v>
      </c>
      <c r="B342" s="40" t="s">
        <v>4444</v>
      </c>
      <c r="C342" s="21" t="s">
        <v>244</v>
      </c>
      <c r="D342" s="21" t="s">
        <v>73</v>
      </c>
      <c r="E342" s="21" t="s">
        <v>91</v>
      </c>
      <c r="F342" s="55">
        <v>6.4067373200621814E-4</v>
      </c>
      <c r="G342" s="24">
        <v>8.116066</v>
      </c>
      <c r="H342" s="24">
        <v>6.5469150000000003</v>
      </c>
      <c r="I342" s="24">
        <v>6.8548869999999997</v>
      </c>
      <c r="J342" s="24">
        <v>6.9839339999999996</v>
      </c>
      <c r="K342" s="24">
        <v>0.8412579</v>
      </c>
      <c r="L342" s="24">
        <v>7.3444900000000004</v>
      </c>
      <c r="M342" s="24">
        <v>1.1623000000000001</v>
      </c>
      <c r="N342" s="24">
        <v>10</v>
      </c>
      <c r="O342" s="24">
        <v>10</v>
      </c>
      <c r="P342" s="24">
        <v>7.1369294605809133</v>
      </c>
      <c r="Q342" s="24">
        <v>5.5438886267107126</v>
      </c>
      <c r="R342" s="24">
        <v>2.38</v>
      </c>
      <c r="S342" s="24">
        <v>6.7204360929520615</v>
      </c>
      <c r="T342" s="24">
        <v>0.23564768600637429</v>
      </c>
      <c r="U342" s="24" t="s">
        <v>3424</v>
      </c>
      <c r="V342">
        <v>0</v>
      </c>
      <c r="W342" s="21">
        <v>0</v>
      </c>
      <c r="X342" s="56" t="str">
        <f>IFERROR(VLOOKUP(A342,Output!A:F,6,0),"-")</f>
        <v>-</v>
      </c>
    </row>
    <row r="343" spans="1:24" hidden="1" x14ac:dyDescent="0.25">
      <c r="A343" s="21" t="s">
        <v>1721</v>
      </c>
      <c r="B343" s="40" t="s">
        <v>1722</v>
      </c>
      <c r="C343" s="21" t="s">
        <v>244</v>
      </c>
      <c r="D343" s="21" t="s">
        <v>73</v>
      </c>
      <c r="E343" s="21" t="s">
        <v>87</v>
      </c>
      <c r="F343" s="55">
        <v>6.3847958910020943E-4</v>
      </c>
      <c r="G343" s="24">
        <v>4.1361939999999997</v>
      </c>
      <c r="H343" s="24">
        <v>6.1965490000000001</v>
      </c>
      <c r="I343" s="24">
        <v>6.3082219999999998</v>
      </c>
      <c r="J343" s="24">
        <v>5.5469879999999998</v>
      </c>
      <c r="K343" s="24">
        <v>4.8199269999999999</v>
      </c>
      <c r="L343" s="24">
        <v>5.6486619999999998</v>
      </c>
      <c r="M343" s="24">
        <v>666.82719999999995</v>
      </c>
      <c r="N343" s="24">
        <v>8.3806817345393441</v>
      </c>
      <c r="O343" s="24">
        <v>5.3608247422680408</v>
      </c>
      <c r="P343" s="24">
        <v>3.0740740740740744</v>
      </c>
      <c r="Q343" s="24">
        <v>5.411301407707211</v>
      </c>
      <c r="R343" s="24">
        <v>7.66</v>
      </c>
      <c r="S343" s="24">
        <v>6.312586888266531</v>
      </c>
      <c r="T343" s="24">
        <v>0.98093158806589476</v>
      </c>
      <c r="U343" s="24" t="s">
        <v>3504</v>
      </c>
      <c r="V343">
        <v>0</v>
      </c>
      <c r="W343" s="21">
        <v>0</v>
      </c>
      <c r="X343" s="56" t="str">
        <f>IFERROR(VLOOKUP(A343,Output!A:F,6,0),"-")</f>
        <v>-</v>
      </c>
    </row>
    <row r="344" spans="1:24" hidden="1" x14ac:dyDescent="0.25">
      <c r="A344" s="21" t="s">
        <v>2436</v>
      </c>
      <c r="B344" s="40" t="s">
        <v>2437</v>
      </c>
      <c r="C344" s="21" t="s">
        <v>254</v>
      </c>
      <c r="D344" s="21" t="s">
        <v>74</v>
      </c>
      <c r="E344" s="21" t="s">
        <v>87</v>
      </c>
      <c r="F344" s="55">
        <v>6.3552716956149938E-4</v>
      </c>
      <c r="G344" s="24">
        <v>6.0633049999999997</v>
      </c>
      <c r="H344" s="24">
        <v>4.2642689999999996</v>
      </c>
      <c r="I344" s="24">
        <v>5.7737270000000001</v>
      </c>
      <c r="J344" s="24">
        <v>5.3671009999999999</v>
      </c>
      <c r="K344" s="24">
        <v>1.7583789999999999</v>
      </c>
      <c r="L344" s="24">
        <v>2.9668730000000001</v>
      </c>
      <c r="M344" s="24">
        <v>41.120699999999999</v>
      </c>
      <c r="N344" s="24">
        <v>8.9436060365369343</v>
      </c>
      <c r="O344" s="24">
        <v>10</v>
      </c>
      <c r="P344" s="24">
        <v>6.2295081967213122</v>
      </c>
      <c r="Q344" s="24">
        <v>0</v>
      </c>
      <c r="R344" s="24">
        <v>4.38</v>
      </c>
      <c r="S344" s="24">
        <v>4.312075073848102</v>
      </c>
      <c r="T344" s="24">
        <v>0.41528617484140751</v>
      </c>
      <c r="U344" s="24" t="s">
        <v>3947</v>
      </c>
      <c r="V344">
        <v>0</v>
      </c>
      <c r="W344" s="21">
        <v>0</v>
      </c>
      <c r="X344" s="56" t="str">
        <f>IFERROR(VLOOKUP(A344,Output!A:F,6,0),"-")</f>
        <v>-</v>
      </c>
    </row>
    <row r="345" spans="1:24" hidden="1" x14ac:dyDescent="0.25">
      <c r="A345" s="21" t="s">
        <v>1570</v>
      </c>
      <c r="B345" s="40" t="s">
        <v>1571</v>
      </c>
      <c r="C345" s="21" t="s">
        <v>244</v>
      </c>
      <c r="D345" s="21" t="s">
        <v>73</v>
      </c>
      <c r="E345" s="21" t="s">
        <v>92</v>
      </c>
      <c r="F345" s="55">
        <v>6.3469655633613333E-4</v>
      </c>
      <c r="G345" s="21">
        <v>6.3314190000000004</v>
      </c>
      <c r="H345" s="21">
        <v>6.4561739999999999</v>
      </c>
      <c r="I345" s="21">
        <v>6.2346570000000003</v>
      </c>
      <c r="J345" s="21">
        <v>6.339817</v>
      </c>
      <c r="K345" s="24">
        <v>2.3170660000000001</v>
      </c>
      <c r="L345" s="24">
        <v>7.8674780000000002</v>
      </c>
      <c r="M345" s="24">
        <v>34.749600000000001</v>
      </c>
      <c r="N345" s="24">
        <v>1.472536931818182</v>
      </c>
      <c r="O345" s="24">
        <v>1.8181818181818183</v>
      </c>
      <c r="P345" s="24">
        <v>5.2729145405853162</v>
      </c>
      <c r="Q345" s="24">
        <v>7.2972306875497743</v>
      </c>
      <c r="R345" s="24">
        <v>7.95</v>
      </c>
      <c r="S345" s="24">
        <v>6.1027339974495991</v>
      </c>
      <c r="T345" s="24">
        <v>0.9531277526018811</v>
      </c>
      <c r="U345" s="24" t="s">
        <v>3428</v>
      </c>
      <c r="V345">
        <v>0</v>
      </c>
      <c r="W345" s="21">
        <v>0</v>
      </c>
      <c r="X345" s="56" t="str">
        <f>IFERROR(VLOOKUP(A345,Output!A:F,6,0),"-")</f>
        <v>-</v>
      </c>
    </row>
    <row r="346" spans="1:24" hidden="1" x14ac:dyDescent="0.25">
      <c r="A346" s="21" t="s">
        <v>145</v>
      </c>
      <c r="B346" s="40" t="s">
        <v>213</v>
      </c>
      <c r="C346" s="21" t="s">
        <v>246</v>
      </c>
      <c r="D346" s="21" t="s">
        <v>74</v>
      </c>
      <c r="E346" s="21" t="s">
        <v>92</v>
      </c>
      <c r="F346" s="55">
        <v>6.3357981617121536E-4</v>
      </c>
      <c r="G346" s="21">
        <v>5.4637479999999998</v>
      </c>
      <c r="H346" s="21">
        <v>6.1992779999999996</v>
      </c>
      <c r="I346" s="21">
        <v>6.2430260000000004</v>
      </c>
      <c r="J346" s="21">
        <v>5.9181900000000001</v>
      </c>
      <c r="K346" s="24">
        <v>5.7783870000000004</v>
      </c>
      <c r="L346" s="24">
        <v>8.4743630000000003</v>
      </c>
      <c r="M346" s="24">
        <v>32.866</v>
      </c>
      <c r="N346" s="24">
        <v>1.3950622222222226</v>
      </c>
      <c r="O346" s="24">
        <v>8.9795918367346932</v>
      </c>
      <c r="P346" s="24">
        <v>6.4109589041095898</v>
      </c>
      <c r="Q346" s="24">
        <v>6.9170924759988122</v>
      </c>
      <c r="R346" s="24">
        <v>6.39</v>
      </c>
      <c r="S346" s="24">
        <v>6.6867581178378863</v>
      </c>
      <c r="T346" s="24">
        <v>0.45775587237595983</v>
      </c>
      <c r="U346" s="24" t="s">
        <v>2858</v>
      </c>
      <c r="V346">
        <v>0</v>
      </c>
      <c r="W346" s="21">
        <v>0</v>
      </c>
      <c r="X346" s="56">
        <f>IFERROR(VLOOKUP(A346,Output!A:F,6,0),"-")</f>
        <v>5.0000000000000001E-3</v>
      </c>
    </row>
    <row r="347" spans="1:24" hidden="1" x14ac:dyDescent="0.25">
      <c r="A347" s="21" t="s">
        <v>660</v>
      </c>
      <c r="B347" s="40" t="s">
        <v>661</v>
      </c>
      <c r="C347" s="21" t="s">
        <v>244</v>
      </c>
      <c r="D347" s="21" t="s">
        <v>73</v>
      </c>
      <c r="E347" s="21" t="s">
        <v>102</v>
      </c>
      <c r="F347" s="55">
        <v>6.3290242774505386E-4</v>
      </c>
      <c r="G347" s="21">
        <v>3.2042419999999998</v>
      </c>
      <c r="H347" s="21">
        <v>3.3066200000000001</v>
      </c>
      <c r="I347" s="21">
        <v>4.4243949999999996</v>
      </c>
      <c r="J347" s="21">
        <v>3.6010010000000001</v>
      </c>
      <c r="K347" s="24">
        <v>1.1542060000000001</v>
      </c>
      <c r="L347" s="24">
        <v>3.7330619999999999</v>
      </c>
      <c r="M347" s="24">
        <v>1395.742</v>
      </c>
      <c r="N347" s="57">
        <v>9.2552627099723459</v>
      </c>
      <c r="O347" s="24">
        <v>9.1752577319587623</v>
      </c>
      <c r="P347" s="24">
        <v>7.6587301587301591</v>
      </c>
      <c r="Q347" s="24">
        <v>1.7915572412269396</v>
      </c>
      <c r="R347" s="24">
        <v>2.65</v>
      </c>
      <c r="S347" s="24">
        <v>5.3112833944237803</v>
      </c>
      <c r="T347" s="24">
        <v>0.43077581751581501</v>
      </c>
      <c r="U347" s="24" t="s">
        <v>3619</v>
      </c>
      <c r="V347">
        <v>0</v>
      </c>
      <c r="W347" s="21">
        <v>1</v>
      </c>
      <c r="X347" s="56" t="str">
        <f>IFERROR(VLOOKUP(A347,Output!A:F,6,0),"-")</f>
        <v>-</v>
      </c>
    </row>
    <row r="348" spans="1:24" hidden="1" x14ac:dyDescent="0.25">
      <c r="A348" s="21" t="s">
        <v>1831</v>
      </c>
      <c r="B348" s="40" t="s">
        <v>1832</v>
      </c>
      <c r="C348" s="21" t="s">
        <v>244</v>
      </c>
      <c r="D348" s="21" t="s">
        <v>73</v>
      </c>
      <c r="E348" s="21" t="s">
        <v>90</v>
      </c>
      <c r="F348" s="55">
        <v>6.3001510107901955E-4</v>
      </c>
      <c r="G348" s="24">
        <v>4.0481930000000004</v>
      </c>
      <c r="H348" s="24">
        <v>4.4885299999999999</v>
      </c>
      <c r="I348" s="24">
        <v>5.3268750000000002</v>
      </c>
      <c r="J348" s="24">
        <v>4.6212</v>
      </c>
      <c r="K348" s="24">
        <v>1.1992799999999999</v>
      </c>
      <c r="L348" s="24">
        <v>6.09192</v>
      </c>
      <c r="M348" s="24">
        <v>137.26920000000001</v>
      </c>
      <c r="N348" s="24">
        <v>5.9889444844989184</v>
      </c>
      <c r="O348" s="24">
        <v>1.4432989690721647</v>
      </c>
      <c r="P348" s="24">
        <v>1.7842323651452281</v>
      </c>
      <c r="Q348" s="24">
        <v>4.8047428032090602</v>
      </c>
      <c r="R348" s="24">
        <v>4.03</v>
      </c>
      <c r="S348" s="24">
        <v>3.2782371171688531</v>
      </c>
      <c r="T348" s="24">
        <v>0.84143039004516029</v>
      </c>
      <c r="U348" s="24" t="s">
        <v>3566</v>
      </c>
      <c r="V348">
        <v>0</v>
      </c>
      <c r="W348" s="21">
        <v>0</v>
      </c>
      <c r="X348" s="56" t="str">
        <f>IFERROR(VLOOKUP(A348,Output!A:F,6,0),"-")</f>
        <v>-</v>
      </c>
    </row>
    <row r="349" spans="1:24" hidden="1" x14ac:dyDescent="0.25">
      <c r="A349" s="21" t="s">
        <v>2523</v>
      </c>
      <c r="B349" s="40" t="s">
        <v>2524</v>
      </c>
      <c r="C349" s="21" t="s">
        <v>254</v>
      </c>
      <c r="D349" s="21" t="s">
        <v>74</v>
      </c>
      <c r="E349" s="21" t="s">
        <v>91</v>
      </c>
      <c r="F349" s="55">
        <v>6.2601666825250289E-4</v>
      </c>
      <c r="G349" s="24">
        <v>3.8111809999999999</v>
      </c>
      <c r="H349" s="24">
        <v>5.7570110000000003</v>
      </c>
      <c r="I349" s="24">
        <v>6.6860949999999999</v>
      </c>
      <c r="J349" s="24">
        <v>5.7394790000000002</v>
      </c>
      <c r="K349" s="24">
        <v>0.33333819999999997</v>
      </c>
      <c r="L349" s="24">
        <v>3.8390010000000001</v>
      </c>
      <c r="M349" s="24">
        <v>39.942799999999998</v>
      </c>
      <c r="N349" s="24">
        <v>6.4459604095563154</v>
      </c>
      <c r="O349" s="24">
        <v>8.7628865979381434</v>
      </c>
      <c r="P349" s="24">
        <v>2.8490028490028498</v>
      </c>
      <c r="Q349" s="24">
        <v>4.0544730054255984</v>
      </c>
      <c r="R349" s="24">
        <v>3.39</v>
      </c>
      <c r="S349" s="24">
        <v>4.0992787546119445</v>
      </c>
      <c r="T349" s="24">
        <v>0.54343202241375732</v>
      </c>
      <c r="U349" s="24" t="s">
        <v>3970</v>
      </c>
      <c r="V349">
        <v>0</v>
      </c>
      <c r="W349" s="21">
        <v>0</v>
      </c>
      <c r="X349" s="56" t="str">
        <f>IFERROR(VLOOKUP(A349,Output!A:F,6,0),"-")</f>
        <v>-</v>
      </c>
    </row>
    <row r="350" spans="1:24" hidden="1" x14ac:dyDescent="0.25">
      <c r="A350" s="21" t="s">
        <v>1748</v>
      </c>
      <c r="B350" s="40" t="s">
        <v>1749</v>
      </c>
      <c r="C350" s="21" t="s">
        <v>244</v>
      </c>
      <c r="D350" s="21" t="s">
        <v>73</v>
      </c>
      <c r="E350" s="21" t="s">
        <v>98</v>
      </c>
      <c r="F350" s="55">
        <v>6.2430604365573705E-4</v>
      </c>
      <c r="G350" s="24">
        <v>6.6506429999999996</v>
      </c>
      <c r="H350" s="24">
        <v>6.1079129999999999</v>
      </c>
      <c r="I350" s="24">
        <v>5.9505710000000001</v>
      </c>
      <c r="J350" s="24">
        <v>6.1535219999999997</v>
      </c>
      <c r="K350" s="24">
        <v>2.5158480000000001</v>
      </c>
      <c r="L350" s="24">
        <v>5.8970000000000002</v>
      </c>
      <c r="M350" s="24">
        <v>28.113800000000001</v>
      </c>
      <c r="N350" s="24">
        <v>6.1980288392213403</v>
      </c>
      <c r="O350" s="24">
        <v>6.3917525773195871</v>
      </c>
      <c r="P350" s="24">
        <v>5.228215767634854</v>
      </c>
      <c r="Q350" s="24">
        <v>5.1761845210004722</v>
      </c>
      <c r="R350" s="24">
        <v>4.25</v>
      </c>
      <c r="S350" s="24">
        <v>5.2297777815845468</v>
      </c>
      <c r="T350" s="24">
        <v>0.57454740218996436</v>
      </c>
      <c r="U350" s="24" t="s">
        <v>3519</v>
      </c>
      <c r="V350">
        <v>0</v>
      </c>
      <c r="W350" s="21">
        <v>0</v>
      </c>
      <c r="X350" s="56" t="str">
        <f>IFERROR(VLOOKUP(A350,Output!A:F,6,0),"-")</f>
        <v>-</v>
      </c>
    </row>
    <row r="351" spans="1:24" hidden="1" x14ac:dyDescent="0.25">
      <c r="A351" s="21" t="s">
        <v>2572</v>
      </c>
      <c r="B351" s="40" t="s">
        <v>2573</v>
      </c>
      <c r="C351" s="21" t="s">
        <v>249</v>
      </c>
      <c r="D351" s="21" t="s">
        <v>74</v>
      </c>
      <c r="E351" s="21" t="s">
        <v>90</v>
      </c>
      <c r="F351" s="55">
        <v>6.2214650963411872E-4</v>
      </c>
      <c r="G351" s="24">
        <v>5.1843380000000003</v>
      </c>
      <c r="H351" s="24">
        <v>5.7675010000000002</v>
      </c>
      <c r="I351" s="24">
        <v>7.7805340000000003</v>
      </c>
      <c r="J351" s="24">
        <v>6.1381459999999999</v>
      </c>
      <c r="K351" s="24">
        <v>3.6352519999999999</v>
      </c>
      <c r="L351" s="24">
        <v>6.078627</v>
      </c>
      <c r="M351" s="24">
        <v>61.596400000000003</v>
      </c>
      <c r="N351" s="24">
        <v>1.203900713434972</v>
      </c>
      <c r="O351" s="24">
        <v>7.0526315789473681</v>
      </c>
      <c r="P351" s="24">
        <v>4.3404255319148932</v>
      </c>
      <c r="Q351" s="24">
        <v>5.0126459801095455</v>
      </c>
      <c r="R351" s="24">
        <v>6.24</v>
      </c>
      <c r="S351" s="24">
        <v>5.1358677448394072</v>
      </c>
      <c r="T351" s="24">
        <v>6.9769923556969302E-2</v>
      </c>
      <c r="U351" s="24" t="s">
        <v>3998</v>
      </c>
      <c r="V351">
        <v>0</v>
      </c>
      <c r="W351" s="21">
        <v>0</v>
      </c>
      <c r="X351" s="56" t="str">
        <f>IFERROR(VLOOKUP(A351,Output!A:F,6,0),"-")</f>
        <v>-</v>
      </c>
    </row>
    <row r="352" spans="1:24" hidden="1" x14ac:dyDescent="0.25">
      <c r="A352" s="21" t="s">
        <v>1701</v>
      </c>
      <c r="B352" s="40" t="s">
        <v>1702</v>
      </c>
      <c r="C352" s="21" t="s">
        <v>244</v>
      </c>
      <c r="D352" s="21" t="s">
        <v>73</v>
      </c>
      <c r="E352" s="21" t="s">
        <v>101</v>
      </c>
      <c r="F352" s="55">
        <v>6.217743635197015E-4</v>
      </c>
      <c r="G352" s="24">
        <v>5.5085059999999997</v>
      </c>
      <c r="H352" s="24">
        <v>5.6594670000000002</v>
      </c>
      <c r="I352" s="24">
        <v>7.293126</v>
      </c>
      <c r="J352" s="24">
        <v>6.2827390000000003</v>
      </c>
      <c r="K352" s="24">
        <v>1.890754</v>
      </c>
      <c r="L352" s="24">
        <v>4.5460039999999999</v>
      </c>
      <c r="M352" s="53">
        <v>27.055700000000002</v>
      </c>
      <c r="N352" s="24">
        <v>5.8572640806189336</v>
      </c>
      <c r="O352" s="24">
        <v>3.5714285714285712</v>
      </c>
      <c r="P352" s="24">
        <v>6.660249842772858</v>
      </c>
      <c r="Q352" s="24">
        <v>2.6762160721265014</v>
      </c>
      <c r="R352" s="24">
        <v>7.27</v>
      </c>
      <c r="S352" s="24">
        <v>5.8455562979853211</v>
      </c>
      <c r="T352" s="24">
        <v>0.75261028215214032</v>
      </c>
      <c r="U352" s="24" t="s">
        <v>3558</v>
      </c>
      <c r="V352">
        <v>0</v>
      </c>
      <c r="W352" s="21">
        <v>0</v>
      </c>
      <c r="X352" s="56">
        <f>IFERROR(VLOOKUP(A352,Output!A:F,6,0),"-")</f>
        <v>7.4999999999999997E-3</v>
      </c>
    </row>
    <row r="353" spans="1:24" hidden="1" x14ac:dyDescent="0.25">
      <c r="A353" s="21" t="s">
        <v>2487</v>
      </c>
      <c r="B353" s="40" t="s">
        <v>4440</v>
      </c>
      <c r="C353" s="21" t="s">
        <v>298</v>
      </c>
      <c r="D353" s="21" t="s">
        <v>74</v>
      </c>
      <c r="E353" s="21" t="s">
        <v>94</v>
      </c>
      <c r="F353" s="55">
        <v>6.1809988594823306E-4</v>
      </c>
      <c r="G353" s="24">
        <v>6.4134520000000004</v>
      </c>
      <c r="H353" s="24">
        <v>4.7832689999999998</v>
      </c>
      <c r="I353" s="24">
        <v>6.4160820000000003</v>
      </c>
      <c r="J353" s="24">
        <v>5.9251860000000001</v>
      </c>
      <c r="K353" s="24">
        <v>1.5613459999999999</v>
      </c>
      <c r="L353" s="24">
        <v>3.7470500000000002</v>
      </c>
      <c r="M353" s="24">
        <v>3.8424</v>
      </c>
      <c r="N353" s="24">
        <v>6.8118898945192718</v>
      </c>
      <c r="O353" s="24">
        <v>7.6767676767676765</v>
      </c>
      <c r="P353" s="24">
        <v>6.8249258160237405</v>
      </c>
      <c r="Q353" s="24">
        <v>0.92612260632895405</v>
      </c>
      <c r="R353" s="24">
        <v>3.86</v>
      </c>
      <c r="S353" s="24">
        <v>4.5838393307189609</v>
      </c>
      <c r="T353" s="24">
        <v>0.38398934286695374</v>
      </c>
      <c r="U353" s="24" t="s">
        <v>3944</v>
      </c>
      <c r="V353">
        <v>0</v>
      </c>
      <c r="W353" s="21">
        <v>0</v>
      </c>
      <c r="X353" s="56" t="str">
        <f>IFERROR(VLOOKUP(A353,Output!A:F,6,0),"-")</f>
        <v>-</v>
      </c>
    </row>
    <row r="354" spans="1:24" hidden="1" x14ac:dyDescent="0.25">
      <c r="A354" s="21" t="s">
        <v>1630</v>
      </c>
      <c r="B354" s="40" t="s">
        <v>1631</v>
      </c>
      <c r="C354" s="21" t="s">
        <v>244</v>
      </c>
      <c r="D354" s="21" t="s">
        <v>73</v>
      </c>
      <c r="E354" s="21" t="s">
        <v>98</v>
      </c>
      <c r="F354" s="55">
        <v>6.17233456551812E-4</v>
      </c>
      <c r="G354" s="21">
        <v>2.504416</v>
      </c>
      <c r="H354" s="21">
        <v>5.0161090000000002</v>
      </c>
      <c r="I354" s="21">
        <v>5.0135459999999998</v>
      </c>
      <c r="J354" s="21">
        <v>4.5127449999999998</v>
      </c>
      <c r="K354" s="21">
        <v>2.049652</v>
      </c>
      <c r="L354" s="21">
        <v>9.6774850000000008</v>
      </c>
      <c r="M354" s="21">
        <v>46.271299999999997</v>
      </c>
      <c r="N354" s="21">
        <v>3.3093006488824801</v>
      </c>
      <c r="O354" s="21">
        <v>7.216494845360824</v>
      </c>
      <c r="P354" s="21">
        <v>4.8962655601659764</v>
      </c>
      <c r="Q354" s="21">
        <v>8.8589358187824434</v>
      </c>
      <c r="R354" s="21">
        <v>4.33</v>
      </c>
      <c r="S354" s="21">
        <v>5.6126000881976603</v>
      </c>
      <c r="T354" s="21">
        <v>0.48122952413922276</v>
      </c>
      <c r="U354" s="21" t="s">
        <v>3434</v>
      </c>
      <c r="V354">
        <v>0</v>
      </c>
      <c r="W354" s="21">
        <v>1</v>
      </c>
      <c r="X354" s="56" t="str">
        <f>IFERROR(VLOOKUP(A354,Output!A:F,6,0),"-")</f>
        <v>-</v>
      </c>
    </row>
    <row r="355" spans="1:24" ht="0.4" hidden="1" customHeight="1" x14ac:dyDescent="0.25">
      <c r="A355" s="21" t="s">
        <v>1703</v>
      </c>
      <c r="B355" s="40" t="s">
        <v>1704</v>
      </c>
      <c r="C355" s="21" t="s">
        <v>245</v>
      </c>
      <c r="D355" s="21" t="s">
        <v>73</v>
      </c>
      <c r="E355" s="21" t="s">
        <v>95</v>
      </c>
      <c r="F355" s="55">
        <v>6.1481898382948169E-4</v>
      </c>
      <c r="G355" s="21">
        <v>4.8866480000000001</v>
      </c>
      <c r="H355" s="21">
        <v>3.2530420000000002</v>
      </c>
      <c r="I355" s="21">
        <v>6.6384999999999996</v>
      </c>
      <c r="J355" s="21">
        <v>5.0854819999999998</v>
      </c>
      <c r="K355" s="21">
        <v>7.0729480000000002</v>
      </c>
      <c r="L355" s="21">
        <v>7.898911</v>
      </c>
      <c r="M355" s="21">
        <v>2304.3620000000001</v>
      </c>
      <c r="N355" s="21">
        <v>1.3323358483631229</v>
      </c>
      <c r="O355" s="21">
        <v>7.1134020618556697</v>
      </c>
      <c r="P355" s="21">
        <v>1.705685618729097</v>
      </c>
      <c r="Q355" s="21">
        <v>2.9909031061104785</v>
      </c>
      <c r="R355" s="21">
        <v>8.1300000000000008</v>
      </c>
      <c r="S355" s="21">
        <v>4.1007599213886596</v>
      </c>
      <c r="T355" s="21">
        <v>0.49027916409891997</v>
      </c>
      <c r="U355" s="21" t="s">
        <v>3559</v>
      </c>
      <c r="V355">
        <v>0</v>
      </c>
      <c r="W355" s="21">
        <v>0</v>
      </c>
      <c r="X355" s="56" t="str">
        <f>IFERROR(VLOOKUP(A355,Output!A:F,6,0),"-")</f>
        <v>-</v>
      </c>
    </row>
    <row r="356" spans="1:24" hidden="1" x14ac:dyDescent="0.25">
      <c r="A356" s="21" t="s">
        <v>1676</v>
      </c>
      <c r="B356" s="40" t="s">
        <v>1677</v>
      </c>
      <c r="C356" s="21" t="s">
        <v>244</v>
      </c>
      <c r="D356" s="21" t="s">
        <v>73</v>
      </c>
      <c r="E356" s="21" t="s">
        <v>92</v>
      </c>
      <c r="F356" s="55">
        <v>6.1244958314263644E-4</v>
      </c>
      <c r="G356" s="24">
        <v>5.2720649999999996</v>
      </c>
      <c r="H356" s="24">
        <v>4.9746240000000004</v>
      </c>
      <c r="I356" s="24">
        <v>5.4694050000000001</v>
      </c>
      <c r="J356" s="24">
        <v>5.2420340000000003</v>
      </c>
      <c r="K356" s="24">
        <v>2.3542930000000002</v>
      </c>
      <c r="L356" s="24">
        <v>6.2054989999999997</v>
      </c>
      <c r="M356" s="24">
        <v>22.561</v>
      </c>
      <c r="N356" s="24">
        <v>2.8551136363636367</v>
      </c>
      <c r="O356" s="24">
        <v>1.6161616161616164</v>
      </c>
      <c r="P356" s="24">
        <v>2.4613800516523998</v>
      </c>
      <c r="Q356" s="24">
        <v>6.6471993628882409</v>
      </c>
      <c r="R356" s="24">
        <v>7.96</v>
      </c>
      <c r="S356" s="24">
        <v>5.4648728297360929</v>
      </c>
      <c r="T356" s="24">
        <v>0.59671132990163389</v>
      </c>
      <c r="U356" s="24" t="s">
        <v>3483</v>
      </c>
      <c r="V356">
        <v>0</v>
      </c>
      <c r="W356" s="21">
        <v>0</v>
      </c>
      <c r="X356" s="56" t="str">
        <f>IFERROR(VLOOKUP(A356,Output!A:F,6,0),"-")</f>
        <v>-</v>
      </c>
    </row>
    <row r="357" spans="1:24" hidden="1" x14ac:dyDescent="0.25">
      <c r="A357" s="21" t="s">
        <v>2430</v>
      </c>
      <c r="B357" s="40" t="s">
        <v>2431</v>
      </c>
      <c r="C357" s="21" t="s">
        <v>247</v>
      </c>
      <c r="D357" s="21" t="s">
        <v>74</v>
      </c>
      <c r="E357" s="21" t="s">
        <v>92</v>
      </c>
      <c r="F357" s="55">
        <v>6.1213246917868845E-4</v>
      </c>
      <c r="G357" s="24">
        <v>7.1996609999999999</v>
      </c>
      <c r="H357" s="24">
        <v>6.0233759999999998</v>
      </c>
      <c r="I357" s="24">
        <v>6.4481229999999998</v>
      </c>
      <c r="J357" s="24">
        <v>6.6213139999999999</v>
      </c>
      <c r="K357" s="24">
        <v>1.3697619999999999</v>
      </c>
      <c r="L357" s="24">
        <v>4.4145960000000004</v>
      </c>
      <c r="M357" s="24">
        <v>5.1576000000000004</v>
      </c>
      <c r="N357" s="24">
        <v>6.4395066666666683</v>
      </c>
      <c r="O357" s="24">
        <v>7.7551020408163254</v>
      </c>
      <c r="P357" s="24">
        <v>6.1095890410958908</v>
      </c>
      <c r="Q357" s="24">
        <v>1.5351544313346053</v>
      </c>
      <c r="R357" s="24">
        <v>3.51</v>
      </c>
      <c r="S357" s="24">
        <v>4.3820182278285849</v>
      </c>
      <c r="T357" s="24">
        <v>0.57598952460492447</v>
      </c>
      <c r="U357" s="24" t="s">
        <v>3941</v>
      </c>
      <c r="V357">
        <v>0</v>
      </c>
      <c r="W357" s="21">
        <v>0</v>
      </c>
      <c r="X357" s="56" t="str">
        <f>IFERROR(VLOOKUP(A357,Output!A:F,6,0),"-")</f>
        <v>-</v>
      </c>
    </row>
    <row r="358" spans="1:24" hidden="1" x14ac:dyDescent="0.25">
      <c r="A358" s="21" t="s">
        <v>289</v>
      </c>
      <c r="B358" s="40" t="s">
        <v>290</v>
      </c>
      <c r="C358" s="21" t="s">
        <v>244</v>
      </c>
      <c r="D358" s="21" t="s">
        <v>73</v>
      </c>
      <c r="E358" s="21" t="s">
        <v>92</v>
      </c>
      <c r="F358" s="55">
        <v>6.1009517293187873E-4</v>
      </c>
      <c r="G358" s="24">
        <v>5.5698639999999999</v>
      </c>
      <c r="H358" s="24">
        <v>5.3267449999999998</v>
      </c>
      <c r="I358" s="24">
        <v>7.5230309999999996</v>
      </c>
      <c r="J358" s="24">
        <v>6.0828790000000001</v>
      </c>
      <c r="K358" s="24">
        <v>1.492821</v>
      </c>
      <c r="L358" s="24">
        <v>4.4599890000000002</v>
      </c>
      <c r="M358" s="24">
        <v>16.957599999999999</v>
      </c>
      <c r="N358" s="24">
        <v>3.7997159090909101</v>
      </c>
      <c r="O358" s="24">
        <v>5.1515151515151514</v>
      </c>
      <c r="P358" s="24">
        <v>6.5499481089600495</v>
      </c>
      <c r="Q358" s="24">
        <v>4.6026015396867539</v>
      </c>
      <c r="R358" s="24">
        <v>6.76</v>
      </c>
      <c r="S358" s="24">
        <v>5.8329866285106995</v>
      </c>
      <c r="T358" s="24">
        <v>1.0374189186933622</v>
      </c>
      <c r="U358" s="24" t="s">
        <v>3457</v>
      </c>
      <c r="V358">
        <v>0</v>
      </c>
      <c r="W358" s="21">
        <v>0</v>
      </c>
      <c r="X358" s="56">
        <f>IFERROR(VLOOKUP(A358,Output!A:F,6,0),"-")</f>
        <v>7.4999999999999997E-3</v>
      </c>
    </row>
    <row r="359" spans="1:24" hidden="1" x14ac:dyDescent="0.25">
      <c r="A359" s="21" t="s">
        <v>1572</v>
      </c>
      <c r="B359" s="40" t="s">
        <v>1573</v>
      </c>
      <c r="C359" s="21" t="s">
        <v>244</v>
      </c>
      <c r="D359" s="21" t="s">
        <v>73</v>
      </c>
      <c r="E359" s="21" t="s">
        <v>91</v>
      </c>
      <c r="F359" s="55">
        <v>6.0396608035647619E-4</v>
      </c>
      <c r="G359" s="21">
        <v>3.8907039999999999</v>
      </c>
      <c r="H359" s="21">
        <v>6.0165819999999997</v>
      </c>
      <c r="I359" s="21">
        <v>5.9520989999999996</v>
      </c>
      <c r="J359" s="21">
        <v>5.5656129999999999</v>
      </c>
      <c r="K359" s="24">
        <v>0</v>
      </c>
      <c r="L359" s="24">
        <v>9.3663319999999999</v>
      </c>
      <c r="M359" s="24">
        <v>1.5953999999999999</v>
      </c>
      <c r="N359" s="24">
        <v>3.2502871871148393</v>
      </c>
      <c r="O359" s="24">
        <v>7.0707070707070709</v>
      </c>
      <c r="P359" s="24">
        <v>5.4469854659169012</v>
      </c>
      <c r="Q359" s="24">
        <v>10</v>
      </c>
      <c r="R359" s="24" t="e">
        <v>#N/A</v>
      </c>
      <c r="S359" s="24">
        <v>6.2248072061436339</v>
      </c>
      <c r="T359" s="24">
        <v>0.58198151790209929</v>
      </c>
      <c r="U359" s="24" t="s">
        <v>3475</v>
      </c>
      <c r="V359">
        <v>0</v>
      </c>
      <c r="W359" s="21">
        <v>0</v>
      </c>
      <c r="X359" s="56" t="str">
        <f>IFERROR(VLOOKUP(A359,Output!A:F,6,0),"-")</f>
        <v>-</v>
      </c>
    </row>
    <row r="360" spans="1:24" hidden="1" x14ac:dyDescent="0.25">
      <c r="A360" s="21" t="s">
        <v>1798</v>
      </c>
      <c r="B360" s="40" t="s">
        <v>1799</v>
      </c>
      <c r="C360" s="21" t="s">
        <v>244</v>
      </c>
      <c r="D360" s="21" t="s">
        <v>73</v>
      </c>
      <c r="E360" s="21" t="s">
        <v>92</v>
      </c>
      <c r="F360" s="55">
        <v>6.0189135822305833E-4</v>
      </c>
      <c r="G360" s="24">
        <v>5.0362939999999998</v>
      </c>
      <c r="H360" s="24">
        <v>7.5377520000000002</v>
      </c>
      <c r="I360" s="24">
        <v>5.7995260000000002</v>
      </c>
      <c r="J360" s="24">
        <v>6.015701</v>
      </c>
      <c r="K360" s="24">
        <v>2.8597100000000002</v>
      </c>
      <c r="L360" s="24">
        <v>4.4395720000000001</v>
      </c>
      <c r="M360" s="24">
        <v>1.9805999999999999</v>
      </c>
      <c r="N360" s="24">
        <v>5.4521775568181834</v>
      </c>
      <c r="O360" s="24">
        <v>2.2222222222222223</v>
      </c>
      <c r="P360" s="24">
        <v>8.5169927970463739</v>
      </c>
      <c r="Q360" s="24">
        <v>2.7337403769577913</v>
      </c>
      <c r="R360" s="24">
        <v>8.52</v>
      </c>
      <c r="S360" s="24">
        <v>6.4192207244206436</v>
      </c>
      <c r="T360" s="24">
        <v>0.89666009408989122</v>
      </c>
      <c r="U360" s="24" t="s">
        <v>3546</v>
      </c>
      <c r="V360">
        <v>0</v>
      </c>
      <c r="W360" s="21">
        <v>0</v>
      </c>
      <c r="X360" s="56" t="str">
        <f>IFERROR(VLOOKUP(A360,Output!A:F,6,0),"-")</f>
        <v>-</v>
      </c>
    </row>
    <row r="361" spans="1:24" hidden="1" x14ac:dyDescent="0.25">
      <c r="A361" s="21" t="s">
        <v>1365</v>
      </c>
      <c r="B361" s="40" t="s">
        <v>1366</v>
      </c>
      <c r="C361" s="21" t="s">
        <v>244</v>
      </c>
      <c r="D361" s="21" t="s">
        <v>73</v>
      </c>
      <c r="E361" s="21" t="s">
        <v>94</v>
      </c>
      <c r="F361" s="55">
        <v>6.0084725647247103E-4</v>
      </c>
      <c r="G361" s="21">
        <v>4.4158939999999998</v>
      </c>
      <c r="H361" s="21">
        <v>3.7263000000000002</v>
      </c>
      <c r="I361" s="21">
        <v>3.5152700000000001</v>
      </c>
      <c r="J361" s="21">
        <v>3.7798069999999999</v>
      </c>
      <c r="K361" s="24">
        <v>0</v>
      </c>
      <c r="L361" s="24">
        <v>2.1064229999999999</v>
      </c>
      <c r="M361" s="24">
        <v>7.4425999999999997</v>
      </c>
      <c r="N361" s="24">
        <v>5.9945103031267424</v>
      </c>
      <c r="O361" s="24">
        <v>8.9795918367346932</v>
      </c>
      <c r="P361" s="24">
        <v>5.0625601349857945</v>
      </c>
      <c r="Q361" s="24">
        <v>0</v>
      </c>
      <c r="R361" s="24" t="e">
        <v>#N/A</v>
      </c>
      <c r="S361" s="24">
        <v>2.4144629775282507</v>
      </c>
      <c r="T361" s="24">
        <v>1.9353471571190928</v>
      </c>
      <c r="U361" s="24" t="s">
        <v>3347</v>
      </c>
      <c r="V361">
        <v>0</v>
      </c>
      <c r="W361" s="21">
        <v>1</v>
      </c>
      <c r="X361" s="56" t="str">
        <f>IFERROR(VLOOKUP(A361,Output!A:F,6,0),"-")</f>
        <v>-</v>
      </c>
    </row>
    <row r="362" spans="1:24" hidden="1" x14ac:dyDescent="0.25">
      <c r="A362" s="21" t="s">
        <v>2519</v>
      </c>
      <c r="B362" s="40" t="s">
        <v>2520</v>
      </c>
      <c r="C362" s="21" t="s">
        <v>257</v>
      </c>
      <c r="D362" s="21" t="s">
        <v>74</v>
      </c>
      <c r="E362" s="21" t="s">
        <v>89</v>
      </c>
      <c r="F362" s="55">
        <v>6.0023596699120604E-4</v>
      </c>
      <c r="G362" s="24">
        <v>6.8842650000000001</v>
      </c>
      <c r="H362" s="24">
        <v>4.85297</v>
      </c>
      <c r="I362" s="24">
        <v>6.8844989999999999</v>
      </c>
      <c r="J362" s="24">
        <v>6.173394</v>
      </c>
      <c r="K362" s="24">
        <v>2.115211</v>
      </c>
      <c r="L362" s="24">
        <v>5.4183029999999999</v>
      </c>
      <c r="M362" s="24">
        <v>6.2900999999999998</v>
      </c>
      <c r="N362" s="24">
        <v>8.5677811081320367</v>
      </c>
      <c r="O362" s="24">
        <v>2.0202020202020203</v>
      </c>
      <c r="P362" s="24">
        <v>8.4210526315789469</v>
      </c>
      <c r="Q362" s="24">
        <v>1.6942304299889746</v>
      </c>
      <c r="R362" s="24">
        <v>2.8</v>
      </c>
      <c r="S362" s="24">
        <v>5.411684430733736</v>
      </c>
      <c r="T362" s="24">
        <v>0.13122396752094453</v>
      </c>
      <c r="U362" s="24" t="s">
        <v>3967</v>
      </c>
      <c r="V362">
        <v>0</v>
      </c>
      <c r="W362" s="21">
        <v>0</v>
      </c>
      <c r="X362" s="56" t="str">
        <f>IFERROR(VLOOKUP(A362,Output!A:F,6,0),"-")</f>
        <v>-</v>
      </c>
    </row>
    <row r="363" spans="1:24" hidden="1" x14ac:dyDescent="0.25">
      <c r="A363" s="21" t="s">
        <v>1383</v>
      </c>
      <c r="B363" s="40" t="s">
        <v>1384</v>
      </c>
      <c r="C363" s="21" t="s">
        <v>244</v>
      </c>
      <c r="D363" s="21" t="s">
        <v>73</v>
      </c>
      <c r="E363" s="21" t="s">
        <v>97</v>
      </c>
      <c r="F363" s="55">
        <v>5.9807743904180825E-4</v>
      </c>
      <c r="G363" s="21">
        <v>5.080749</v>
      </c>
      <c r="H363" s="21">
        <v>3.7189009999999998</v>
      </c>
      <c r="I363" s="21">
        <v>5.9514019999999999</v>
      </c>
      <c r="J363" s="21">
        <v>5.1566409999999996</v>
      </c>
      <c r="K363" s="24">
        <v>0</v>
      </c>
      <c r="L363" s="24">
        <v>0.70260829999999996</v>
      </c>
      <c r="M363" s="24">
        <v>17.810099999999998</v>
      </c>
      <c r="N363" s="24">
        <v>5.7920782521323027</v>
      </c>
      <c r="O363" s="24">
        <v>2.5773195876288657</v>
      </c>
      <c r="P363" s="24">
        <v>5.5909090909090917</v>
      </c>
      <c r="Q363" s="24">
        <v>0</v>
      </c>
      <c r="R363" s="24" t="e">
        <v>#N/A</v>
      </c>
      <c r="S363" s="24">
        <v>2.5532654833097501</v>
      </c>
      <c r="T363" s="24">
        <v>1.1718946938246191</v>
      </c>
      <c r="U363" s="24" t="s">
        <v>3384</v>
      </c>
      <c r="V363">
        <v>0</v>
      </c>
      <c r="W363" s="21">
        <v>0</v>
      </c>
      <c r="X363" s="56" t="str">
        <f>IFERROR(VLOOKUP(A363,Output!A:F,6,0),"-")</f>
        <v>-</v>
      </c>
    </row>
    <row r="364" spans="1:24" hidden="1" x14ac:dyDescent="0.25">
      <c r="A364" s="21" t="s">
        <v>1732</v>
      </c>
      <c r="B364" s="40" t="s">
        <v>1733</v>
      </c>
      <c r="C364" s="21" t="s">
        <v>244</v>
      </c>
      <c r="D364" s="21" t="s">
        <v>73</v>
      </c>
      <c r="E364" s="21" t="s">
        <v>95</v>
      </c>
      <c r="F364" s="55">
        <v>5.9216616110217585E-4</v>
      </c>
      <c r="G364" s="24">
        <v>4.5822029999999998</v>
      </c>
      <c r="H364" s="24">
        <v>6.2448329999999999</v>
      </c>
      <c r="I364" s="24">
        <v>6.5665050000000003</v>
      </c>
      <c r="J364" s="24">
        <v>5.5100189999999998</v>
      </c>
      <c r="K364" s="24">
        <v>1.1554219999999999</v>
      </c>
      <c r="L364" s="24">
        <v>5.1868930000000004</v>
      </c>
      <c r="M364" s="24">
        <v>480.45850000000002</v>
      </c>
      <c r="N364" s="24">
        <v>0.86527000806766385</v>
      </c>
      <c r="O364" s="24">
        <v>2.6804123711340204</v>
      </c>
      <c r="P364" s="24">
        <v>4.247491638795986</v>
      </c>
      <c r="Q364" s="24">
        <v>3.7191537494763294</v>
      </c>
      <c r="R364" s="24">
        <v>3.01</v>
      </c>
      <c r="S364" s="24">
        <v>3.4555343921345605</v>
      </c>
      <c r="T364" s="24">
        <v>0.54925538392153084</v>
      </c>
      <c r="U364" s="24" t="s">
        <v>2819</v>
      </c>
      <c r="V364">
        <v>0</v>
      </c>
      <c r="W364" s="21">
        <v>0</v>
      </c>
      <c r="X364" s="56" t="str">
        <f>IFERROR(VLOOKUP(A364,Output!A:F,6,0),"-")</f>
        <v>-</v>
      </c>
    </row>
    <row r="365" spans="1:24" hidden="1" x14ac:dyDescent="0.25">
      <c r="A365" s="21" t="s">
        <v>336</v>
      </c>
      <c r="B365" s="40" t="s">
        <v>337</v>
      </c>
      <c r="C365" s="21" t="s">
        <v>250</v>
      </c>
      <c r="D365" s="21" t="s">
        <v>76</v>
      </c>
      <c r="E365" s="21" t="s">
        <v>95</v>
      </c>
      <c r="F365" s="55">
        <v>5.8862589356494172E-4</v>
      </c>
      <c r="G365" s="24">
        <v>7.809869</v>
      </c>
      <c r="H365" s="24">
        <v>6.4277839999999999</v>
      </c>
      <c r="I365" s="24">
        <v>5.421672</v>
      </c>
      <c r="J365" s="24">
        <v>6.8169930000000001</v>
      </c>
      <c r="K365" s="24">
        <v>5.7461880000000001</v>
      </c>
      <c r="L365" s="24">
        <v>6.6507860000000001</v>
      </c>
      <c r="M365" s="24">
        <v>1934.45</v>
      </c>
      <c r="N365" s="24">
        <v>8.7601889429219479</v>
      </c>
      <c r="O365" s="24">
        <v>0</v>
      </c>
      <c r="P365" s="24">
        <v>10</v>
      </c>
      <c r="Q365" s="24">
        <v>10</v>
      </c>
      <c r="R365" s="24">
        <v>6.41</v>
      </c>
      <c r="S365" s="24">
        <v>7.9584726747716257</v>
      </c>
      <c r="T365" s="24">
        <v>0.49382470425965674</v>
      </c>
      <c r="U365" s="24" t="s">
        <v>3965</v>
      </c>
      <c r="V365">
        <v>0</v>
      </c>
      <c r="W365" s="21">
        <v>0</v>
      </c>
      <c r="X365" s="56">
        <f>IFERROR(VLOOKUP(A365,Output!A:F,6,0),"-")</f>
        <v>3.1985566473261141E-3</v>
      </c>
    </row>
    <row r="366" spans="1:24" hidden="1" x14ac:dyDescent="0.25">
      <c r="A366" s="21" t="s">
        <v>1329</v>
      </c>
      <c r="B366" s="40" t="s">
        <v>1330</v>
      </c>
      <c r="C366" s="21" t="s">
        <v>244</v>
      </c>
      <c r="D366" s="21" t="s">
        <v>73</v>
      </c>
      <c r="E366" s="21" t="s">
        <v>99</v>
      </c>
      <c r="F366" s="55">
        <v>5.8830244134600376E-4</v>
      </c>
      <c r="G366" s="21">
        <v>4.3042569999999998</v>
      </c>
      <c r="H366" s="21">
        <v>4.0977110000000003</v>
      </c>
      <c r="I366" s="21">
        <v>6.6092740000000001</v>
      </c>
      <c r="J366" s="21">
        <v>5.0037469999999997</v>
      </c>
      <c r="K366" s="24">
        <v>0</v>
      </c>
      <c r="L366" s="24">
        <v>2.6017169999999998</v>
      </c>
      <c r="M366" s="24">
        <v>15.6693</v>
      </c>
      <c r="N366" s="24">
        <v>5.1460150075781375</v>
      </c>
      <c r="O366" s="24">
        <v>2.916666666666667</v>
      </c>
      <c r="P366" s="24">
        <v>6.8059701492537314</v>
      </c>
      <c r="Q366" s="24">
        <v>3.0196733747149755</v>
      </c>
      <c r="R366" s="24" t="e">
        <v>#N/A</v>
      </c>
      <c r="S366" s="24">
        <v>4.526925944611528</v>
      </c>
      <c r="T366" s="24">
        <v>1.1428215726034481</v>
      </c>
      <c r="U366" s="24" t="s">
        <v>3266</v>
      </c>
      <c r="V366">
        <v>0</v>
      </c>
      <c r="W366" s="21">
        <v>0</v>
      </c>
      <c r="X366" s="56" t="str">
        <f>IFERROR(VLOOKUP(A366,Output!A:F,6,0),"-")</f>
        <v>-</v>
      </c>
    </row>
    <row r="367" spans="1:24" hidden="1" x14ac:dyDescent="0.25">
      <c r="A367" s="21" t="s">
        <v>2426</v>
      </c>
      <c r="B367" s="40" t="s">
        <v>2427</v>
      </c>
      <c r="C367" s="21" t="s">
        <v>249</v>
      </c>
      <c r="D367" s="21" t="s">
        <v>74</v>
      </c>
      <c r="E367" s="21" t="s">
        <v>88</v>
      </c>
      <c r="F367" s="55">
        <v>5.8797023629874614E-4</v>
      </c>
      <c r="G367" s="21">
        <v>6.0376390000000004</v>
      </c>
      <c r="H367" s="21">
        <v>5.0981480000000001</v>
      </c>
      <c r="I367" s="21">
        <v>6.1671420000000001</v>
      </c>
      <c r="J367" s="21">
        <v>5.7946429999999998</v>
      </c>
      <c r="K367" s="24">
        <v>3.1515520000000001</v>
      </c>
      <c r="L367" s="24">
        <v>9.4124099999999995</v>
      </c>
      <c r="M367" s="24">
        <v>233.92689999999999</v>
      </c>
      <c r="N367" s="24">
        <v>4.4197525925925936</v>
      </c>
      <c r="O367" s="24">
        <v>6.3265306122448974</v>
      </c>
      <c r="P367" s="24">
        <v>4.493150684931507</v>
      </c>
      <c r="Q367" s="24">
        <v>8.6883431524542978</v>
      </c>
      <c r="R367" s="24">
        <v>6.61</v>
      </c>
      <c r="S367" s="24">
        <v>6.5548970307884673</v>
      </c>
      <c r="T367" s="24">
        <v>0.57813500677780494</v>
      </c>
      <c r="U367" s="24" t="s">
        <v>3904</v>
      </c>
      <c r="V367">
        <v>0</v>
      </c>
      <c r="W367" s="21">
        <v>0</v>
      </c>
      <c r="X367" s="56" t="str">
        <f>IFERROR(VLOOKUP(A367,Output!A:F,6,0),"-")</f>
        <v>-</v>
      </c>
    </row>
    <row r="368" spans="1:24" hidden="1" x14ac:dyDescent="0.25">
      <c r="A368" s="21" t="s">
        <v>1834</v>
      </c>
      <c r="B368" s="40" t="s">
        <v>1835</v>
      </c>
      <c r="C368" s="21" t="s">
        <v>244</v>
      </c>
      <c r="D368" s="21" t="s">
        <v>73</v>
      </c>
      <c r="E368" s="21" t="s">
        <v>102</v>
      </c>
      <c r="F368" s="55">
        <v>5.8678578747337865E-4</v>
      </c>
      <c r="G368" s="24">
        <v>4.4464249999999996</v>
      </c>
      <c r="H368" s="24">
        <v>4.5101719999999998</v>
      </c>
      <c r="I368" s="24">
        <v>6.084816</v>
      </c>
      <c r="J368" s="24">
        <v>4.7868529999999998</v>
      </c>
      <c r="K368" s="24">
        <v>4.1135349999999997</v>
      </c>
      <c r="L368" s="24">
        <v>6.952337</v>
      </c>
      <c r="M368" s="24">
        <v>166.9444</v>
      </c>
      <c r="N368" s="24">
        <v>0</v>
      </c>
      <c r="O368" s="24">
        <v>3.2989690721649478</v>
      </c>
      <c r="P368" s="24">
        <v>2.8968253968253972</v>
      </c>
      <c r="Q368" s="24">
        <v>9.3548624663990871</v>
      </c>
      <c r="R368" s="24">
        <v>6</v>
      </c>
      <c r="S368" s="24">
        <v>4.9087205612361675</v>
      </c>
      <c r="T368" s="24">
        <v>0.55053294476482273</v>
      </c>
      <c r="U368" s="24" t="s">
        <v>3568</v>
      </c>
      <c r="V368">
        <v>0</v>
      </c>
      <c r="W368" s="21">
        <v>0</v>
      </c>
      <c r="X368" s="56" t="str">
        <f>IFERROR(VLOOKUP(A368,Output!A:F,6,0),"-")</f>
        <v>-</v>
      </c>
    </row>
    <row r="369" spans="1:24" hidden="1" x14ac:dyDescent="0.25">
      <c r="A369" s="21" t="s">
        <v>2623</v>
      </c>
      <c r="B369" s="40" t="s">
        <v>2624</v>
      </c>
      <c r="C369" s="21" t="s">
        <v>247</v>
      </c>
      <c r="D369" s="21" t="s">
        <v>74</v>
      </c>
      <c r="E369" s="21" t="s">
        <v>96</v>
      </c>
      <c r="F369" s="55">
        <v>5.8593837284192784E-4</v>
      </c>
      <c r="G369" s="21">
        <v>3.5981070000000002</v>
      </c>
      <c r="H369" s="21">
        <v>6.5196730000000001</v>
      </c>
      <c r="I369" s="21">
        <v>8.3501200000000004</v>
      </c>
      <c r="J369" s="21">
        <v>5.9001809999999999</v>
      </c>
      <c r="K369" s="24">
        <v>4.6181720000000004</v>
      </c>
      <c r="L369" s="24">
        <v>5.9647620000000003</v>
      </c>
      <c r="M369" s="24">
        <v>23.808700000000002</v>
      </c>
      <c r="N369" s="24">
        <v>5.391648606622895</v>
      </c>
      <c r="O369" s="24">
        <v>1.5789473684210527</v>
      </c>
      <c r="P369" s="24">
        <v>6.9361702127659575</v>
      </c>
      <c r="Q369" s="24">
        <v>5.1408018354749707</v>
      </c>
      <c r="R369" s="24">
        <v>6.98</v>
      </c>
      <c r="S369" s="24">
        <v>5.3114345977815152</v>
      </c>
      <c r="T369" s="24">
        <v>0.33170034023552941</v>
      </c>
      <c r="U369" s="24" t="s">
        <v>4025</v>
      </c>
      <c r="V369">
        <v>0</v>
      </c>
      <c r="W369" s="21">
        <v>0</v>
      </c>
      <c r="X369" s="56" t="str">
        <f>IFERROR(VLOOKUP(A369,Output!A:F,6,0),"-")</f>
        <v>-</v>
      </c>
    </row>
    <row r="370" spans="1:24" hidden="1" x14ac:dyDescent="0.25">
      <c r="A370" s="21" t="s">
        <v>2188</v>
      </c>
      <c r="B370" s="40" t="s">
        <v>2189</v>
      </c>
      <c r="C370" s="21" t="s">
        <v>244</v>
      </c>
      <c r="D370" s="21" t="s">
        <v>73</v>
      </c>
      <c r="E370" s="21" t="s">
        <v>91</v>
      </c>
      <c r="F370" s="55">
        <v>5.8379574083361626E-4</v>
      </c>
      <c r="G370" s="24">
        <v>5.8330700000000002</v>
      </c>
      <c r="H370" s="24">
        <v>5.2766219999999997</v>
      </c>
      <c r="I370" s="24">
        <v>5.0275439999999998</v>
      </c>
      <c r="J370" s="24">
        <v>5.2882800000000003</v>
      </c>
      <c r="K370" s="24">
        <v>1.286165</v>
      </c>
      <c r="L370" s="24">
        <v>3.817723</v>
      </c>
      <c r="M370" s="24">
        <v>1.2628999999999999</v>
      </c>
      <c r="N370" s="24">
        <v>3.7921925334381146</v>
      </c>
      <c r="O370" s="24">
        <v>0</v>
      </c>
      <c r="P370" s="24">
        <v>6.5696465839099938</v>
      </c>
      <c r="Q370" s="24">
        <v>7.7679256038925519</v>
      </c>
      <c r="R370" s="24">
        <v>6.89</v>
      </c>
      <c r="S370" s="24">
        <v>5.4015010653773921</v>
      </c>
      <c r="T370" s="24">
        <v>0.21128988457578238</v>
      </c>
      <c r="U370" s="24" t="s">
        <v>3795</v>
      </c>
      <c r="V370">
        <v>0</v>
      </c>
      <c r="W370" s="21">
        <v>0</v>
      </c>
      <c r="X370" s="56" t="str">
        <f>IFERROR(VLOOKUP(A370,Output!A:F,6,0),"-")</f>
        <v>-</v>
      </c>
    </row>
    <row r="371" spans="1:24" hidden="1" x14ac:dyDescent="0.25">
      <c r="A371" s="21" t="s">
        <v>2456</v>
      </c>
      <c r="B371" s="40" t="s">
        <v>2457</v>
      </c>
      <c r="C371" s="21" t="s">
        <v>249</v>
      </c>
      <c r="D371" s="21" t="s">
        <v>74</v>
      </c>
      <c r="E371" s="21" t="s">
        <v>99</v>
      </c>
      <c r="F371" s="55">
        <v>5.8046041020772801E-4</v>
      </c>
      <c r="G371" s="21">
        <v>7.1617819999999996</v>
      </c>
      <c r="H371" s="21">
        <v>6.105092</v>
      </c>
      <c r="I371" s="21">
        <v>7.3414349999999997</v>
      </c>
      <c r="J371" s="21">
        <v>6.8694360000000003</v>
      </c>
      <c r="K371" s="24">
        <v>1.7092480000000001</v>
      </c>
      <c r="L371" s="24">
        <v>6.4199099999999998</v>
      </c>
      <c r="M371" s="24">
        <v>5.5373000000000001</v>
      </c>
      <c r="N371" s="24">
        <v>6.426694992473986</v>
      </c>
      <c r="O371" s="24">
        <v>7.4725274725274735</v>
      </c>
      <c r="P371" s="24">
        <v>3.2436970247863552</v>
      </c>
      <c r="Q371" s="24">
        <v>9.4065235326785697</v>
      </c>
      <c r="R371" s="24">
        <v>6.98</v>
      </c>
      <c r="S371" s="24">
        <v>7.0974097389390431</v>
      </c>
      <c r="T371" s="24">
        <v>0.69072325007634927</v>
      </c>
      <c r="U371" s="24" t="s">
        <v>3887</v>
      </c>
      <c r="V371">
        <v>0</v>
      </c>
      <c r="W371" s="21">
        <v>0</v>
      </c>
      <c r="X371" s="56">
        <f>IFERROR(VLOOKUP(A371,Output!A:F,6,0),"-")</f>
        <v>3.0682856562720255E-3</v>
      </c>
    </row>
    <row r="372" spans="1:24" hidden="1" x14ac:dyDescent="0.25">
      <c r="A372" s="21" t="s">
        <v>2682</v>
      </c>
      <c r="B372" s="40" t="s">
        <v>2683</v>
      </c>
      <c r="C372" s="21" t="s">
        <v>257</v>
      </c>
      <c r="D372" s="21" t="s">
        <v>74</v>
      </c>
      <c r="E372" s="21" t="s">
        <v>103</v>
      </c>
      <c r="F372" s="55">
        <v>5.7862996240948315E-4</v>
      </c>
      <c r="G372" s="24">
        <v>5.8119290000000001</v>
      </c>
      <c r="H372" s="24">
        <v>7.0355800000000004</v>
      </c>
      <c r="I372" s="24">
        <v>4.5983799999999997</v>
      </c>
      <c r="J372" s="24">
        <v>5.8149600000000001</v>
      </c>
      <c r="K372" s="24">
        <v>5.4046399999999997</v>
      </c>
      <c r="L372" s="24">
        <v>16.83286</v>
      </c>
      <c r="M372" s="24">
        <v>18.9148</v>
      </c>
      <c r="N372" s="24">
        <v>6.3557973393711462</v>
      </c>
      <c r="O372" s="24">
        <v>6.0606060606060606</v>
      </c>
      <c r="P372" s="24">
        <v>3.9169139465875382</v>
      </c>
      <c r="Q372" s="24">
        <v>8.784361699912191</v>
      </c>
      <c r="R372" s="24">
        <v>6.25</v>
      </c>
      <c r="S372" s="24">
        <v>6.8180844565281786</v>
      </c>
      <c r="T372" s="24">
        <v>0.45695638352783363</v>
      </c>
      <c r="U372" s="24" t="s">
        <v>4063</v>
      </c>
      <c r="V372">
        <v>0</v>
      </c>
      <c r="W372" s="21">
        <v>0</v>
      </c>
      <c r="X372" s="56" t="str">
        <f>IFERROR(VLOOKUP(A372,Output!A:F,6,0),"-")</f>
        <v>-</v>
      </c>
    </row>
    <row r="373" spans="1:24" hidden="1" x14ac:dyDescent="0.25">
      <c r="A373" s="21" t="s">
        <v>4365</v>
      </c>
      <c r="B373" s="40" t="s">
        <v>4366</v>
      </c>
      <c r="C373" s="21" t="s">
        <v>244</v>
      </c>
      <c r="D373" s="21" t="s">
        <v>73</v>
      </c>
      <c r="E373" s="21" t="s">
        <v>88</v>
      </c>
      <c r="F373" s="55">
        <v>5.7847361878639466E-4</v>
      </c>
      <c r="G373" s="24">
        <v>2.3966059999999998</v>
      </c>
      <c r="H373" s="24">
        <v>3.787893</v>
      </c>
      <c r="I373" s="24">
        <v>2.9043670000000001</v>
      </c>
      <c r="J373" s="24">
        <v>2.9663210000000002</v>
      </c>
      <c r="K373" s="24">
        <v>0.1282981</v>
      </c>
      <c r="L373" s="24">
        <v>3.9685109999999999</v>
      </c>
      <c r="M373" s="24">
        <v>58.173400000000001</v>
      </c>
      <c r="N373" s="24">
        <v>7.1638252840909109</v>
      </c>
      <c r="O373" s="24">
        <v>6.5656565656565657</v>
      </c>
      <c r="P373" s="24">
        <v>5.1184346236109803</v>
      </c>
      <c r="Q373" s="24">
        <v>3.7196708255906552</v>
      </c>
      <c r="R373" s="24">
        <v>2.35</v>
      </c>
      <c r="S373" s="24">
        <v>3.9819469555494438</v>
      </c>
      <c r="T373" s="24">
        <v>1.5480996068348729</v>
      </c>
      <c r="U373" s="24" t="s">
        <v>4367</v>
      </c>
      <c r="V373">
        <v>0</v>
      </c>
      <c r="W373" s="21">
        <v>1</v>
      </c>
      <c r="X373" s="56" t="str">
        <f>IFERROR(VLOOKUP(A373,Output!A:F,6,0),"-")</f>
        <v>-</v>
      </c>
    </row>
    <row r="374" spans="1:24" hidden="1" x14ac:dyDescent="0.25">
      <c r="A374" s="21" t="s">
        <v>4377</v>
      </c>
      <c r="B374" s="40" t="s">
        <v>4378</v>
      </c>
      <c r="C374" s="21" t="s">
        <v>244</v>
      </c>
      <c r="D374" s="21" t="s">
        <v>73</v>
      </c>
      <c r="E374" s="21" t="s">
        <v>91</v>
      </c>
      <c r="F374" s="55">
        <v>5.780678698598077E-4</v>
      </c>
      <c r="G374" s="24">
        <v>0</v>
      </c>
      <c r="H374" s="24">
        <v>5.7719019999999999</v>
      </c>
      <c r="I374" s="24">
        <v>0</v>
      </c>
      <c r="J374" s="24">
        <v>2.3087610000000001</v>
      </c>
      <c r="K374" s="24">
        <v>0.12078609999999999</v>
      </c>
      <c r="L374" s="24">
        <v>5.699376</v>
      </c>
      <c r="M374" s="24">
        <v>23.820399999999999</v>
      </c>
      <c r="N374" s="24">
        <v>5.2583237420598161</v>
      </c>
      <c r="O374" s="24">
        <v>6.8686868686868685</v>
      </c>
      <c r="P374" s="24">
        <v>6.0395010559688114</v>
      </c>
      <c r="Q374" s="24">
        <v>6.417527999309014</v>
      </c>
      <c r="R374" s="24">
        <v>4</v>
      </c>
      <c r="S374" s="24">
        <v>5.1473728689279259</v>
      </c>
      <c r="T374" s="24">
        <v>1.2433699905102127</v>
      </c>
      <c r="U374" s="24" t="s">
        <v>4379</v>
      </c>
      <c r="V374">
        <v>0</v>
      </c>
      <c r="W374" s="21">
        <v>1</v>
      </c>
      <c r="X374" s="56" t="str">
        <f>IFERROR(VLOOKUP(A374,Output!A:F,6,0),"-")</f>
        <v>-</v>
      </c>
    </row>
    <row r="375" spans="1:24" x14ac:dyDescent="0.25">
      <c r="A375" s="21" t="s">
        <v>2635</v>
      </c>
      <c r="B375" s="40" t="s">
        <v>2636</v>
      </c>
      <c r="C375" s="21" t="s">
        <v>248</v>
      </c>
      <c r="D375" s="21" t="s">
        <v>75</v>
      </c>
      <c r="E375" s="21" t="s">
        <v>88</v>
      </c>
      <c r="F375" s="55">
        <v>5.7190145200501934E-4</v>
      </c>
      <c r="G375" s="24">
        <v>5.0272819999999996</v>
      </c>
      <c r="H375" s="24">
        <v>4.7960900000000004</v>
      </c>
      <c r="I375" s="24">
        <v>2.034818</v>
      </c>
      <c r="J375" s="24">
        <v>4.0601849999999997</v>
      </c>
      <c r="K375" s="24">
        <v>1.163068</v>
      </c>
      <c r="L375" s="24">
        <v>3.2211419999999999</v>
      </c>
      <c r="M375" s="24">
        <v>64.243899999999996</v>
      </c>
      <c r="N375" s="24">
        <v>7.8712234293007546</v>
      </c>
      <c r="O375" s="24">
        <v>1.0526315789473684</v>
      </c>
      <c r="P375" s="24">
        <v>7.2228572698122386</v>
      </c>
      <c r="Q375" s="24">
        <v>3.0328228417703054</v>
      </c>
      <c r="R375" s="24">
        <v>3.74</v>
      </c>
      <c r="S375" s="24">
        <v>4.7566392185706956</v>
      </c>
      <c r="T375" s="24">
        <v>0.76252587190274324</v>
      </c>
      <c r="U375" s="24" t="s">
        <v>4035</v>
      </c>
      <c r="V375">
        <v>1</v>
      </c>
      <c r="W375" s="21">
        <v>1</v>
      </c>
      <c r="X375" s="56" t="str">
        <f>IFERROR(VLOOKUP(A375,Output!A:F,6,0),"-")</f>
        <v>-</v>
      </c>
    </row>
    <row r="376" spans="1:24" hidden="1" x14ac:dyDescent="0.25">
      <c r="A376" s="21" t="s">
        <v>2619</v>
      </c>
      <c r="B376" s="40" t="s">
        <v>2620</v>
      </c>
      <c r="C376" s="21" t="s">
        <v>258</v>
      </c>
      <c r="D376" s="21" t="s">
        <v>74</v>
      </c>
      <c r="E376" s="21" t="s">
        <v>95</v>
      </c>
      <c r="F376" s="55">
        <v>5.7037222222963615E-4</v>
      </c>
      <c r="G376" s="24">
        <v>5.7403570000000004</v>
      </c>
      <c r="H376" s="24">
        <v>7.2226850000000002</v>
      </c>
      <c r="I376" s="24">
        <v>5.624568</v>
      </c>
      <c r="J376" s="24">
        <v>6.0020860000000003</v>
      </c>
      <c r="K376" s="24">
        <v>6.5681139999999996</v>
      </c>
      <c r="L376" s="24">
        <v>13.69736</v>
      </c>
      <c r="M376" s="24">
        <v>526.4896</v>
      </c>
      <c r="N376" s="24">
        <v>6.3124619920251659</v>
      </c>
      <c r="O376" s="24">
        <v>3.1460674157303368</v>
      </c>
      <c r="P376" s="24">
        <v>3.3962264150943393</v>
      </c>
      <c r="Q376" s="24">
        <v>7.741482591606534</v>
      </c>
      <c r="R376" s="24">
        <v>4.75</v>
      </c>
      <c r="S376" s="24">
        <v>6.7727938494700952</v>
      </c>
      <c r="T376" s="24">
        <v>0.19548106710854174</v>
      </c>
      <c r="U376" s="24" t="s">
        <v>2869</v>
      </c>
      <c r="V376">
        <v>0</v>
      </c>
      <c r="W376" s="21">
        <v>0</v>
      </c>
      <c r="X376" s="56">
        <f>IFERROR(VLOOKUP(A376,Output!A:F,6,0),"-")</f>
        <v>0.02</v>
      </c>
    </row>
    <row r="377" spans="1:24" hidden="1" x14ac:dyDescent="0.25">
      <c r="A377" s="21" t="s">
        <v>2539</v>
      </c>
      <c r="B377" s="40" t="s">
        <v>2540</v>
      </c>
      <c r="C377" s="21" t="s">
        <v>298</v>
      </c>
      <c r="D377" s="21" t="s">
        <v>74</v>
      </c>
      <c r="E377" s="21" t="s">
        <v>92</v>
      </c>
      <c r="F377" s="55">
        <v>5.7028529758977218E-4</v>
      </c>
      <c r="G377" s="24">
        <v>4.7425189999999997</v>
      </c>
      <c r="H377" s="24">
        <v>5.4848400000000002</v>
      </c>
      <c r="I377" s="24">
        <v>6.0479060000000002</v>
      </c>
      <c r="J377" s="24">
        <v>5.4592169999999998</v>
      </c>
      <c r="K377" s="24">
        <v>0</v>
      </c>
      <c r="L377" s="24">
        <v>2.3922129999999999</v>
      </c>
      <c r="M377" s="24">
        <v>2.0621999999999998</v>
      </c>
      <c r="N377" s="24">
        <v>8.7901244444444444</v>
      </c>
      <c r="O377" s="24">
        <v>7.3469387755102034</v>
      </c>
      <c r="P377" s="24">
        <v>6.9589041095890414</v>
      </c>
      <c r="Q377" s="24">
        <v>0.15451976499568254</v>
      </c>
      <c r="R377" s="24" t="e">
        <v>#N/A</v>
      </c>
      <c r="S377" s="24">
        <v>3.1573304652448817</v>
      </c>
      <c r="T377" s="24">
        <v>1.1587374096228356</v>
      </c>
      <c r="U377" s="24" t="s">
        <v>3981</v>
      </c>
      <c r="V377">
        <v>0</v>
      </c>
      <c r="W377" s="21">
        <v>0</v>
      </c>
      <c r="X377" s="56" t="str">
        <f>IFERROR(VLOOKUP(A377,Output!A:F,6,0),"-")</f>
        <v>-</v>
      </c>
    </row>
    <row r="378" spans="1:24" hidden="1" x14ac:dyDescent="0.25">
      <c r="A378" s="21" t="s">
        <v>1272</v>
      </c>
      <c r="B378" s="40" t="s">
        <v>1273</v>
      </c>
      <c r="C378" s="21" t="s">
        <v>244</v>
      </c>
      <c r="D378" s="21" t="s">
        <v>73</v>
      </c>
      <c r="E378" s="21" t="s">
        <v>92</v>
      </c>
      <c r="F378" s="55">
        <v>5.6927359136468977E-4</v>
      </c>
      <c r="G378" s="24">
        <v>4.8128760000000002</v>
      </c>
      <c r="H378" s="24">
        <v>5.7734110000000003</v>
      </c>
      <c r="I378" s="24">
        <v>4.8996230000000001</v>
      </c>
      <c r="J378" s="24">
        <v>5.1270600000000002</v>
      </c>
      <c r="K378" s="24">
        <v>5.265802E-2</v>
      </c>
      <c r="L378" s="24">
        <v>4.2790879999999998</v>
      </c>
      <c r="M378" s="24">
        <v>20.927199999999999</v>
      </c>
      <c r="N378" s="24">
        <v>5.8309644886363632</v>
      </c>
      <c r="O378" s="24">
        <v>9.2929292929292924</v>
      </c>
      <c r="P378" s="24">
        <v>4.7167868394777059</v>
      </c>
      <c r="Q378" s="24">
        <v>3.5361475975577377</v>
      </c>
      <c r="R378" s="24">
        <v>2.81</v>
      </c>
      <c r="S378" s="24">
        <v>4.3091330018814427</v>
      </c>
      <c r="T378" s="24">
        <v>1.4861002356308326</v>
      </c>
      <c r="U378" s="24" t="s">
        <v>3265</v>
      </c>
      <c r="V378">
        <v>0</v>
      </c>
      <c r="W378" s="21">
        <v>0</v>
      </c>
      <c r="X378" s="56" t="str">
        <f>IFERROR(VLOOKUP(A378,Output!A:F,6,0),"-")</f>
        <v>-</v>
      </c>
    </row>
    <row r="379" spans="1:24" hidden="1" x14ac:dyDescent="0.25">
      <c r="A379" s="21" t="s">
        <v>2234</v>
      </c>
      <c r="B379" s="40" t="s">
        <v>2235</v>
      </c>
      <c r="C379" s="21" t="s">
        <v>250</v>
      </c>
      <c r="D379" s="21" t="s">
        <v>76</v>
      </c>
      <c r="E379" s="21" t="s">
        <v>97</v>
      </c>
      <c r="F379" s="55">
        <v>5.6794396631788292E-4</v>
      </c>
      <c r="G379" s="21">
        <v>6.7587529999999996</v>
      </c>
      <c r="H379" s="21">
        <v>5.0550819999999996</v>
      </c>
      <c r="I379" s="21">
        <v>6.1243319999999999</v>
      </c>
      <c r="J379" s="21">
        <v>6.16425</v>
      </c>
      <c r="K379" s="24">
        <v>0.90147820000000001</v>
      </c>
      <c r="L379" s="24">
        <v>5.2777289999999999</v>
      </c>
      <c r="M379" s="24">
        <v>27.873699999999999</v>
      </c>
      <c r="N379" s="24">
        <v>8.2893799002138273</v>
      </c>
      <c r="O379" s="24">
        <v>10</v>
      </c>
      <c r="P379" s="24">
        <v>7.1612903225806459</v>
      </c>
      <c r="Q379" s="24">
        <v>0</v>
      </c>
      <c r="R379" s="24">
        <v>3.96</v>
      </c>
      <c r="S379" s="24">
        <v>3.2480152799629503</v>
      </c>
      <c r="T379" s="24">
        <v>0.67195845864096682</v>
      </c>
      <c r="U379" s="24" t="s">
        <v>3788</v>
      </c>
      <c r="V379">
        <v>0</v>
      </c>
      <c r="W379" s="21">
        <v>0</v>
      </c>
      <c r="X379" s="56" t="str">
        <f>IFERROR(VLOOKUP(A379,Output!A:F,6,0),"-")</f>
        <v>-</v>
      </c>
    </row>
    <row r="380" spans="1:24" hidden="1" x14ac:dyDescent="0.25">
      <c r="A380" s="21" t="s">
        <v>136</v>
      </c>
      <c r="B380" s="40" t="s">
        <v>205</v>
      </c>
      <c r="C380" s="21" t="s">
        <v>246</v>
      </c>
      <c r="D380" s="21" t="s">
        <v>74</v>
      </c>
      <c r="E380" s="21" t="s">
        <v>85</v>
      </c>
      <c r="F380" s="55">
        <v>5.6711617009473473E-4</v>
      </c>
      <c r="G380" s="24">
        <v>6.3221639999999999</v>
      </c>
      <c r="H380" s="24">
        <v>5.6891210000000001</v>
      </c>
      <c r="I380" s="24">
        <v>6.4483430000000004</v>
      </c>
      <c r="J380" s="24">
        <v>6.1447620000000001</v>
      </c>
      <c r="K380" s="24">
        <v>8.8701109999999996</v>
      </c>
      <c r="L380" s="24">
        <v>12.552989999999999</v>
      </c>
      <c r="M380" s="24">
        <v>1.2385999999999999</v>
      </c>
      <c r="N380" s="24">
        <v>7.5814009432986538</v>
      </c>
      <c r="O380" s="24">
        <v>5.3535353535353538</v>
      </c>
      <c r="P380" s="24">
        <v>6.094736842105263</v>
      </c>
      <c r="Q380" s="24">
        <v>7.0328015435501658</v>
      </c>
      <c r="R380" s="24">
        <v>8.1199999999999992</v>
      </c>
      <c r="S380" s="24">
        <v>7.0248268323516783</v>
      </c>
      <c r="T380" s="24">
        <v>0.24352672171591022</v>
      </c>
      <c r="U380" s="24" t="s">
        <v>2851</v>
      </c>
      <c r="V380">
        <v>0</v>
      </c>
      <c r="W380" s="21">
        <v>0</v>
      </c>
      <c r="X380" s="56">
        <f>IFERROR(VLOOKUP(A380,Output!A:F,6,0),"-")</f>
        <v>4.9999999999998813E-3</v>
      </c>
    </row>
    <row r="381" spans="1:24" hidden="1" x14ac:dyDescent="0.25">
      <c r="A381" s="21" t="s">
        <v>1216</v>
      </c>
      <c r="B381" s="40" t="s">
        <v>1217</v>
      </c>
      <c r="C381" s="21" t="s">
        <v>244</v>
      </c>
      <c r="D381" s="21" t="s">
        <v>73</v>
      </c>
      <c r="E381" s="21" t="s">
        <v>88</v>
      </c>
      <c r="F381" s="55">
        <v>5.6701083433323299E-4</v>
      </c>
      <c r="G381" s="24">
        <v>2.6098910000000002</v>
      </c>
      <c r="H381" s="24">
        <v>3.5608119999999999</v>
      </c>
      <c r="I381" s="24">
        <v>2.5492530000000002</v>
      </c>
      <c r="J381" s="24">
        <v>2.9066519999999998</v>
      </c>
      <c r="K381" s="24">
        <v>0.51656659999999999</v>
      </c>
      <c r="L381" s="24">
        <v>4.3889880000000003</v>
      </c>
      <c r="M381" s="24">
        <v>924.85320000000002</v>
      </c>
      <c r="N381" s="24">
        <v>6.2381619318181833</v>
      </c>
      <c r="O381" s="24">
        <v>8.4848484848484844</v>
      </c>
      <c r="P381" s="24">
        <v>5.5200824077442547</v>
      </c>
      <c r="Q381" s="24">
        <v>3.5228744358906288</v>
      </c>
      <c r="R381" s="24">
        <v>4.33</v>
      </c>
      <c r="S381" s="24">
        <v>4.7367211694316467</v>
      </c>
      <c r="T381" s="24">
        <v>1.2743015104883442</v>
      </c>
      <c r="U381" s="24" t="s">
        <v>3253</v>
      </c>
      <c r="V381">
        <v>0</v>
      </c>
      <c r="W381" s="21">
        <v>1</v>
      </c>
      <c r="X381" s="56" t="str">
        <f>IFERROR(VLOOKUP(A381,Output!A:F,6,0),"-")</f>
        <v>-</v>
      </c>
    </row>
    <row r="382" spans="1:24" hidden="1" x14ac:dyDescent="0.25">
      <c r="A382" s="21" t="s">
        <v>740</v>
      </c>
      <c r="B382" s="40" t="s">
        <v>741</v>
      </c>
      <c r="C382" s="21" t="s">
        <v>244</v>
      </c>
      <c r="D382" s="21" t="s">
        <v>73</v>
      </c>
      <c r="E382" s="21" t="s">
        <v>95</v>
      </c>
      <c r="F382" s="55">
        <v>5.6667631531986788E-4</v>
      </c>
      <c r="G382" s="21">
        <v>6.8567939999999998</v>
      </c>
      <c r="H382" s="21">
        <v>4.8610600000000002</v>
      </c>
      <c r="I382" s="21">
        <v>6.3184680000000002</v>
      </c>
      <c r="J382" s="21">
        <v>6.2961489999999998</v>
      </c>
      <c r="K382" s="24">
        <v>1.7127829999999999</v>
      </c>
      <c r="L382" s="24">
        <v>9.6430810000000005</v>
      </c>
      <c r="M382" s="24">
        <v>279.19819999999999</v>
      </c>
      <c r="N382" s="24">
        <v>6.2245505254760154</v>
      </c>
      <c r="O382" s="24">
        <v>8.144329896907216</v>
      </c>
      <c r="P382" s="24">
        <v>6.2876254180602009</v>
      </c>
      <c r="Q382" s="24">
        <v>5.7102950505715473</v>
      </c>
      <c r="R382" s="24">
        <v>3.25</v>
      </c>
      <c r="S382" s="24">
        <v>5.2006590070665526</v>
      </c>
      <c r="T382" s="24">
        <v>0.81679066520660137</v>
      </c>
      <c r="U382" s="24" t="s">
        <v>3362</v>
      </c>
      <c r="V382">
        <v>0</v>
      </c>
      <c r="W382" s="21">
        <v>0</v>
      </c>
      <c r="X382" s="56" t="str">
        <f>IFERROR(VLOOKUP(A382,Output!A:F,6,0),"-")</f>
        <v>-</v>
      </c>
    </row>
    <row r="383" spans="1:24" hidden="1" x14ac:dyDescent="0.25">
      <c r="A383" s="21" t="s">
        <v>287</v>
      </c>
      <c r="B383" s="40" t="s">
        <v>288</v>
      </c>
      <c r="C383" s="21" t="s">
        <v>244</v>
      </c>
      <c r="D383" s="21" t="s">
        <v>73</v>
      </c>
      <c r="E383" s="21" t="s">
        <v>99</v>
      </c>
      <c r="F383" s="55">
        <v>5.6651232554790257E-4</v>
      </c>
      <c r="G383" s="24">
        <v>9.0085409999999992</v>
      </c>
      <c r="H383" s="24">
        <v>5.5019539999999996</v>
      </c>
      <c r="I383" s="24">
        <v>8.2751490000000008</v>
      </c>
      <c r="J383" s="24">
        <v>7.5952149999999996</v>
      </c>
      <c r="K383" s="24">
        <v>1.7083809999999999</v>
      </c>
      <c r="L383" s="24">
        <v>6.2265389999999998</v>
      </c>
      <c r="M383" s="24">
        <v>6.6662999999999997</v>
      </c>
      <c r="N383" s="24">
        <v>3.2596683709288365</v>
      </c>
      <c r="O383" s="24">
        <v>3.4375000000000004</v>
      </c>
      <c r="P383" s="24">
        <v>6.7164179104477615</v>
      </c>
      <c r="Q383" s="24">
        <v>8.7809380808969948</v>
      </c>
      <c r="R383" s="24">
        <v>7.15</v>
      </c>
      <c r="S383" s="24">
        <v>7.1839549539723393</v>
      </c>
      <c r="T383" s="24">
        <v>0.87610223286456157</v>
      </c>
      <c r="U383" s="24" t="s">
        <v>2809</v>
      </c>
      <c r="V383">
        <v>0</v>
      </c>
      <c r="W383" s="21">
        <v>0</v>
      </c>
      <c r="X383" s="56">
        <f>IFERROR(VLOOKUP(A383,Output!A:F,6,0),"-")</f>
        <v>7.4999999999999997E-3</v>
      </c>
    </row>
    <row r="384" spans="1:24" hidden="1" x14ac:dyDescent="0.25">
      <c r="A384" s="21" t="s">
        <v>1788</v>
      </c>
      <c r="B384" s="40" t="s">
        <v>1789</v>
      </c>
      <c r="C384" s="21" t="s">
        <v>244</v>
      </c>
      <c r="D384" s="21" t="s">
        <v>73</v>
      </c>
      <c r="E384" s="21" t="s">
        <v>95</v>
      </c>
      <c r="F384" s="55">
        <v>5.6553613367220888E-4</v>
      </c>
      <c r="G384" s="24">
        <v>4.4087490000000003</v>
      </c>
      <c r="H384" s="24">
        <v>5.045725</v>
      </c>
      <c r="I384" s="24">
        <v>4.3914710000000001</v>
      </c>
      <c r="J384" s="24">
        <v>4.5309609999999996</v>
      </c>
      <c r="K384" s="24">
        <v>6.2543230000000003</v>
      </c>
      <c r="L384" s="24">
        <v>7.0230300000000003</v>
      </c>
      <c r="M384" s="24">
        <v>1239.287</v>
      </c>
      <c r="N384" s="24">
        <v>6.005987065509756</v>
      </c>
      <c r="O384" s="24">
        <v>5.5670103092783503</v>
      </c>
      <c r="P384" s="24">
        <v>0.83612040133779264</v>
      </c>
      <c r="Q384" s="24">
        <v>4.9797510323777585</v>
      </c>
      <c r="R384" s="24">
        <v>7.31</v>
      </c>
      <c r="S384" s="24">
        <v>4.9964114317609276</v>
      </c>
      <c r="T384" s="24">
        <v>0.66694903850304954</v>
      </c>
      <c r="U384" s="24" t="s">
        <v>3513</v>
      </c>
      <c r="V384">
        <v>0</v>
      </c>
      <c r="W384" s="21">
        <v>1</v>
      </c>
      <c r="X384" s="56" t="str">
        <f>IFERROR(VLOOKUP(A384,Output!A:F,6,0),"-")</f>
        <v>-</v>
      </c>
    </row>
    <row r="385" spans="1:24" hidden="1" x14ac:dyDescent="0.25">
      <c r="A385" s="21" t="s">
        <v>2122</v>
      </c>
      <c r="B385" s="40" t="s">
        <v>2123</v>
      </c>
      <c r="C385" s="21" t="s">
        <v>244</v>
      </c>
      <c r="D385" s="21" t="s">
        <v>73</v>
      </c>
      <c r="E385" s="21" t="s">
        <v>96</v>
      </c>
      <c r="F385" s="55">
        <v>5.6535604674471317E-4</v>
      </c>
      <c r="G385" s="24">
        <v>7.2645939999999998</v>
      </c>
      <c r="H385" s="24">
        <v>3.9613450000000001</v>
      </c>
      <c r="I385" s="24">
        <v>4.7269779999999999</v>
      </c>
      <c r="J385" s="24">
        <v>5.5123340000000001</v>
      </c>
      <c r="K385" s="24">
        <v>1.735066</v>
      </c>
      <c r="L385" s="24">
        <v>1.157459</v>
      </c>
      <c r="M385" s="24">
        <v>5.7169999999999996</v>
      </c>
      <c r="N385" s="24">
        <v>0.12668921058939381</v>
      </c>
      <c r="O385" s="24">
        <v>3.6734693877551017</v>
      </c>
      <c r="P385" s="24">
        <v>3.0125120038980251</v>
      </c>
      <c r="Q385" s="24">
        <v>1.2254143992714996</v>
      </c>
      <c r="R385" s="24">
        <v>6.81</v>
      </c>
      <c r="S385" s="24">
        <v>2.0394162220068259</v>
      </c>
      <c r="T385" s="24">
        <v>1.4561145835339087</v>
      </c>
      <c r="U385" s="24" t="s">
        <v>3726</v>
      </c>
      <c r="V385">
        <v>0</v>
      </c>
      <c r="W385" s="21">
        <v>0</v>
      </c>
      <c r="X385" s="56" t="str">
        <f>IFERROR(VLOOKUP(A385,Output!A:F,6,0),"-")</f>
        <v>-</v>
      </c>
    </row>
    <row r="386" spans="1:24" hidden="1" x14ac:dyDescent="0.25">
      <c r="A386" s="21" t="s">
        <v>1526</v>
      </c>
      <c r="B386" s="40" t="s">
        <v>1527</v>
      </c>
      <c r="C386" s="21" t="s">
        <v>244</v>
      </c>
      <c r="D386" s="21" t="s">
        <v>73</v>
      </c>
      <c r="E386" s="21" t="s">
        <v>99</v>
      </c>
      <c r="F386" s="55">
        <v>5.6430077759247663E-4</v>
      </c>
      <c r="G386" s="24">
        <v>4.8634789999999999</v>
      </c>
      <c r="H386" s="24">
        <v>4.5257440000000004</v>
      </c>
      <c r="I386" s="24">
        <v>5.9234640000000001</v>
      </c>
      <c r="J386" s="24">
        <v>5.1523789999999998</v>
      </c>
      <c r="K386" s="24">
        <v>0.59004259999999997</v>
      </c>
      <c r="L386" s="24">
        <v>5.9537610000000001</v>
      </c>
      <c r="M386" s="24">
        <v>10.900399999999999</v>
      </c>
      <c r="N386" s="24">
        <v>2.6055739198604595</v>
      </c>
      <c r="O386" s="24">
        <v>3.8775510204081627</v>
      </c>
      <c r="P386" s="24">
        <v>6.1308950765385761</v>
      </c>
      <c r="Q386" s="24">
        <v>4.4965865482920062</v>
      </c>
      <c r="R386" s="24">
        <v>4.47</v>
      </c>
      <c r="S386" s="24">
        <v>5.4124068874892979</v>
      </c>
      <c r="T386" s="24">
        <v>0.91426453427778431</v>
      </c>
      <c r="U386" s="24" t="s">
        <v>3449</v>
      </c>
      <c r="V386">
        <v>0</v>
      </c>
      <c r="W386" s="21">
        <v>0</v>
      </c>
      <c r="X386" s="56" t="str">
        <f>IFERROR(VLOOKUP(A386,Output!A:F,6,0),"-")</f>
        <v>-</v>
      </c>
    </row>
    <row r="387" spans="1:24" hidden="1" x14ac:dyDescent="0.25">
      <c r="A387" s="21" t="s">
        <v>2477</v>
      </c>
      <c r="B387" s="40" t="s">
        <v>2478</v>
      </c>
      <c r="C387" s="21" t="s">
        <v>257</v>
      </c>
      <c r="D387" s="21" t="s">
        <v>74</v>
      </c>
      <c r="E387" s="21" t="s">
        <v>96</v>
      </c>
      <c r="F387" s="55">
        <v>5.6132471535658124E-4</v>
      </c>
      <c r="G387" s="21">
        <v>4.4268320000000001</v>
      </c>
      <c r="H387" s="21">
        <v>6.7022979999999999</v>
      </c>
      <c r="I387" s="21">
        <v>5.8030710000000001</v>
      </c>
      <c r="J387" s="21">
        <v>5.6440669999999997</v>
      </c>
      <c r="K387" s="24">
        <v>0.600491</v>
      </c>
      <c r="L387" s="24">
        <v>1.4406870000000001</v>
      </c>
      <c r="M387" s="24">
        <v>12.930999999999999</v>
      </c>
      <c r="N387" s="24">
        <v>3.1563421017648956</v>
      </c>
      <c r="O387" s="24">
        <v>3.333333333333333</v>
      </c>
      <c r="P387" s="24">
        <v>2.5222551928783385</v>
      </c>
      <c r="Q387" s="24">
        <v>1.7330750440993767</v>
      </c>
      <c r="R387" s="24">
        <v>2.64</v>
      </c>
      <c r="S387" s="24">
        <v>1.8424488307373188</v>
      </c>
      <c r="T387" s="24">
        <v>0.75550038358414107</v>
      </c>
      <c r="U387" s="24" t="s">
        <v>3938</v>
      </c>
      <c r="V387">
        <v>0</v>
      </c>
      <c r="W387" s="21">
        <v>0</v>
      </c>
      <c r="X387" s="56" t="str">
        <f>IFERROR(VLOOKUP(A387,Output!A:F,6,0),"-")</f>
        <v>-</v>
      </c>
    </row>
    <row r="388" spans="1:24" hidden="1" x14ac:dyDescent="0.25">
      <c r="A388" s="21" t="s">
        <v>2485</v>
      </c>
      <c r="B388" s="40" t="s">
        <v>2486</v>
      </c>
      <c r="C388" s="21" t="s">
        <v>254</v>
      </c>
      <c r="D388" s="21" t="s">
        <v>74</v>
      </c>
      <c r="E388" s="21" t="s">
        <v>93</v>
      </c>
      <c r="F388" s="55">
        <v>5.6081322823960447E-4</v>
      </c>
      <c r="G388" s="24">
        <v>5.811903</v>
      </c>
      <c r="H388" s="24">
        <v>6.1538620000000002</v>
      </c>
      <c r="I388" s="24">
        <v>6.6151730000000004</v>
      </c>
      <c r="J388" s="24">
        <v>6.2127330000000001</v>
      </c>
      <c r="K388" s="24">
        <v>5.7237080000000002</v>
      </c>
      <c r="L388" s="24">
        <v>11.551080000000001</v>
      </c>
      <c r="M388" s="24">
        <v>0.24657000000000001</v>
      </c>
      <c r="N388" s="24">
        <v>8.69333932269328</v>
      </c>
      <c r="O388" s="24">
        <v>5.2525252525252526</v>
      </c>
      <c r="P388" s="24">
        <v>5.973684210526315</v>
      </c>
      <c r="Q388" s="24">
        <v>4.6651047409040798</v>
      </c>
      <c r="R388" s="24">
        <v>5.79</v>
      </c>
      <c r="S388" s="24">
        <v>6.2911856574700131</v>
      </c>
      <c r="T388" s="24">
        <v>0.35895026047257467</v>
      </c>
      <c r="U388" s="24" t="s">
        <v>3943</v>
      </c>
      <c r="V388">
        <v>0</v>
      </c>
      <c r="W388" s="21">
        <v>0</v>
      </c>
      <c r="X388" s="56">
        <f>IFERROR(VLOOKUP(A388,Output!A:F,6,0),"-")</f>
        <v>4.9999999999998553E-3</v>
      </c>
    </row>
    <row r="389" spans="1:24" x14ac:dyDescent="0.25">
      <c r="A389" s="21" t="s">
        <v>151</v>
      </c>
      <c r="B389" s="40" t="s">
        <v>218</v>
      </c>
      <c r="C389" s="21" t="s">
        <v>248</v>
      </c>
      <c r="D389" s="21" t="s">
        <v>75</v>
      </c>
      <c r="E389" s="21" t="s">
        <v>100</v>
      </c>
      <c r="F389" s="55">
        <v>5.589952557368957E-4</v>
      </c>
      <c r="G389" s="21">
        <v>5.2982209999999998</v>
      </c>
      <c r="H389" s="21">
        <v>4.7956950000000003</v>
      </c>
      <c r="I389" s="21">
        <v>3.2929379999999999</v>
      </c>
      <c r="J389" s="21">
        <v>4.4622849999999996</v>
      </c>
      <c r="K389" s="24">
        <v>4.4501939999999998</v>
      </c>
      <c r="L389" s="24">
        <v>5.7251510000000003</v>
      </c>
      <c r="M389" s="24">
        <v>23.212499999999999</v>
      </c>
      <c r="N389" s="24">
        <v>6.8651622176591376</v>
      </c>
      <c r="O389" s="24">
        <v>8.0303030303030294</v>
      </c>
      <c r="P389" s="24">
        <v>7.8974358974358978</v>
      </c>
      <c r="Q389" s="24">
        <v>3.4029974714749045</v>
      </c>
      <c r="R389" s="24">
        <v>6.23</v>
      </c>
      <c r="S389" s="24">
        <v>5.806032821258813</v>
      </c>
      <c r="T389" s="24">
        <v>9.4288587060501222E-2</v>
      </c>
      <c r="U389" s="24" t="s">
        <v>4039</v>
      </c>
      <c r="V389">
        <v>0</v>
      </c>
      <c r="W389" s="21">
        <v>1</v>
      </c>
      <c r="X389" s="56" t="str">
        <f>IFERROR(VLOOKUP(A389,Output!A:F,6,0),"-")</f>
        <v>-</v>
      </c>
    </row>
    <row r="390" spans="1:24" hidden="1" x14ac:dyDescent="0.25">
      <c r="A390" s="21" t="s">
        <v>4441</v>
      </c>
      <c r="B390" s="40" t="s">
        <v>4442</v>
      </c>
      <c r="C390" s="21" t="s">
        <v>244</v>
      </c>
      <c r="D390" s="21" t="s">
        <v>73</v>
      </c>
      <c r="E390" s="21" t="s">
        <v>96</v>
      </c>
      <c r="F390" s="55">
        <v>5.5341879863229448E-4</v>
      </c>
      <c r="G390" s="24" t="e">
        <v>#N/A</v>
      </c>
      <c r="H390" s="24" t="e">
        <v>#N/A</v>
      </c>
      <c r="I390" s="24" t="e">
        <v>#N/A</v>
      </c>
      <c r="J390" s="24" t="e">
        <v>#N/A</v>
      </c>
      <c r="K390" s="24">
        <v>3.8443550000000002</v>
      </c>
      <c r="L390" s="24">
        <v>5.5192129999999997</v>
      </c>
      <c r="M390" s="24" t="e">
        <v>#N/A</v>
      </c>
      <c r="N390" s="24">
        <v>5.6630077133458991</v>
      </c>
      <c r="O390" s="24">
        <v>1.0204081632653059</v>
      </c>
      <c r="P390" s="24">
        <v>6.8527430100201849</v>
      </c>
      <c r="Q390" s="24">
        <v>3.7729323387670739</v>
      </c>
      <c r="R390" s="24" t="e">
        <v>#N/A</v>
      </c>
      <c r="S390" s="24">
        <v>6.3317442956186181</v>
      </c>
      <c r="T390" s="24">
        <v>0.56506230818043479</v>
      </c>
      <c r="U390" s="24" t="s">
        <v>4443</v>
      </c>
      <c r="V390">
        <v>0</v>
      </c>
      <c r="W390" s="21">
        <v>0</v>
      </c>
      <c r="X390" s="56" t="str">
        <f>IFERROR(VLOOKUP(A390,Output!A:F,6,0),"-")</f>
        <v>-</v>
      </c>
    </row>
    <row r="391" spans="1:24" hidden="1" x14ac:dyDescent="0.25">
      <c r="A391" s="21" t="s">
        <v>1264</v>
      </c>
      <c r="B391" s="40" t="s">
        <v>1265</v>
      </c>
      <c r="C391" s="21" t="s">
        <v>244</v>
      </c>
      <c r="D391" s="21" t="s">
        <v>73</v>
      </c>
      <c r="E391" s="21" t="s">
        <v>99</v>
      </c>
      <c r="F391" s="55">
        <v>5.4977480504911163E-4</v>
      </c>
      <c r="G391" s="24">
        <v>4.2790549999999996</v>
      </c>
      <c r="H391" s="24">
        <v>4.7630949999999999</v>
      </c>
      <c r="I391" s="24">
        <v>4.1419629999999996</v>
      </c>
      <c r="J391" s="24">
        <v>4.417834</v>
      </c>
      <c r="K391" s="24">
        <v>0</v>
      </c>
      <c r="L391" s="24">
        <v>0.25723020000000002</v>
      </c>
      <c r="M391" s="24">
        <v>8.1324000000000005</v>
      </c>
      <c r="N391" s="24">
        <v>6.1503544712197673</v>
      </c>
      <c r="O391" s="24">
        <v>6.3541666666666679</v>
      </c>
      <c r="P391" s="24">
        <v>3.5820895522388057</v>
      </c>
      <c r="Q391" s="24">
        <v>5.0842323323629195</v>
      </c>
      <c r="R391" s="24" t="e">
        <v>#N/A</v>
      </c>
      <c r="S391" s="24">
        <v>3.30126879471241</v>
      </c>
      <c r="T391" s="24">
        <v>2.004348520568362</v>
      </c>
      <c r="U391" s="24" t="s">
        <v>3248</v>
      </c>
      <c r="V391">
        <v>0</v>
      </c>
      <c r="W391" s="21">
        <v>1</v>
      </c>
      <c r="X391" s="56" t="str">
        <f>IFERROR(VLOOKUP(A391,Output!A:F,6,0),"-")</f>
        <v>-</v>
      </c>
    </row>
    <row r="392" spans="1:24" hidden="1" x14ac:dyDescent="0.25">
      <c r="A392" s="21" t="s">
        <v>2244</v>
      </c>
      <c r="B392" s="40" t="s">
        <v>2245</v>
      </c>
      <c r="C392" s="21" t="s">
        <v>247</v>
      </c>
      <c r="D392" s="21" t="s">
        <v>74</v>
      </c>
      <c r="E392" s="21" t="s">
        <v>89</v>
      </c>
      <c r="F392" s="55">
        <v>5.4633262955339061E-4</v>
      </c>
      <c r="G392" s="21">
        <v>6.2352569999999998</v>
      </c>
      <c r="H392" s="21">
        <v>9.2881459999999993</v>
      </c>
      <c r="I392" s="21">
        <v>4.7636390000000004</v>
      </c>
      <c r="J392" s="21">
        <v>6.7887019999999998</v>
      </c>
      <c r="K392" s="24">
        <v>2.1092460000000002</v>
      </c>
      <c r="L392" s="24">
        <v>25.2986</v>
      </c>
      <c r="M392" s="24">
        <v>0.20957999999999999</v>
      </c>
      <c r="N392" s="24">
        <v>4.5222383079155817</v>
      </c>
      <c r="O392" s="24">
        <v>9.7979797979797958</v>
      </c>
      <c r="P392" s="24">
        <v>10</v>
      </c>
      <c r="Q392" s="24">
        <v>5.0923373759647186</v>
      </c>
      <c r="R392" s="24">
        <v>2.93</v>
      </c>
      <c r="S392" s="24">
        <v>6.484654723667914</v>
      </c>
      <c r="T392" s="24">
        <v>0.49044122865825363</v>
      </c>
      <c r="U392" s="24" t="s">
        <v>2843</v>
      </c>
      <c r="V392">
        <v>0</v>
      </c>
      <c r="W392" s="21">
        <v>0</v>
      </c>
      <c r="X392" s="56">
        <f>IFERROR(VLOOKUP(A392,Output!A:F,6,0),"-")</f>
        <v>2.0000000000000074E-3</v>
      </c>
    </row>
    <row r="393" spans="1:24" hidden="1" x14ac:dyDescent="0.25">
      <c r="A393" s="21" t="s">
        <v>320</v>
      </c>
      <c r="B393" s="40" t="s">
        <v>321</v>
      </c>
      <c r="C393" s="21" t="s">
        <v>247</v>
      </c>
      <c r="D393" s="21" t="s">
        <v>74</v>
      </c>
      <c r="E393" s="21" t="s">
        <v>85</v>
      </c>
      <c r="F393" s="55">
        <v>5.459180271912621E-4</v>
      </c>
      <c r="G393" s="24">
        <v>6.1280380000000001</v>
      </c>
      <c r="H393" s="24">
        <v>6.1522699999999997</v>
      </c>
      <c r="I393" s="24">
        <v>6.7103570000000001</v>
      </c>
      <c r="J393" s="24">
        <v>6.3403309999999999</v>
      </c>
      <c r="K393" s="24">
        <v>4.8965129999999997</v>
      </c>
      <c r="L393" s="24">
        <v>20.037859999999998</v>
      </c>
      <c r="M393" s="24">
        <v>5.4353999999999996</v>
      </c>
      <c r="N393" s="24">
        <v>7.5484156244661103</v>
      </c>
      <c r="O393" s="24">
        <v>3.4343434343434343</v>
      </c>
      <c r="P393" s="24">
        <v>3.7368421052631584</v>
      </c>
      <c r="Q393" s="24">
        <v>10</v>
      </c>
      <c r="R393" s="24">
        <v>4.3</v>
      </c>
      <c r="S393" s="24">
        <v>5.9776120169064768</v>
      </c>
      <c r="T393" s="24">
        <v>0.33501177528691889</v>
      </c>
      <c r="U393" s="24" t="s">
        <v>3902</v>
      </c>
      <c r="V393">
        <v>0</v>
      </c>
      <c r="W393" s="21">
        <v>0</v>
      </c>
      <c r="X393" s="56" t="str">
        <f>IFERROR(VLOOKUP(A393,Output!A:F,6,0),"-")</f>
        <v>-</v>
      </c>
    </row>
    <row r="394" spans="1:24" x14ac:dyDescent="0.25">
      <c r="A394" s="21" t="s">
        <v>2694</v>
      </c>
      <c r="B394" s="40" t="s">
        <v>2695</v>
      </c>
      <c r="C394" s="21" t="s">
        <v>248</v>
      </c>
      <c r="D394" s="21" t="s">
        <v>75</v>
      </c>
      <c r="E394" s="21" t="s">
        <v>100</v>
      </c>
      <c r="F394" s="55">
        <v>5.4217262152823811E-4</v>
      </c>
      <c r="G394" s="24" t="e">
        <v>#N/A</v>
      </c>
      <c r="H394" s="24" t="e">
        <v>#N/A</v>
      </c>
      <c r="I394" s="24" t="e">
        <v>#N/A</v>
      </c>
      <c r="J394" s="24" t="e">
        <v>#N/A</v>
      </c>
      <c r="K394" s="24">
        <v>2.8983469999999998</v>
      </c>
      <c r="L394" s="24">
        <v>8.4260850000000005</v>
      </c>
      <c r="M394" s="24" t="e">
        <v>#N/A</v>
      </c>
      <c r="N394" s="24">
        <v>5.626283367556467</v>
      </c>
      <c r="O394" s="24">
        <v>4.2424242424242422</v>
      </c>
      <c r="P394" s="24">
        <v>7.8974358974358978</v>
      </c>
      <c r="Q394" s="24">
        <v>8.5457317875934642</v>
      </c>
      <c r="R394" s="24">
        <v>4.92</v>
      </c>
      <c r="S394" s="24">
        <v>7.3096230752654048</v>
      </c>
      <c r="T394" s="24">
        <v>0.12641434613813723</v>
      </c>
      <c r="U394" s="24" t="s">
        <v>4070</v>
      </c>
      <c r="V394">
        <v>0</v>
      </c>
      <c r="W394" s="21">
        <v>0</v>
      </c>
      <c r="X394" s="56" t="str">
        <f>IFERROR(VLOOKUP(A394,Output!A:F,6,0),"-")</f>
        <v>-</v>
      </c>
    </row>
    <row r="395" spans="1:24" hidden="1" x14ac:dyDescent="0.25">
      <c r="A395" s="21" t="s">
        <v>1520</v>
      </c>
      <c r="B395" s="40" t="s">
        <v>1521</v>
      </c>
      <c r="C395" s="21" t="s">
        <v>244</v>
      </c>
      <c r="D395" s="21" t="s">
        <v>73</v>
      </c>
      <c r="E395" s="21" t="s">
        <v>92</v>
      </c>
      <c r="F395" s="55">
        <v>5.4137098318282671E-4</v>
      </c>
      <c r="G395" s="21">
        <v>4.4658670000000003</v>
      </c>
      <c r="H395" s="21">
        <v>8.0536670000000008</v>
      </c>
      <c r="I395" s="21">
        <v>6.0968010000000001</v>
      </c>
      <c r="J395" s="21">
        <v>6.2054450000000001</v>
      </c>
      <c r="K395" s="24">
        <v>1.9686669999999999</v>
      </c>
      <c r="L395" s="24">
        <v>4.5964049999999999</v>
      </c>
      <c r="M395" s="24">
        <v>214.7569</v>
      </c>
      <c r="N395" s="24">
        <v>1.7400553977272728</v>
      </c>
      <c r="O395" s="24">
        <v>1.2121212121212119</v>
      </c>
      <c r="P395" s="24">
        <v>2.7394439022062049</v>
      </c>
      <c r="Q395" s="24">
        <v>6.0132731616671089</v>
      </c>
      <c r="R395" s="24">
        <v>6.52</v>
      </c>
      <c r="S395" s="24">
        <v>3.9996088101153187</v>
      </c>
      <c r="T395" s="24">
        <v>0.99755977265285389</v>
      </c>
      <c r="U395" s="24" t="s">
        <v>3385</v>
      </c>
      <c r="V395">
        <v>0</v>
      </c>
      <c r="W395" s="21">
        <v>0</v>
      </c>
      <c r="X395" s="56" t="str">
        <f>IFERROR(VLOOKUP(A395,Output!A:F,6,0),"-")</f>
        <v>-</v>
      </c>
    </row>
    <row r="396" spans="1:24" x14ac:dyDescent="0.25">
      <c r="A396" s="21" t="s">
        <v>349</v>
      </c>
      <c r="B396" s="40" t="s">
        <v>350</v>
      </c>
      <c r="C396" s="21" t="s">
        <v>248</v>
      </c>
      <c r="D396" s="21" t="s">
        <v>75</v>
      </c>
      <c r="E396" s="21" t="s">
        <v>103</v>
      </c>
      <c r="F396" s="55">
        <v>5.3977253563866308E-4</v>
      </c>
      <c r="G396" s="21">
        <v>5.449891</v>
      </c>
      <c r="H396" s="21">
        <v>6.1295289999999998</v>
      </c>
      <c r="I396" s="21">
        <v>1.4242790000000001</v>
      </c>
      <c r="J396" s="21">
        <v>4.4460990000000002</v>
      </c>
      <c r="K396" s="24">
        <v>1.8580209999999999</v>
      </c>
      <c r="L396" s="24">
        <v>6.2682840000000004</v>
      </c>
      <c r="M396" s="24">
        <v>55.3005</v>
      </c>
      <c r="N396" s="24">
        <v>8.2226310434566052</v>
      </c>
      <c r="O396" s="24">
        <v>6.5591397849462361</v>
      </c>
      <c r="P396" s="24">
        <v>3.333333333333333</v>
      </c>
      <c r="Q396" s="24">
        <v>4.9164400596851134</v>
      </c>
      <c r="R396" s="24">
        <v>5.46</v>
      </c>
      <c r="S396" s="24">
        <v>4.9878850782552764</v>
      </c>
      <c r="T396" s="24">
        <v>0.5937849857878621</v>
      </c>
      <c r="U396" s="24" t="s">
        <v>4008</v>
      </c>
      <c r="V396">
        <v>0</v>
      </c>
      <c r="W396" s="21">
        <v>1</v>
      </c>
      <c r="X396" s="56" t="str">
        <f>IFERROR(VLOOKUP(A396,Output!A:F,6,0),"-")</f>
        <v>-</v>
      </c>
    </row>
    <row r="397" spans="1:24" hidden="1" x14ac:dyDescent="0.25">
      <c r="A397" s="21" t="s">
        <v>1248</v>
      </c>
      <c r="B397" s="40" t="s">
        <v>1249</v>
      </c>
      <c r="C397" s="21" t="s">
        <v>244</v>
      </c>
      <c r="D397" s="21" t="s">
        <v>73</v>
      </c>
      <c r="E397" s="21" t="s">
        <v>88</v>
      </c>
      <c r="F397" s="55">
        <v>5.3228202613428129E-4</v>
      </c>
      <c r="G397" s="21">
        <v>2.6339709999999998</v>
      </c>
      <c r="H397" s="21">
        <v>4.1587040000000002</v>
      </c>
      <c r="I397" s="21">
        <v>1.9455290000000001</v>
      </c>
      <c r="J397" s="21">
        <v>2.9127350000000001</v>
      </c>
      <c r="K397" s="24">
        <v>0.66740060000000001</v>
      </c>
      <c r="L397" s="24">
        <v>3.8600699999999999</v>
      </c>
      <c r="M397" s="24">
        <v>234.54990000000001</v>
      </c>
      <c r="N397" s="24">
        <v>5.4640142045454549</v>
      </c>
      <c r="O397" s="24">
        <v>9.7979797979797958</v>
      </c>
      <c r="P397" s="24">
        <v>5.2111225737955822</v>
      </c>
      <c r="Q397" s="24">
        <v>3.2163525351738782</v>
      </c>
      <c r="R397" s="24">
        <v>3.78</v>
      </c>
      <c r="S397" s="24">
        <v>4.3016587418498915</v>
      </c>
      <c r="T397" s="24">
        <v>1.2075733187385784</v>
      </c>
      <c r="U397" s="24" t="s">
        <v>3270</v>
      </c>
      <c r="V397">
        <v>0</v>
      </c>
      <c r="W397" s="21">
        <v>1</v>
      </c>
      <c r="X397" s="56" t="str">
        <f>IFERROR(VLOOKUP(A397,Output!A:F,6,0),"-")</f>
        <v>-</v>
      </c>
    </row>
    <row r="398" spans="1:24" hidden="1" x14ac:dyDescent="0.25">
      <c r="A398" s="21" t="s">
        <v>1827</v>
      </c>
      <c r="B398" s="40" t="s">
        <v>1828</v>
      </c>
      <c r="C398" s="21" t="s">
        <v>244</v>
      </c>
      <c r="D398" s="21" t="s">
        <v>73</v>
      </c>
      <c r="E398" s="21" t="s">
        <v>90</v>
      </c>
      <c r="F398" s="55">
        <v>5.3191611766763205E-4</v>
      </c>
      <c r="G398" s="21">
        <v>4.2575890000000003</v>
      </c>
      <c r="H398" s="21">
        <v>4.5613210000000004</v>
      </c>
      <c r="I398" s="21">
        <v>5.1530069999999997</v>
      </c>
      <c r="J398" s="21">
        <v>4.6173339999999996</v>
      </c>
      <c r="K398" s="24">
        <v>3.138528</v>
      </c>
      <c r="L398" s="24">
        <v>8.0554889999999997</v>
      </c>
      <c r="M398" s="24">
        <v>213.44880000000001</v>
      </c>
      <c r="N398" s="24">
        <v>4.6190814708002872</v>
      </c>
      <c r="O398" s="24">
        <v>0</v>
      </c>
      <c r="P398" s="24">
        <v>4.2323651452282158</v>
      </c>
      <c r="Q398" s="24">
        <v>8.8839075035394046</v>
      </c>
      <c r="R398" s="24">
        <v>5.8</v>
      </c>
      <c r="S398" s="24">
        <v>5.3966374466593692</v>
      </c>
      <c r="T398" s="24">
        <v>0.69670196057181766</v>
      </c>
      <c r="U398" s="24" t="s">
        <v>3562</v>
      </c>
      <c r="V398">
        <v>0</v>
      </c>
      <c r="W398" s="21">
        <v>1</v>
      </c>
      <c r="X398" s="56" t="str">
        <f>IFERROR(VLOOKUP(A398,Output!A:F,6,0),"-")</f>
        <v>-</v>
      </c>
    </row>
    <row r="399" spans="1:24" ht="14.1" hidden="1" customHeight="1" x14ac:dyDescent="0.25">
      <c r="A399" s="21" t="s">
        <v>2013</v>
      </c>
      <c r="B399" s="40" t="s">
        <v>2014</v>
      </c>
      <c r="C399" s="21" t="s">
        <v>244</v>
      </c>
      <c r="D399" s="21" t="s">
        <v>73</v>
      </c>
      <c r="E399" s="21" t="s">
        <v>90</v>
      </c>
      <c r="F399" s="55">
        <v>5.3135986033683641E-4</v>
      </c>
      <c r="G399" s="21">
        <v>6.5142150000000001</v>
      </c>
      <c r="H399" s="21">
        <v>5.5511369999999998</v>
      </c>
      <c r="I399" s="21">
        <v>7.6025749999999999</v>
      </c>
      <c r="J399" s="21">
        <v>6.5517989999999999</v>
      </c>
      <c r="K399" s="24">
        <v>2.8218459999999999</v>
      </c>
      <c r="L399" s="24">
        <v>5.8755850000000001</v>
      </c>
      <c r="M399" s="24">
        <v>41.4223</v>
      </c>
      <c r="N399" s="24">
        <v>6.1115111751982685</v>
      </c>
      <c r="O399" s="24">
        <v>3.1958762886597936</v>
      </c>
      <c r="P399" s="24">
        <v>0.78838174273858863</v>
      </c>
      <c r="Q399" s="24">
        <v>4.1363850873053325</v>
      </c>
      <c r="R399" s="24">
        <v>5.29</v>
      </c>
      <c r="S399" s="24">
        <v>4.0644468614288716</v>
      </c>
      <c r="T399" s="24">
        <v>0.2728819442514771</v>
      </c>
      <c r="U399" s="24" t="s">
        <v>3609</v>
      </c>
      <c r="V399">
        <v>0</v>
      </c>
      <c r="W399" s="21">
        <v>0</v>
      </c>
      <c r="X399" s="56" t="str">
        <f>IFERROR(VLOOKUP(A399,Output!A:F,6,0),"-")</f>
        <v>-</v>
      </c>
    </row>
    <row r="400" spans="1:24" hidden="1" x14ac:dyDescent="0.25">
      <c r="A400" s="21" t="s">
        <v>1204</v>
      </c>
      <c r="B400" s="40" t="s">
        <v>1205</v>
      </c>
      <c r="C400" s="21" t="s">
        <v>244</v>
      </c>
      <c r="D400" s="21" t="s">
        <v>73</v>
      </c>
      <c r="E400" s="21" t="s">
        <v>99</v>
      </c>
      <c r="F400" s="55">
        <v>5.3097946443020978E-4</v>
      </c>
      <c r="G400" s="24">
        <v>4.0561769999999999</v>
      </c>
      <c r="H400" s="24">
        <v>4.0647599999999997</v>
      </c>
      <c r="I400" s="24">
        <v>3.573296</v>
      </c>
      <c r="J400" s="24">
        <v>3.8980769999999998</v>
      </c>
      <c r="K400" s="24">
        <v>0</v>
      </c>
      <c r="L400" s="24">
        <v>1.220126</v>
      </c>
      <c r="M400" s="24">
        <v>9.3778000000000006</v>
      </c>
      <c r="N400" s="24">
        <v>5.5702451120951144</v>
      </c>
      <c r="O400" s="24">
        <v>4.2708333333333339</v>
      </c>
      <c r="P400" s="24">
        <v>5.3134328358208958</v>
      </c>
      <c r="Q400" s="24">
        <v>0.33673674882290128</v>
      </c>
      <c r="R400" s="24" t="e">
        <v>#N/A</v>
      </c>
      <c r="S400" s="24">
        <v>2.7793231736814219</v>
      </c>
      <c r="T400" s="24">
        <v>1.923486390110642</v>
      </c>
      <c r="U400" s="24" t="s">
        <v>3199</v>
      </c>
      <c r="V400">
        <v>0</v>
      </c>
      <c r="W400" s="21">
        <v>1</v>
      </c>
      <c r="X400" s="56" t="str">
        <f>IFERROR(VLOOKUP(A400,Output!A:F,6,0),"-")</f>
        <v>-</v>
      </c>
    </row>
    <row r="401" spans="1:24" hidden="1" x14ac:dyDescent="0.25">
      <c r="A401" s="21" t="s">
        <v>1390</v>
      </c>
      <c r="B401" s="40" t="s">
        <v>1391</v>
      </c>
      <c r="C401" s="21" t="s">
        <v>244</v>
      </c>
      <c r="D401" s="21" t="s">
        <v>73</v>
      </c>
      <c r="E401" s="21" t="s">
        <v>92</v>
      </c>
      <c r="F401" s="55">
        <v>5.2700910101864922E-4</v>
      </c>
      <c r="G401" s="24">
        <v>3.3265549999999999</v>
      </c>
      <c r="H401" s="24">
        <v>4.9759320000000002</v>
      </c>
      <c r="I401" s="24">
        <v>5.3313870000000003</v>
      </c>
      <c r="J401" s="24">
        <v>4.6055279999999996</v>
      </c>
      <c r="K401" s="24">
        <v>0.84721639999999998</v>
      </c>
      <c r="L401" s="24">
        <v>9.3856929999999998</v>
      </c>
      <c r="M401" s="53">
        <v>6.6184000000000003</v>
      </c>
      <c r="N401" s="24">
        <v>3.9678025568181825</v>
      </c>
      <c r="O401" s="24">
        <v>3.4343434343434343</v>
      </c>
      <c r="P401" s="24">
        <v>3.1101957029446115</v>
      </c>
      <c r="Q401" s="24">
        <v>7.2855492434297844</v>
      </c>
      <c r="R401" s="24">
        <v>4.46</v>
      </c>
      <c r="S401" s="24">
        <v>5.4924869304986412</v>
      </c>
      <c r="T401" s="24">
        <v>1.4004601227038642</v>
      </c>
      <c r="U401" s="24" t="s">
        <v>3361</v>
      </c>
      <c r="V401">
        <v>0</v>
      </c>
      <c r="W401" s="21">
        <v>1</v>
      </c>
      <c r="X401" s="56" t="str">
        <f>IFERROR(VLOOKUP(A401,Output!A:F,6,0),"-")</f>
        <v>-</v>
      </c>
    </row>
    <row r="402" spans="1:24" hidden="1" x14ac:dyDescent="0.25">
      <c r="A402" s="21" t="s">
        <v>1423</v>
      </c>
      <c r="B402" s="40" t="s">
        <v>1424</v>
      </c>
      <c r="C402" s="21" t="s">
        <v>244</v>
      </c>
      <c r="D402" s="21" t="s">
        <v>73</v>
      </c>
      <c r="E402" s="21" t="s">
        <v>95</v>
      </c>
      <c r="F402" s="55">
        <v>5.2678203051844926E-4</v>
      </c>
      <c r="G402" s="21">
        <v>6.0792479999999998</v>
      </c>
      <c r="H402" s="21">
        <v>4.3254089999999996</v>
      </c>
      <c r="I402" s="21">
        <v>7.4405299999999999</v>
      </c>
      <c r="J402" s="21">
        <v>6.1368650000000002</v>
      </c>
      <c r="K402" s="24">
        <v>2.4790930000000002</v>
      </c>
      <c r="L402" s="24">
        <v>6.1872569999999998</v>
      </c>
      <c r="M402" s="24">
        <v>35.464700000000001</v>
      </c>
      <c r="N402" s="24">
        <v>6.0928128088136031</v>
      </c>
      <c r="O402" s="24">
        <v>8.8659793814432977</v>
      </c>
      <c r="P402" s="24">
        <v>3.7458193979933108</v>
      </c>
      <c r="Q402" s="24">
        <v>5.5255646657489965</v>
      </c>
      <c r="R402" s="24">
        <v>5.0599999999999996</v>
      </c>
      <c r="S402" s="24">
        <v>4.9205575427934001</v>
      </c>
      <c r="T402" s="24">
        <v>0.68913790651787965</v>
      </c>
      <c r="U402" s="24" t="s">
        <v>3358</v>
      </c>
      <c r="V402">
        <v>0</v>
      </c>
      <c r="W402" s="21">
        <v>0</v>
      </c>
      <c r="X402" s="56" t="str">
        <f>IFERROR(VLOOKUP(A402,Output!A:F,6,0),"-")</f>
        <v>-</v>
      </c>
    </row>
    <row r="403" spans="1:24" hidden="1" x14ac:dyDescent="0.25">
      <c r="A403" s="21" t="s">
        <v>736</v>
      </c>
      <c r="B403" s="40" t="s">
        <v>737</v>
      </c>
      <c r="C403" s="21" t="s">
        <v>244</v>
      </c>
      <c r="D403" s="21" t="s">
        <v>73</v>
      </c>
      <c r="E403" s="21" t="s">
        <v>85</v>
      </c>
      <c r="F403" s="55">
        <v>5.2608120060954663E-4</v>
      </c>
      <c r="G403" s="24">
        <v>5.186483</v>
      </c>
      <c r="H403" s="24">
        <v>5.9822829999999998</v>
      </c>
      <c r="I403" s="24">
        <v>5.5012930000000004</v>
      </c>
      <c r="J403" s="24">
        <v>5.575196</v>
      </c>
      <c r="K403" s="24">
        <v>2.2063999999999999</v>
      </c>
      <c r="L403" s="24">
        <v>10.35774</v>
      </c>
      <c r="M403" s="24">
        <v>3.9049</v>
      </c>
      <c r="N403" s="24">
        <v>4.8394101562499996</v>
      </c>
      <c r="O403" s="24">
        <v>1.4432989690721647</v>
      </c>
      <c r="P403" s="24">
        <v>6.0621761658031108</v>
      </c>
      <c r="Q403" s="24">
        <v>5.749748227895167</v>
      </c>
      <c r="R403" s="24">
        <v>4.2699999999999996</v>
      </c>
      <c r="S403" s="24">
        <v>5.1344278515789714</v>
      </c>
      <c r="T403" s="24">
        <v>1.2212926644605742</v>
      </c>
      <c r="U403" s="24" t="s">
        <v>3317</v>
      </c>
      <c r="V403">
        <v>0</v>
      </c>
      <c r="W403" s="21">
        <v>0</v>
      </c>
      <c r="X403" s="56" t="str">
        <f>IFERROR(VLOOKUP(A403,Output!A:F,6,0),"-")</f>
        <v>-</v>
      </c>
    </row>
    <row r="404" spans="1:24" hidden="1" x14ac:dyDescent="0.25">
      <c r="A404" s="21" t="s">
        <v>1319</v>
      </c>
      <c r="B404" s="40" t="s">
        <v>1320</v>
      </c>
      <c r="C404" s="21" t="s">
        <v>244</v>
      </c>
      <c r="D404" s="21" t="s">
        <v>73</v>
      </c>
      <c r="E404" s="21" t="s">
        <v>93</v>
      </c>
      <c r="F404" s="55">
        <v>5.2376753632372508E-4</v>
      </c>
      <c r="G404" s="21">
        <v>4.4236930000000001</v>
      </c>
      <c r="H404" s="21">
        <v>3.9134950000000002</v>
      </c>
      <c r="I404" s="21">
        <v>5.8394760000000003</v>
      </c>
      <c r="J404" s="21">
        <v>4.7406480000000002</v>
      </c>
      <c r="K404" s="24">
        <v>0</v>
      </c>
      <c r="L404" s="24">
        <v>11.07089</v>
      </c>
      <c r="M404" s="24">
        <v>1.2107000000000001</v>
      </c>
      <c r="N404" s="24">
        <v>5.9190546874999992</v>
      </c>
      <c r="O404" s="24">
        <v>8.4536082474226806</v>
      </c>
      <c r="P404" s="24">
        <v>8.4801388601036258</v>
      </c>
      <c r="Q404" s="24">
        <v>6.9694352739922207</v>
      </c>
      <c r="R404" s="24">
        <v>0.41</v>
      </c>
      <c r="S404" s="24">
        <v>6.5310198629333369</v>
      </c>
      <c r="T404" s="24">
        <v>0.57794796287213313</v>
      </c>
      <c r="U404" s="24" t="s">
        <v>3336</v>
      </c>
      <c r="V404">
        <v>0</v>
      </c>
      <c r="W404" s="21">
        <v>0</v>
      </c>
      <c r="X404" s="56" t="str">
        <f>IFERROR(VLOOKUP(A404,Output!A:F,6,0),"-")</f>
        <v>-</v>
      </c>
    </row>
    <row r="405" spans="1:24" hidden="1" x14ac:dyDescent="0.25">
      <c r="A405" s="21" t="s">
        <v>626</v>
      </c>
      <c r="B405" s="40" t="s">
        <v>1023</v>
      </c>
      <c r="C405" s="21" t="s">
        <v>244</v>
      </c>
      <c r="D405" s="21" t="s">
        <v>73</v>
      </c>
      <c r="E405" s="21" t="s">
        <v>101</v>
      </c>
      <c r="F405" s="55">
        <v>5.2341641711871941E-4</v>
      </c>
      <c r="G405" s="24">
        <v>3.662839</v>
      </c>
      <c r="H405" s="24">
        <v>4.0528919999999999</v>
      </c>
      <c r="I405" s="24">
        <v>4.5836170000000003</v>
      </c>
      <c r="J405" s="24">
        <v>4.1871710000000002</v>
      </c>
      <c r="K405" s="24">
        <v>0</v>
      </c>
      <c r="L405" s="24">
        <v>7.8918160000000004</v>
      </c>
      <c r="M405" s="24">
        <v>1922.53</v>
      </c>
      <c r="N405" s="24">
        <v>6.7060817915678719</v>
      </c>
      <c r="O405" s="24">
        <v>9.6938775510204085</v>
      </c>
      <c r="P405" s="24">
        <v>5.4090471430569664</v>
      </c>
      <c r="Q405" s="24">
        <v>4.687320698805765</v>
      </c>
      <c r="R405" s="24" t="e">
        <v>#N/A</v>
      </c>
      <c r="S405" s="24">
        <v>4.8937388716701529</v>
      </c>
      <c r="T405" s="24">
        <v>1.6149708598498944</v>
      </c>
      <c r="U405" s="24" t="s">
        <v>3135</v>
      </c>
      <c r="V405">
        <v>0</v>
      </c>
      <c r="W405" s="21">
        <v>1</v>
      </c>
      <c r="X405" s="56" t="str">
        <f>IFERROR(VLOOKUP(A405,Output!A:F,6,0),"-")</f>
        <v>-</v>
      </c>
    </row>
    <row r="406" spans="1:24" hidden="1" x14ac:dyDescent="0.25">
      <c r="A406" s="21" t="s">
        <v>1538</v>
      </c>
      <c r="B406" s="40" t="s">
        <v>1539</v>
      </c>
      <c r="C406" s="21" t="s">
        <v>244</v>
      </c>
      <c r="D406" s="21" t="s">
        <v>73</v>
      </c>
      <c r="E406" s="21" t="s">
        <v>102</v>
      </c>
      <c r="F406" s="55">
        <v>5.216672599559029E-4</v>
      </c>
      <c r="G406" s="21">
        <v>4.3927240000000003</v>
      </c>
      <c r="H406" s="21">
        <v>3.2166030000000001</v>
      </c>
      <c r="I406" s="21">
        <v>4.0899789999999996</v>
      </c>
      <c r="J406" s="21">
        <v>4.0969509999999998</v>
      </c>
      <c r="K406" s="24">
        <v>0.22910430000000001</v>
      </c>
      <c r="L406" s="24">
        <v>7.6953579999999997</v>
      </c>
      <c r="M406" s="24">
        <v>291.58550000000002</v>
      </c>
      <c r="N406" s="24">
        <v>8.3052622836566012</v>
      </c>
      <c r="O406" s="24">
        <v>8.3505154639175245</v>
      </c>
      <c r="P406" s="24">
        <v>0</v>
      </c>
      <c r="Q406" s="24">
        <v>10</v>
      </c>
      <c r="R406" s="24">
        <v>2.2200000000000002</v>
      </c>
      <c r="S406" s="24">
        <v>5.3051643425484905</v>
      </c>
      <c r="T406" s="24">
        <v>0.53838617454402604</v>
      </c>
      <c r="U406" s="24" t="s">
        <v>2815</v>
      </c>
      <c r="V406">
        <v>0</v>
      </c>
      <c r="W406" s="21">
        <v>1</v>
      </c>
      <c r="X406" s="56" t="str">
        <f>IFERROR(VLOOKUP(A406,Output!A:F,6,0),"-")</f>
        <v>-</v>
      </c>
    </row>
    <row r="407" spans="1:24" hidden="1" x14ac:dyDescent="0.25">
      <c r="A407" s="21" t="s">
        <v>116</v>
      </c>
      <c r="B407" s="40" t="s">
        <v>4141</v>
      </c>
      <c r="C407" s="21" t="s">
        <v>244</v>
      </c>
      <c r="D407" s="21" t="s">
        <v>73</v>
      </c>
      <c r="E407" s="21" t="s">
        <v>99</v>
      </c>
      <c r="F407" s="55">
        <v>5.2078775162061339E-4</v>
      </c>
      <c r="G407" s="24">
        <v>5.0645090000000001</v>
      </c>
      <c r="H407" s="24">
        <v>5.0915270000000001</v>
      </c>
      <c r="I407" s="24">
        <v>4.639939</v>
      </c>
      <c r="J407" s="24">
        <v>4.9452429999999996</v>
      </c>
      <c r="K407" s="24">
        <v>1.0155890000000001</v>
      </c>
      <c r="L407" s="24">
        <v>4.7232919999999998</v>
      </c>
      <c r="M407" s="24">
        <v>0.86611000000000005</v>
      </c>
      <c r="N407" s="24">
        <v>4.6665358852830217</v>
      </c>
      <c r="O407" s="24">
        <v>3.125</v>
      </c>
      <c r="P407" s="24">
        <v>6.298507462686568</v>
      </c>
      <c r="Q407" s="24">
        <v>5.9793457102561103</v>
      </c>
      <c r="R407" s="24">
        <v>7.3</v>
      </c>
      <c r="S407" s="24">
        <v>6.4006250486779885</v>
      </c>
      <c r="T407" s="24">
        <v>1.0374107829125954</v>
      </c>
      <c r="U407" s="24" t="s">
        <v>2804</v>
      </c>
      <c r="V407">
        <v>0</v>
      </c>
      <c r="W407" s="21">
        <v>0</v>
      </c>
      <c r="X407" s="56">
        <f>IFERROR(VLOOKUP(A407,Output!A:F,6,0),"-")</f>
        <v>2.0000000000001258E-3</v>
      </c>
    </row>
    <row r="408" spans="1:24" hidden="1" x14ac:dyDescent="0.25">
      <c r="A408" s="21" t="s">
        <v>1367</v>
      </c>
      <c r="B408" s="40" t="s">
        <v>1368</v>
      </c>
      <c r="C408" s="21" t="s">
        <v>244</v>
      </c>
      <c r="D408" s="21" t="s">
        <v>73</v>
      </c>
      <c r="E408" s="21" t="s">
        <v>91</v>
      </c>
      <c r="F408" s="55">
        <v>5.2029115437250207E-4</v>
      </c>
      <c r="G408" s="24">
        <v>3.6061190000000001</v>
      </c>
      <c r="H408" s="24">
        <v>4.8197539999999996</v>
      </c>
      <c r="I408" s="24">
        <v>5.7008200000000002</v>
      </c>
      <c r="J408" s="24">
        <v>4.9294529999999996</v>
      </c>
      <c r="K408" s="24">
        <v>0</v>
      </c>
      <c r="L408" s="24">
        <v>2.9899619999999998</v>
      </c>
      <c r="M408" s="24">
        <v>5.5068999999999999</v>
      </c>
      <c r="N408" s="24">
        <v>8.2870256452789306</v>
      </c>
      <c r="O408" s="24">
        <v>9.4949494949494948</v>
      </c>
      <c r="P408" s="24">
        <v>7.4116424224048139</v>
      </c>
      <c r="Q408" s="24">
        <v>1.5111473238706705</v>
      </c>
      <c r="R408" s="24" t="e">
        <v>#N/A</v>
      </c>
      <c r="S408" s="24">
        <v>3.9763835952783566</v>
      </c>
      <c r="T408" s="24">
        <v>1.1996912674424607</v>
      </c>
      <c r="U408" s="24" t="s">
        <v>3308</v>
      </c>
      <c r="V408">
        <v>0</v>
      </c>
      <c r="W408" s="21">
        <v>0</v>
      </c>
      <c r="X408" s="56" t="str">
        <f>IFERROR(VLOOKUP(A408,Output!A:F,6,0),"-")</f>
        <v>-</v>
      </c>
    </row>
    <row r="409" spans="1:24" hidden="1" x14ac:dyDescent="0.25">
      <c r="A409" s="21" t="s">
        <v>1286</v>
      </c>
      <c r="B409" s="40" t="s">
        <v>1287</v>
      </c>
      <c r="C409" s="21" t="s">
        <v>244</v>
      </c>
      <c r="D409" s="21" t="s">
        <v>73</v>
      </c>
      <c r="E409" s="21" t="s">
        <v>95</v>
      </c>
      <c r="F409" s="55">
        <v>5.1986095789095354E-4</v>
      </c>
      <c r="G409" s="21">
        <v>5.202464</v>
      </c>
      <c r="H409" s="21">
        <v>5.4098949999999997</v>
      </c>
      <c r="I409" s="21">
        <v>4.5884859999999996</v>
      </c>
      <c r="J409" s="21">
        <v>5.0597570000000003</v>
      </c>
      <c r="K409" s="24">
        <v>4.0407739999999999</v>
      </c>
      <c r="L409" s="24">
        <v>12.00014</v>
      </c>
      <c r="M409" s="24">
        <v>332.70850000000002</v>
      </c>
      <c r="N409" s="24">
        <v>8.8023946824913359</v>
      </c>
      <c r="O409" s="24">
        <v>5.8762886597938131</v>
      </c>
      <c r="P409" s="24">
        <v>5.3511705685618729</v>
      </c>
      <c r="Q409" s="24">
        <v>7.4103776407923858</v>
      </c>
      <c r="R409" s="24">
        <v>6.5</v>
      </c>
      <c r="S409" s="24">
        <v>6.520960388765177</v>
      </c>
      <c r="T409" s="24">
        <v>0.72298188569144384</v>
      </c>
      <c r="U409" s="24" t="s">
        <v>3299</v>
      </c>
      <c r="V409">
        <v>1</v>
      </c>
      <c r="W409" s="21">
        <v>0</v>
      </c>
      <c r="X409" s="56" t="str">
        <f>IFERROR(VLOOKUP(A409,Output!A:F,6,0),"-")</f>
        <v>-</v>
      </c>
    </row>
    <row r="410" spans="1:24" hidden="1" x14ac:dyDescent="0.25">
      <c r="A410" s="21" t="s">
        <v>2607</v>
      </c>
      <c r="B410" s="40" t="s">
        <v>2608</v>
      </c>
      <c r="C410" s="21" t="s">
        <v>249</v>
      </c>
      <c r="D410" s="21" t="s">
        <v>74</v>
      </c>
      <c r="E410" s="21" t="s">
        <v>90</v>
      </c>
      <c r="F410" s="55">
        <v>5.1926415584966582E-4</v>
      </c>
      <c r="G410" s="21">
        <v>7.0262099999999998</v>
      </c>
      <c r="H410" s="21">
        <v>8.0003709999999995</v>
      </c>
      <c r="I410" s="21">
        <v>5.2339700000000002</v>
      </c>
      <c r="J410" s="21">
        <v>6.7807870000000001</v>
      </c>
      <c r="K410" s="24">
        <v>3.0046119999999998</v>
      </c>
      <c r="L410" s="24">
        <v>4.1197819999999998</v>
      </c>
      <c r="M410" s="24">
        <v>37.377499999999998</v>
      </c>
      <c r="N410" s="24">
        <v>4.0353541015150327</v>
      </c>
      <c r="O410" s="24">
        <v>0.21052631578947367</v>
      </c>
      <c r="P410" s="24">
        <v>5.1489361702127665</v>
      </c>
      <c r="Q410" s="24">
        <v>3.3208814458923248</v>
      </c>
      <c r="R410" s="24">
        <v>4.9400000000000004</v>
      </c>
      <c r="S410" s="24">
        <v>3.7279936839053063</v>
      </c>
      <c r="T410" s="24">
        <v>0.10451751094846952</v>
      </c>
      <c r="U410" s="24" t="s">
        <v>4017</v>
      </c>
      <c r="V410">
        <v>0</v>
      </c>
      <c r="W410" s="21">
        <v>0</v>
      </c>
      <c r="X410" s="56" t="str">
        <f>IFERROR(VLOOKUP(A410,Output!A:F,6,0),"-")</f>
        <v>-</v>
      </c>
    </row>
    <row r="411" spans="1:24" hidden="1" x14ac:dyDescent="0.25">
      <c r="A411" s="21" t="s">
        <v>1446</v>
      </c>
      <c r="B411" s="40" t="s">
        <v>1447</v>
      </c>
      <c r="C411" s="21" t="s">
        <v>244</v>
      </c>
      <c r="D411" s="21" t="s">
        <v>73</v>
      </c>
      <c r="E411" s="21" t="s">
        <v>92</v>
      </c>
      <c r="F411" s="55">
        <v>5.1387362089144013E-4</v>
      </c>
      <c r="G411" s="21">
        <v>7.6379729999999997</v>
      </c>
      <c r="H411" s="21">
        <v>6.2946280000000003</v>
      </c>
      <c r="I411" s="21">
        <v>6.0499790000000004</v>
      </c>
      <c r="J411" s="21">
        <v>6.758572</v>
      </c>
      <c r="K411" s="24">
        <v>0.58541259999999995</v>
      </c>
      <c r="L411" s="24">
        <v>2.8007559999999998</v>
      </c>
      <c r="M411" s="24">
        <v>4.1050000000000004</v>
      </c>
      <c r="N411" s="24">
        <v>5.5823863636363651</v>
      </c>
      <c r="O411" s="24">
        <v>4.141414141414141</v>
      </c>
      <c r="P411" s="24">
        <v>7.651905261990092</v>
      </c>
      <c r="Q411" s="24">
        <v>0.47889567294929652</v>
      </c>
      <c r="R411" s="24">
        <v>3.71</v>
      </c>
      <c r="S411" s="24">
        <v>4.6135814082020268</v>
      </c>
      <c r="T411" s="24">
        <v>0.64372457656803928</v>
      </c>
      <c r="U411" s="24" t="s">
        <v>3371</v>
      </c>
      <c r="V411">
        <v>0</v>
      </c>
      <c r="W411" s="21">
        <v>0</v>
      </c>
      <c r="X411" s="56" t="str">
        <f>IFERROR(VLOOKUP(A411,Output!A:F,6,0),"-")</f>
        <v>-</v>
      </c>
    </row>
    <row r="412" spans="1:24" x14ac:dyDescent="0.25">
      <c r="A412" s="21" t="s">
        <v>2633</v>
      </c>
      <c r="B412" s="40" t="s">
        <v>2634</v>
      </c>
      <c r="C412" s="21" t="s">
        <v>248</v>
      </c>
      <c r="D412" s="21" t="s">
        <v>75</v>
      </c>
      <c r="E412" s="21" t="s">
        <v>101</v>
      </c>
      <c r="F412" s="55">
        <v>5.128322355358486E-4</v>
      </c>
      <c r="G412" s="24">
        <v>5.9093710000000002</v>
      </c>
      <c r="H412" s="24">
        <v>8.2088940000000008</v>
      </c>
      <c r="I412" s="24">
        <v>1.5672159999999999</v>
      </c>
      <c r="J412" s="24">
        <v>5.0923189999999998</v>
      </c>
      <c r="K412" s="24">
        <v>0.242449</v>
      </c>
      <c r="L412" s="24">
        <v>1.4496869999999999</v>
      </c>
      <c r="M412" s="24">
        <v>112.627</v>
      </c>
      <c r="N412" s="24">
        <v>7.408768569638676</v>
      </c>
      <c r="O412" s="24">
        <v>6.8817204301075261</v>
      </c>
      <c r="P412" s="24">
        <v>6.325757575757577</v>
      </c>
      <c r="Q412" s="24">
        <v>0</v>
      </c>
      <c r="R412" s="24">
        <v>1.28</v>
      </c>
      <c r="S412" s="24">
        <v>3.6771410767105244</v>
      </c>
      <c r="T412" s="24">
        <v>0.61390687804784472</v>
      </c>
      <c r="U412" s="24" t="s">
        <v>4034</v>
      </c>
      <c r="V412">
        <v>0</v>
      </c>
      <c r="W412" s="21">
        <v>0</v>
      </c>
      <c r="X412" s="56" t="str">
        <f>IFERROR(VLOOKUP(A412,Output!A:F,6,0),"-")</f>
        <v>-</v>
      </c>
    </row>
    <row r="413" spans="1:24" x14ac:dyDescent="0.25">
      <c r="A413" s="21" t="s">
        <v>2584</v>
      </c>
      <c r="B413" s="40" t="s">
        <v>2585</v>
      </c>
      <c r="C413" s="21" t="s">
        <v>248</v>
      </c>
      <c r="D413" s="21" t="s">
        <v>75</v>
      </c>
      <c r="E413" s="21" t="s">
        <v>90</v>
      </c>
      <c r="F413" s="55">
        <v>5.1096476427988399E-4</v>
      </c>
      <c r="G413" s="24">
        <v>6.8248610000000003</v>
      </c>
      <c r="H413" s="24">
        <v>4.0968280000000004</v>
      </c>
      <c r="I413" s="24">
        <v>2.071663</v>
      </c>
      <c r="J413" s="24">
        <v>4.5804919999999996</v>
      </c>
      <c r="K413" s="24">
        <v>4.8156470000000002</v>
      </c>
      <c r="L413" s="24">
        <v>7.1216980000000003</v>
      </c>
      <c r="M413" s="24">
        <v>81.049000000000007</v>
      </c>
      <c r="N413" s="24">
        <v>3.8766006984866115</v>
      </c>
      <c r="O413" s="24">
        <v>6.0240963855421681</v>
      </c>
      <c r="P413" s="24">
        <v>6.6153846153846168</v>
      </c>
      <c r="Q413" s="24">
        <v>4.8630858927638805</v>
      </c>
      <c r="R413" s="24">
        <v>6.93</v>
      </c>
      <c r="S413" s="24">
        <v>6.6176281222586049</v>
      </c>
      <c r="T413" s="24">
        <v>0.18970920952393519</v>
      </c>
      <c r="U413" s="24" t="s">
        <v>4005</v>
      </c>
      <c r="V413">
        <v>1</v>
      </c>
      <c r="W413" s="21">
        <v>1</v>
      </c>
      <c r="X413" s="56" t="str">
        <f>IFERROR(VLOOKUP(A413,Output!A:F,6,0),"-")</f>
        <v>-</v>
      </c>
    </row>
    <row r="414" spans="1:24" hidden="1" x14ac:dyDescent="0.25">
      <c r="A414" s="21" t="s">
        <v>1540</v>
      </c>
      <c r="B414" s="40" t="s">
        <v>1541</v>
      </c>
      <c r="C414" s="21" t="s">
        <v>244</v>
      </c>
      <c r="D414" s="21" t="s">
        <v>73</v>
      </c>
      <c r="E414" s="21" t="s">
        <v>92</v>
      </c>
      <c r="F414" s="55">
        <v>5.1017157694112608E-4</v>
      </c>
      <c r="G414" s="21">
        <v>6.3685409999999996</v>
      </c>
      <c r="H414" s="21">
        <v>5.6212780000000002</v>
      </c>
      <c r="I414" s="21">
        <v>3.3372259999999998</v>
      </c>
      <c r="J414" s="21">
        <v>5.1090150000000003</v>
      </c>
      <c r="K414" s="24">
        <v>1.87385</v>
      </c>
      <c r="L414" s="24">
        <v>5.8221470000000002</v>
      </c>
      <c r="M414" s="24">
        <v>57.3675</v>
      </c>
      <c r="N414" s="24">
        <v>2.9592798295454554</v>
      </c>
      <c r="O414" s="24">
        <v>3.8383838383838382</v>
      </c>
      <c r="P414" s="24">
        <v>5.7363542915083245</v>
      </c>
      <c r="Q414" s="24">
        <v>6.7215290682240507</v>
      </c>
      <c r="R414" s="24">
        <v>6.49</v>
      </c>
      <c r="S414" s="24">
        <v>6.0833547586570802</v>
      </c>
      <c r="T414" s="24">
        <v>1.0243372986384625</v>
      </c>
      <c r="U414" s="24" t="s">
        <v>3409</v>
      </c>
      <c r="V414">
        <v>0</v>
      </c>
      <c r="W414" s="21">
        <v>0</v>
      </c>
      <c r="X414" s="56" t="str">
        <f>IFERROR(VLOOKUP(A414,Output!A:F,6,0),"-")</f>
        <v>-</v>
      </c>
    </row>
    <row r="415" spans="1:24" hidden="1" x14ac:dyDescent="0.25">
      <c r="A415" s="21" t="s">
        <v>1945</v>
      </c>
      <c r="B415" s="40" t="s">
        <v>1946</v>
      </c>
      <c r="C415" s="21" t="s">
        <v>244</v>
      </c>
      <c r="D415" s="21" t="s">
        <v>73</v>
      </c>
      <c r="E415" s="21" t="s">
        <v>98</v>
      </c>
      <c r="F415" s="55">
        <v>5.101470287789423E-4</v>
      </c>
      <c r="G415" s="24">
        <v>2.7073480000000001</v>
      </c>
      <c r="H415" s="24">
        <v>4.8140960000000002</v>
      </c>
      <c r="I415" s="24">
        <v>4.9095979999999999</v>
      </c>
      <c r="J415" s="24">
        <v>4.4309469999999997</v>
      </c>
      <c r="K415" s="24">
        <v>1.5513030000000001</v>
      </c>
      <c r="L415" s="24">
        <v>5.3643049999999999</v>
      </c>
      <c r="M415" s="24">
        <v>45.866700000000002</v>
      </c>
      <c r="N415" s="24">
        <v>3.9484808190001393</v>
      </c>
      <c r="O415" s="24">
        <v>1.1224489795918364</v>
      </c>
      <c r="P415" s="24">
        <v>5.2646775563606454</v>
      </c>
      <c r="Q415" s="24">
        <v>5.0574560369532993</v>
      </c>
      <c r="R415" s="24">
        <v>5.82</v>
      </c>
      <c r="S415" s="24">
        <v>4.985802848743667</v>
      </c>
      <c r="T415" s="24">
        <v>0.4212385607440281</v>
      </c>
      <c r="U415" s="24" t="s">
        <v>3660</v>
      </c>
      <c r="V415">
        <v>0</v>
      </c>
      <c r="W415" s="21">
        <v>1</v>
      </c>
      <c r="X415" s="56" t="str">
        <f>IFERROR(VLOOKUP(A415,Output!A:F,6,0),"-")</f>
        <v>-</v>
      </c>
    </row>
    <row r="416" spans="1:24" x14ac:dyDescent="0.25">
      <c r="A416" s="21" t="s">
        <v>344</v>
      </c>
      <c r="B416" s="40" t="s">
        <v>345</v>
      </c>
      <c r="C416" s="21" t="s">
        <v>255</v>
      </c>
      <c r="D416" s="21" t="s">
        <v>75</v>
      </c>
      <c r="E416" s="21" t="s">
        <v>85</v>
      </c>
      <c r="F416" s="55">
        <v>5.0820832760975585E-4</v>
      </c>
      <c r="G416" s="24">
        <v>7.7207210000000002</v>
      </c>
      <c r="H416" s="24">
        <v>5.936744</v>
      </c>
      <c r="I416" s="24">
        <v>5.907146</v>
      </c>
      <c r="J416" s="24">
        <v>6.4615780000000003</v>
      </c>
      <c r="K416" s="24">
        <v>6.2101550000000003</v>
      </c>
      <c r="L416" s="24">
        <v>12.25536</v>
      </c>
      <c r="M416" s="24">
        <v>9.7157</v>
      </c>
      <c r="N416" s="24">
        <v>3.3863636680078302</v>
      </c>
      <c r="O416" s="24">
        <v>5.806451612903226</v>
      </c>
      <c r="P416" s="24">
        <v>5.5801104972375697</v>
      </c>
      <c r="Q416" s="24">
        <v>7.099200752233191</v>
      </c>
      <c r="R416" s="24">
        <v>6.79</v>
      </c>
      <c r="S416" s="24">
        <v>6.9952361180606539</v>
      </c>
      <c r="T416" s="24">
        <v>0.29788362335897611</v>
      </c>
      <c r="U416" s="24" t="s">
        <v>3995</v>
      </c>
      <c r="V416">
        <v>0</v>
      </c>
      <c r="W416" s="21">
        <v>0</v>
      </c>
      <c r="X416" s="56">
        <f>IFERROR(VLOOKUP(A416,Output!A:F,6,0),"-")</f>
        <v>4.9999999999999559E-3</v>
      </c>
    </row>
    <row r="417" spans="1:24" hidden="1" x14ac:dyDescent="0.25">
      <c r="A417" s="21" t="s">
        <v>2202</v>
      </c>
      <c r="B417" s="40" t="s">
        <v>2203</v>
      </c>
      <c r="C417" s="21" t="s">
        <v>244</v>
      </c>
      <c r="D417" s="21" t="s">
        <v>73</v>
      </c>
      <c r="E417" s="21" t="s">
        <v>91</v>
      </c>
      <c r="F417" s="55">
        <v>5.0666933893383235E-4</v>
      </c>
      <c r="G417" s="21">
        <v>6.4097059999999999</v>
      </c>
      <c r="H417" s="21">
        <v>5.1750239999999996</v>
      </c>
      <c r="I417" s="21">
        <v>5.6257580000000003</v>
      </c>
      <c r="J417" s="21">
        <v>5.6022540000000003</v>
      </c>
      <c r="K417" s="24">
        <v>0</v>
      </c>
      <c r="L417" s="24">
        <v>-7.4213889999999996</v>
      </c>
      <c r="M417" s="24">
        <v>4.4566999999999997</v>
      </c>
      <c r="N417" s="24">
        <v>4.1940299247733703</v>
      </c>
      <c r="O417" s="24">
        <v>0.50505050505050508</v>
      </c>
      <c r="P417" s="24">
        <v>0</v>
      </c>
      <c r="Q417" s="24">
        <v>6.7703141105000997</v>
      </c>
      <c r="R417" s="24" t="e">
        <v>#N/A</v>
      </c>
      <c r="S417" s="24">
        <v>1.9831673108160255</v>
      </c>
      <c r="T417" s="24">
        <v>1.1519468442497114</v>
      </c>
      <c r="U417" s="24" t="s">
        <v>3705</v>
      </c>
      <c r="V417">
        <v>0</v>
      </c>
      <c r="W417" s="21">
        <v>0</v>
      </c>
      <c r="X417" s="56" t="str">
        <f>IFERROR(VLOOKUP(A417,Output!A:F,6,0),"-")</f>
        <v>-</v>
      </c>
    </row>
    <row r="418" spans="1:24" hidden="1" x14ac:dyDescent="0.25">
      <c r="A418" s="21" t="s">
        <v>449</v>
      </c>
      <c r="B418" s="40" t="s">
        <v>865</v>
      </c>
      <c r="C418" s="21" t="s">
        <v>244</v>
      </c>
      <c r="D418" s="21" t="s">
        <v>73</v>
      </c>
      <c r="E418" s="21" t="s">
        <v>99</v>
      </c>
      <c r="F418" s="55">
        <v>5.0589788275504045E-4</v>
      </c>
      <c r="G418" s="21">
        <v>5.5172610000000004</v>
      </c>
      <c r="H418" s="21">
        <v>4.6188700000000003</v>
      </c>
      <c r="I418" s="21">
        <v>4.1809240000000001</v>
      </c>
      <c r="J418" s="21">
        <v>4.8468429999999998</v>
      </c>
      <c r="K418" s="24">
        <v>1.4714719999999999</v>
      </c>
      <c r="L418" s="24">
        <v>8.8500969999999999</v>
      </c>
      <c r="M418" s="24">
        <v>5.3677000000000001</v>
      </c>
      <c r="N418" s="24">
        <v>5.7280979264481395</v>
      </c>
      <c r="O418" s="24">
        <v>9.6874999999999982</v>
      </c>
      <c r="P418" s="24">
        <v>6.2487570149253733</v>
      </c>
      <c r="Q418" s="24">
        <v>5.9608838165451319</v>
      </c>
      <c r="R418" s="24">
        <v>7.7</v>
      </c>
      <c r="S418" s="24">
        <v>6.1433722252220484</v>
      </c>
      <c r="T418" s="24">
        <v>1.4979779129232971</v>
      </c>
      <c r="U418" s="24" t="s">
        <v>2992</v>
      </c>
      <c r="V418">
        <v>0</v>
      </c>
      <c r="W418" s="21">
        <v>0</v>
      </c>
      <c r="X418" s="56" t="str">
        <f>IFERROR(VLOOKUP(A418,Output!A:F,6,0),"-")</f>
        <v>-</v>
      </c>
    </row>
    <row r="419" spans="1:24" hidden="1" x14ac:dyDescent="0.25">
      <c r="A419" s="21" t="s">
        <v>742</v>
      </c>
      <c r="B419" s="40" t="s">
        <v>822</v>
      </c>
      <c r="C419" s="21" t="s">
        <v>244</v>
      </c>
      <c r="D419" s="21" t="s">
        <v>73</v>
      </c>
      <c r="E419" s="21" t="s">
        <v>102</v>
      </c>
      <c r="F419" s="55">
        <v>5.0507119321133501E-4</v>
      </c>
      <c r="G419" s="24">
        <v>4.0460779999999996</v>
      </c>
      <c r="H419" s="24">
        <v>5.1499350000000002</v>
      </c>
      <c r="I419" s="24">
        <v>2.8961739999999998</v>
      </c>
      <c r="J419" s="24">
        <v>4.0368690000000003</v>
      </c>
      <c r="K419" s="24">
        <v>3.6239669999999999</v>
      </c>
      <c r="L419" s="24">
        <v>6.158709</v>
      </c>
      <c r="M419" s="24">
        <v>1300.933</v>
      </c>
      <c r="N419" s="24">
        <v>0.55263152077562916</v>
      </c>
      <c r="O419" s="24">
        <v>4.4329896907216497</v>
      </c>
      <c r="P419" s="24">
        <v>5.07936507936508</v>
      </c>
      <c r="Q419" s="24">
        <v>3.1822366240748234</v>
      </c>
      <c r="R419" s="24">
        <v>3.33</v>
      </c>
      <c r="S419" s="24">
        <v>3.9152250415225791</v>
      </c>
      <c r="T419" s="24">
        <v>0.519204983199273</v>
      </c>
      <c r="U419" s="24" t="s">
        <v>2811</v>
      </c>
      <c r="V419">
        <v>0</v>
      </c>
      <c r="W419" s="21">
        <v>1</v>
      </c>
      <c r="X419" s="56" t="str">
        <f>IFERROR(VLOOKUP(A419,Output!A:F,6,0),"-")</f>
        <v>-</v>
      </c>
    </row>
    <row r="420" spans="1:24" hidden="1" x14ac:dyDescent="0.25">
      <c r="A420" s="21" t="s">
        <v>2357</v>
      </c>
      <c r="B420" s="40" t="s">
        <v>2358</v>
      </c>
      <c r="C420" s="21" t="s">
        <v>254</v>
      </c>
      <c r="D420" s="21" t="s">
        <v>74</v>
      </c>
      <c r="E420" s="21" t="s">
        <v>89</v>
      </c>
      <c r="F420" s="55">
        <v>5.0462801839814002E-4</v>
      </c>
      <c r="G420" s="21">
        <v>7.3941319999999999</v>
      </c>
      <c r="H420" s="21">
        <v>5.9580919999999997</v>
      </c>
      <c r="I420" s="21">
        <v>5.7407769999999996</v>
      </c>
      <c r="J420" s="21">
        <v>6.3128440000000001</v>
      </c>
      <c r="K420" s="24">
        <v>3.3624079999999998</v>
      </c>
      <c r="L420" s="24">
        <v>3.6799520000000001</v>
      </c>
      <c r="M420" s="24">
        <v>0.49591000000000002</v>
      </c>
      <c r="N420" s="24">
        <v>8.6231116086922004</v>
      </c>
      <c r="O420" s="24">
        <v>4.4444444444444446</v>
      </c>
      <c r="P420" s="24">
        <v>9.7894747368421058</v>
      </c>
      <c r="Q420" s="24">
        <v>8.5446527012127904E-2</v>
      </c>
      <c r="R420" s="24">
        <v>5.08</v>
      </c>
      <c r="S420" s="24">
        <v>4.724218864585831</v>
      </c>
      <c r="T420" s="24">
        <v>0.84871261491871308</v>
      </c>
      <c r="U420" s="24" t="s">
        <v>3860</v>
      </c>
      <c r="V420">
        <v>0</v>
      </c>
      <c r="W420" s="21">
        <v>0</v>
      </c>
      <c r="X420" s="56" t="str">
        <f>IFERROR(VLOOKUP(A420,Output!A:F,6,0),"-")</f>
        <v>-</v>
      </c>
    </row>
    <row r="421" spans="1:24" x14ac:dyDescent="0.25">
      <c r="A421" s="21" t="s">
        <v>2531</v>
      </c>
      <c r="B421" s="40" t="s">
        <v>2532</v>
      </c>
      <c r="C421" s="21" t="s">
        <v>248</v>
      </c>
      <c r="D421" s="21" t="s">
        <v>75</v>
      </c>
      <c r="E421" s="21" t="s">
        <v>99</v>
      </c>
      <c r="F421" s="55">
        <v>5.0020220609229258E-4</v>
      </c>
      <c r="G421" s="21">
        <v>3.9352870000000002</v>
      </c>
      <c r="H421" s="21">
        <v>7.2525360000000001</v>
      </c>
      <c r="I421" s="21">
        <v>3.4632360000000002</v>
      </c>
      <c r="J421" s="21">
        <v>4.7888460000000004</v>
      </c>
      <c r="K421" s="24">
        <v>1.7908679999999999</v>
      </c>
      <c r="L421" s="24">
        <v>3.8516650000000001</v>
      </c>
      <c r="M421" s="24">
        <v>108.455</v>
      </c>
      <c r="N421" s="24">
        <v>0.20408104466272758</v>
      </c>
      <c r="O421" s="24">
        <v>3.9999999999999996</v>
      </c>
      <c r="P421" s="24">
        <v>5.246636771300448</v>
      </c>
      <c r="Q421" s="24">
        <v>4.4043144180829454</v>
      </c>
      <c r="R421" s="24">
        <v>4.92</v>
      </c>
      <c r="S421" s="24">
        <v>4.7238206360529542</v>
      </c>
      <c r="T421" s="24">
        <v>0.69157475722545514</v>
      </c>
      <c r="U421" s="24" t="s">
        <v>3976</v>
      </c>
      <c r="V421">
        <v>0</v>
      </c>
      <c r="W421" s="21">
        <v>0</v>
      </c>
      <c r="X421" s="56" t="str">
        <f>IFERROR(VLOOKUP(A421,Output!A:F,6,0),"-")</f>
        <v>-</v>
      </c>
    </row>
    <row r="422" spans="1:24" hidden="1" x14ac:dyDescent="0.25">
      <c r="A422" s="21" t="s">
        <v>1323</v>
      </c>
      <c r="B422" s="40" t="s">
        <v>1324</v>
      </c>
      <c r="C422" s="21" t="s">
        <v>244</v>
      </c>
      <c r="D422" s="21" t="s">
        <v>73</v>
      </c>
      <c r="E422" s="21" t="s">
        <v>92</v>
      </c>
      <c r="F422" s="55">
        <v>4.998612482167154E-4</v>
      </c>
      <c r="G422" s="24">
        <v>3.7473139999999998</v>
      </c>
      <c r="H422" s="24">
        <v>3.3427560000000001</v>
      </c>
      <c r="I422" s="24">
        <v>4.6319049999999997</v>
      </c>
      <c r="J422" s="24">
        <v>3.891324</v>
      </c>
      <c r="K422" s="24">
        <v>0.62560079999999996</v>
      </c>
      <c r="L422" s="24">
        <v>3.1750989999999999</v>
      </c>
      <c r="M422" s="24">
        <v>6.7163000000000004</v>
      </c>
      <c r="N422" s="24">
        <v>8.2054914772727301</v>
      </c>
      <c r="O422" s="24">
        <v>4.8484848484848477</v>
      </c>
      <c r="P422" s="24">
        <v>3.8825952878162919</v>
      </c>
      <c r="Q422" s="24">
        <v>1.3292625431377751</v>
      </c>
      <c r="R422" s="24">
        <v>3.74</v>
      </c>
      <c r="S422" s="24">
        <v>3.3040110362686113</v>
      </c>
      <c r="T422" s="24">
        <v>1.4698955086702199</v>
      </c>
      <c r="U422" s="24" t="s">
        <v>3298</v>
      </c>
      <c r="V422">
        <v>0</v>
      </c>
      <c r="W422" s="21">
        <v>1</v>
      </c>
      <c r="X422" s="56" t="str">
        <f>IFERROR(VLOOKUP(A422,Output!A:F,6,0),"-")</f>
        <v>-</v>
      </c>
    </row>
    <row r="423" spans="1:24" hidden="1" x14ac:dyDescent="0.25">
      <c r="A423" s="21" t="s">
        <v>1524</v>
      </c>
      <c r="B423" s="40" t="s">
        <v>1525</v>
      </c>
      <c r="C423" s="21" t="s">
        <v>244</v>
      </c>
      <c r="D423" s="21" t="s">
        <v>73</v>
      </c>
      <c r="E423" s="21" t="s">
        <v>95</v>
      </c>
      <c r="F423" s="55">
        <v>4.9979444502126443E-4</v>
      </c>
      <c r="G423" s="24">
        <v>5.3489100000000001</v>
      </c>
      <c r="H423" s="24">
        <v>4.8816040000000003</v>
      </c>
      <c r="I423" s="24">
        <v>4.7947759999999997</v>
      </c>
      <c r="J423" s="24">
        <v>5.0892090000000003</v>
      </c>
      <c r="K423" s="24">
        <v>1.829302</v>
      </c>
      <c r="L423" s="24">
        <v>11.11712</v>
      </c>
      <c r="M423" s="24">
        <v>296.5204</v>
      </c>
      <c r="N423" s="24">
        <v>7.1407181352863383</v>
      </c>
      <c r="O423" s="24">
        <v>0</v>
      </c>
      <c r="P423" s="24">
        <v>7.5585284280936449</v>
      </c>
      <c r="Q423" s="24">
        <v>8.1748351187982511</v>
      </c>
      <c r="R423" s="24">
        <v>3.66</v>
      </c>
      <c r="S423" s="24">
        <v>6.5672117542693744</v>
      </c>
      <c r="T423" s="24">
        <v>0.96269226806034291</v>
      </c>
      <c r="U423" s="24" t="s">
        <v>3448</v>
      </c>
      <c r="V423">
        <v>1</v>
      </c>
      <c r="W423" s="21">
        <v>0</v>
      </c>
      <c r="X423" s="56" t="str">
        <f>IFERROR(VLOOKUP(A423,Output!A:F,6,0),"-")</f>
        <v>-</v>
      </c>
    </row>
    <row r="424" spans="1:24" x14ac:dyDescent="0.25">
      <c r="A424" s="21" t="s">
        <v>365</v>
      </c>
      <c r="B424" s="40" t="s">
        <v>366</v>
      </c>
      <c r="C424" s="21" t="s">
        <v>253</v>
      </c>
      <c r="D424" s="21" t="s">
        <v>75</v>
      </c>
      <c r="E424" s="21" t="s">
        <v>89</v>
      </c>
      <c r="F424" s="55">
        <v>4.9975510759743709E-4</v>
      </c>
      <c r="G424" s="21">
        <v>4.2627750000000004</v>
      </c>
      <c r="H424" s="21">
        <v>6.0871209999999998</v>
      </c>
      <c r="I424" s="21">
        <v>6.192266</v>
      </c>
      <c r="J424" s="21">
        <v>5.5766179999999999</v>
      </c>
      <c r="K424" s="24">
        <v>3.656202</v>
      </c>
      <c r="L424" s="24">
        <v>3.6611530000000001</v>
      </c>
      <c r="M424" s="24">
        <v>6.8612000000000002</v>
      </c>
      <c r="N424" s="24">
        <v>4.9952148564822263</v>
      </c>
      <c r="O424" s="24">
        <v>0.967741935483871</v>
      </c>
      <c r="P424" s="24">
        <v>10</v>
      </c>
      <c r="Q424" s="24">
        <v>0.5077574047954867</v>
      </c>
      <c r="R424" s="24">
        <v>5.85</v>
      </c>
      <c r="S424" s="24">
        <v>4.3353958122271301</v>
      </c>
      <c r="T424" s="24">
        <v>0.60945031423760887</v>
      </c>
      <c r="U424" s="24" t="s">
        <v>2867</v>
      </c>
      <c r="V424">
        <v>0</v>
      </c>
      <c r="W424" s="21">
        <v>0</v>
      </c>
      <c r="X424" s="56" t="str">
        <f>IFERROR(VLOOKUP(A424,Output!A:F,6,0),"-")</f>
        <v>-</v>
      </c>
    </row>
    <row r="425" spans="1:24" x14ac:dyDescent="0.25">
      <c r="A425" s="21" t="s">
        <v>2043</v>
      </c>
      <c r="B425" s="40" t="s">
        <v>2044</v>
      </c>
      <c r="C425" s="21" t="s">
        <v>248</v>
      </c>
      <c r="D425" s="21" t="s">
        <v>75</v>
      </c>
      <c r="E425" s="21" t="s">
        <v>99</v>
      </c>
      <c r="F425" s="55">
        <v>4.9885064867107563E-4</v>
      </c>
      <c r="G425" s="24">
        <v>6.8656269999999999</v>
      </c>
      <c r="H425" s="24">
        <v>7.5233629999999998</v>
      </c>
      <c r="I425" s="24">
        <v>3.115119</v>
      </c>
      <c r="J425" s="24">
        <v>5.9377950000000004</v>
      </c>
      <c r="K425" s="24">
        <v>0.62873520000000005</v>
      </c>
      <c r="L425" s="24">
        <v>2.7472810000000001</v>
      </c>
      <c r="M425" s="24">
        <v>17.171199999999999</v>
      </c>
      <c r="N425" s="24">
        <v>3.6254497974459658</v>
      </c>
      <c r="O425" s="24">
        <v>9.4444444444444446</v>
      </c>
      <c r="P425" s="24">
        <v>7.5336322869955152</v>
      </c>
      <c r="Q425" s="24">
        <v>0.49132219807770672</v>
      </c>
      <c r="R425" s="24">
        <v>3.82</v>
      </c>
      <c r="S425" s="24">
        <v>2.9629642480529723</v>
      </c>
      <c r="T425" s="24">
        <v>0.84909641498513255</v>
      </c>
      <c r="U425" s="24" t="s">
        <v>3590</v>
      </c>
      <c r="V425">
        <v>0</v>
      </c>
      <c r="W425" s="21">
        <v>0</v>
      </c>
      <c r="X425" s="56" t="str">
        <f>IFERROR(VLOOKUP(A425,Output!A:F,6,0),"-")</f>
        <v>-</v>
      </c>
    </row>
    <row r="426" spans="1:24" x14ac:dyDescent="0.25">
      <c r="A426" s="21" t="s">
        <v>1707</v>
      </c>
      <c r="B426" s="40" t="s">
        <v>1708</v>
      </c>
      <c r="C426" s="21" t="s">
        <v>248</v>
      </c>
      <c r="D426" s="21" t="s">
        <v>75</v>
      </c>
      <c r="E426" s="21" t="s">
        <v>99</v>
      </c>
      <c r="F426" s="55">
        <v>4.9576361666924288E-4</v>
      </c>
      <c r="G426" s="24">
        <v>4.7197950000000004</v>
      </c>
      <c r="H426" s="24">
        <v>5.1055840000000003</v>
      </c>
      <c r="I426" s="24">
        <v>1.0464329999999999</v>
      </c>
      <c r="J426" s="24">
        <v>3.7335229999999999</v>
      </c>
      <c r="K426" s="24">
        <v>0.5407729</v>
      </c>
      <c r="L426" s="24">
        <v>4.136609</v>
      </c>
      <c r="M426" s="24">
        <v>34.9238</v>
      </c>
      <c r="N426" s="24">
        <v>6.2514997749999868</v>
      </c>
      <c r="O426" s="24">
        <v>9.8888888888888893</v>
      </c>
      <c r="P426" s="24">
        <v>8.8789237668161434</v>
      </c>
      <c r="Q426" s="24">
        <v>0.26520471867696649</v>
      </c>
      <c r="R426" s="24">
        <v>3.46</v>
      </c>
      <c r="S426" s="24">
        <v>4.1630706423960673</v>
      </c>
      <c r="T426" s="24">
        <v>0.99522277218554978</v>
      </c>
      <c r="U426" s="24" t="s">
        <v>3496</v>
      </c>
      <c r="V426">
        <v>0</v>
      </c>
      <c r="W426" s="21">
        <v>1</v>
      </c>
      <c r="X426" s="56" t="str">
        <f>IFERROR(VLOOKUP(A426,Output!A:F,6,0),"-")</f>
        <v>-</v>
      </c>
    </row>
    <row r="427" spans="1:24" hidden="1" x14ac:dyDescent="0.25">
      <c r="A427" s="21" t="s">
        <v>340</v>
      </c>
      <c r="B427" s="40" t="s">
        <v>341</v>
      </c>
      <c r="C427" s="21" t="s">
        <v>247</v>
      </c>
      <c r="D427" s="21" t="s">
        <v>74</v>
      </c>
      <c r="E427" s="21" t="s">
        <v>86</v>
      </c>
      <c r="F427" s="55">
        <v>4.9219739246871615E-4</v>
      </c>
      <c r="G427" s="21">
        <v>3.497039</v>
      </c>
      <c r="H427" s="21">
        <v>4.3288529999999996</v>
      </c>
      <c r="I427" s="21">
        <v>6.0955529999999998</v>
      </c>
      <c r="J427" s="21">
        <v>4.6404820000000004</v>
      </c>
      <c r="K427" s="24">
        <v>3.3936579999999998</v>
      </c>
      <c r="L427" s="24">
        <v>8.8197770000000002</v>
      </c>
      <c r="M427" s="24">
        <v>404.1277</v>
      </c>
      <c r="N427" s="24">
        <v>2.1922160444797454</v>
      </c>
      <c r="O427" s="24">
        <v>2.8865979381443294</v>
      </c>
      <c r="P427" s="24">
        <v>4.5901639344262302</v>
      </c>
      <c r="Q427" s="24">
        <v>6.8434368294604218</v>
      </c>
      <c r="R427" s="24">
        <v>5.31</v>
      </c>
      <c r="S427" s="24">
        <v>4.7760952389292246</v>
      </c>
      <c r="T427" s="24">
        <v>0.87362198318788786</v>
      </c>
      <c r="U427" s="24" t="s">
        <v>3989</v>
      </c>
      <c r="V427">
        <v>0</v>
      </c>
      <c r="W427" s="21">
        <v>0</v>
      </c>
      <c r="X427" s="56" t="str">
        <f>IFERROR(VLOOKUP(A427,Output!A:F,6,0),"-")</f>
        <v>-</v>
      </c>
    </row>
    <row r="428" spans="1:24" hidden="1" x14ac:dyDescent="0.25">
      <c r="A428" s="21" t="s">
        <v>2515</v>
      </c>
      <c r="B428" s="40" t="s">
        <v>2516</v>
      </c>
      <c r="C428" s="21" t="s">
        <v>249</v>
      </c>
      <c r="D428" s="21" t="s">
        <v>74</v>
      </c>
      <c r="E428" s="21" t="s">
        <v>102</v>
      </c>
      <c r="F428" s="55">
        <v>4.9151608036089416E-4</v>
      </c>
      <c r="G428" s="21">
        <v>4.7545190000000002</v>
      </c>
      <c r="H428" s="21">
        <v>6.4151910000000001</v>
      </c>
      <c r="I428" s="21">
        <v>4.5692110000000001</v>
      </c>
      <c r="J428" s="21">
        <v>5.0495919999999996</v>
      </c>
      <c r="K428" s="21">
        <v>7.691414</v>
      </c>
      <c r="L428" s="21">
        <v>11.062580000000001</v>
      </c>
      <c r="M428" s="21">
        <v>681.77120000000002</v>
      </c>
      <c r="N428" s="21">
        <v>5.2294487359857769</v>
      </c>
      <c r="O428" s="21">
        <v>4.615384615384615</v>
      </c>
      <c r="P428" s="21">
        <v>3.7500000000000004</v>
      </c>
      <c r="Q428" s="21">
        <v>8.9222549062224257</v>
      </c>
      <c r="R428" s="21">
        <v>7.84</v>
      </c>
      <c r="S428" s="21">
        <v>7.0004158233883906</v>
      </c>
      <c r="T428" s="21">
        <v>9.5524309950573788E-2</v>
      </c>
      <c r="U428" s="21" t="s">
        <v>3964</v>
      </c>
      <c r="V428">
        <v>0</v>
      </c>
      <c r="W428" s="21">
        <v>0</v>
      </c>
      <c r="X428" s="56">
        <f>IFERROR(VLOOKUP(A428,Output!A:F,6,0),"-")</f>
        <v>5.0000000000000001E-3</v>
      </c>
    </row>
    <row r="429" spans="1:24" hidden="1" x14ac:dyDescent="0.25">
      <c r="A429" s="21" t="s">
        <v>1957</v>
      </c>
      <c r="B429" s="40" t="s">
        <v>1958</v>
      </c>
      <c r="C429" s="21" t="s">
        <v>244</v>
      </c>
      <c r="D429" s="21" t="s">
        <v>73</v>
      </c>
      <c r="E429" s="21" t="s">
        <v>90</v>
      </c>
      <c r="F429" s="55">
        <v>4.9133569161173216E-4</v>
      </c>
      <c r="G429" s="24">
        <v>3.072695</v>
      </c>
      <c r="H429" s="24">
        <v>6.0143890000000004</v>
      </c>
      <c r="I429" s="24">
        <v>7.5561449999999999</v>
      </c>
      <c r="J429" s="24">
        <v>5.3002380000000002</v>
      </c>
      <c r="K429" s="24">
        <v>4.3059969999999996</v>
      </c>
      <c r="L429" s="24">
        <v>8.436992</v>
      </c>
      <c r="M429" s="24">
        <v>53.497100000000003</v>
      </c>
      <c r="N429" s="24">
        <v>3.0521514059120407</v>
      </c>
      <c r="O429" s="24">
        <v>4.8453608247422677</v>
      </c>
      <c r="P429" s="24">
        <v>0.6224066390041495</v>
      </c>
      <c r="Q429" s="24">
        <v>7.790034214252004</v>
      </c>
      <c r="R429" s="24">
        <v>6.27</v>
      </c>
      <c r="S429" s="24">
        <v>5.1852523767892338</v>
      </c>
      <c r="T429" s="24">
        <v>0.30892412594965174</v>
      </c>
      <c r="U429" s="24" t="s">
        <v>3640</v>
      </c>
      <c r="V429">
        <v>0</v>
      </c>
      <c r="W429" s="21">
        <v>0</v>
      </c>
      <c r="X429" s="56" t="str">
        <f>IFERROR(VLOOKUP(A429,Output!A:F,6,0),"-")</f>
        <v>-</v>
      </c>
    </row>
    <row r="430" spans="1:24" hidden="1" x14ac:dyDescent="0.25">
      <c r="A430" s="21" t="s">
        <v>2454</v>
      </c>
      <c r="B430" s="40" t="s">
        <v>2455</v>
      </c>
      <c r="C430" s="21" t="s">
        <v>257</v>
      </c>
      <c r="D430" s="21" t="s">
        <v>74</v>
      </c>
      <c r="E430" s="21" t="s">
        <v>102</v>
      </c>
      <c r="F430" s="55">
        <v>4.9076162680263111E-4</v>
      </c>
      <c r="G430" s="24">
        <v>6.2408299999999999</v>
      </c>
      <c r="H430" s="24">
        <v>5.0859259999999997</v>
      </c>
      <c r="I430" s="24">
        <v>6.7445469999999998</v>
      </c>
      <c r="J430" s="24">
        <v>6.1105929999999997</v>
      </c>
      <c r="K430" s="24">
        <v>4.3142630000000004</v>
      </c>
      <c r="L430" s="24">
        <v>8.8609439999999999</v>
      </c>
      <c r="M430" s="24">
        <v>97.466300000000004</v>
      </c>
      <c r="N430" s="24">
        <v>4.8177278159984098</v>
      </c>
      <c r="O430" s="24">
        <v>10</v>
      </c>
      <c r="P430" s="24">
        <v>1.25</v>
      </c>
      <c r="Q430" s="24">
        <v>4.5785547811874112</v>
      </c>
      <c r="R430" s="24">
        <v>4.05</v>
      </c>
      <c r="S430" s="24">
        <v>4.9377747809189989</v>
      </c>
      <c r="T430" s="24">
        <v>2.1279717298041175E-2</v>
      </c>
      <c r="U430" s="24" t="s">
        <v>3923</v>
      </c>
      <c r="V430">
        <v>0</v>
      </c>
      <c r="W430" s="21">
        <v>0</v>
      </c>
      <c r="X430" s="56" t="str">
        <f>IFERROR(VLOOKUP(A430,Output!A:F,6,0),"-")</f>
        <v>-</v>
      </c>
    </row>
    <row r="431" spans="1:24" hidden="1" x14ac:dyDescent="0.25">
      <c r="A431" s="21" t="s">
        <v>314</v>
      </c>
      <c r="B431" s="40" t="s">
        <v>315</v>
      </c>
      <c r="C431" s="21" t="s">
        <v>257</v>
      </c>
      <c r="D431" s="21" t="s">
        <v>74</v>
      </c>
      <c r="E431" s="21" t="s">
        <v>85</v>
      </c>
      <c r="F431" s="55">
        <v>4.9008957055923905E-4</v>
      </c>
      <c r="G431" s="24">
        <v>5.1866250000000003</v>
      </c>
      <c r="H431" s="24">
        <v>5.3990489999999998</v>
      </c>
      <c r="I431" s="24">
        <v>6.2708139999999997</v>
      </c>
      <c r="J431" s="24">
        <v>5.6404399999999999</v>
      </c>
      <c r="K431" s="24">
        <v>4.5025909999999998</v>
      </c>
      <c r="L431" s="24">
        <v>17.403770000000002</v>
      </c>
      <c r="M431" s="24">
        <v>11.999499999999999</v>
      </c>
      <c r="N431" s="24">
        <v>8.5028741011171824</v>
      </c>
      <c r="O431" s="24">
        <v>7.5757575757575761</v>
      </c>
      <c r="P431" s="24">
        <v>1.6052631578947372</v>
      </c>
      <c r="Q431" s="24">
        <v>9.0876515986769562</v>
      </c>
      <c r="R431" s="24">
        <v>4.82</v>
      </c>
      <c r="S431" s="24">
        <v>5.2585165994136904</v>
      </c>
      <c r="T431" s="24">
        <v>0.55036460980835988</v>
      </c>
      <c r="U431" s="24" t="s">
        <v>3835</v>
      </c>
      <c r="V431">
        <v>0</v>
      </c>
      <c r="W431" s="21">
        <v>0</v>
      </c>
      <c r="X431" s="56" t="str">
        <f>IFERROR(VLOOKUP(A431,Output!A:F,6,0),"-")</f>
        <v>-</v>
      </c>
    </row>
    <row r="432" spans="1:24" x14ac:dyDescent="0.25">
      <c r="A432" s="21" t="s">
        <v>2529</v>
      </c>
      <c r="B432" s="40" t="s">
        <v>2530</v>
      </c>
      <c r="C432" s="21" t="s">
        <v>248</v>
      </c>
      <c r="D432" s="21" t="s">
        <v>75</v>
      </c>
      <c r="E432" s="21" t="s">
        <v>98</v>
      </c>
      <c r="F432" s="55">
        <v>4.8890180169554342E-4</v>
      </c>
      <c r="G432" s="21">
        <v>6.0460240000000001</v>
      </c>
      <c r="H432" s="21">
        <v>4.1404430000000003</v>
      </c>
      <c r="I432" s="21">
        <v>2.985722</v>
      </c>
      <c r="J432" s="21">
        <v>4.0596709999999998</v>
      </c>
      <c r="K432" s="24">
        <v>1.8452500000000001</v>
      </c>
      <c r="L432" s="24">
        <v>3.8739710000000001</v>
      </c>
      <c r="M432" s="53">
        <v>63.544199999999996</v>
      </c>
      <c r="N432" s="24">
        <v>5.31820023282887</v>
      </c>
      <c r="O432" s="24">
        <v>6.2650602409638552</v>
      </c>
      <c r="P432" s="24">
        <v>3.1153846153846154</v>
      </c>
      <c r="Q432" s="24">
        <v>6.0085746447366315</v>
      </c>
      <c r="R432" s="24">
        <v>4.03</v>
      </c>
      <c r="S432" s="24">
        <v>5.0183627194460367</v>
      </c>
      <c r="T432" s="24">
        <v>0.28422690711768323</v>
      </c>
      <c r="U432" s="24" t="s">
        <v>3975</v>
      </c>
      <c r="V432">
        <v>0</v>
      </c>
      <c r="W432" s="21">
        <v>1</v>
      </c>
      <c r="X432" s="56" t="str">
        <f>IFERROR(VLOOKUP(A432,Output!A:F,6,0),"-")</f>
        <v>-</v>
      </c>
    </row>
    <row r="433" spans="1:24" hidden="1" x14ac:dyDescent="0.25">
      <c r="A433" s="21" t="s">
        <v>1590</v>
      </c>
      <c r="B433" s="40" t="s">
        <v>1591</v>
      </c>
      <c r="C433" s="21" t="s">
        <v>244</v>
      </c>
      <c r="D433" s="21" t="s">
        <v>73</v>
      </c>
      <c r="E433" s="21" t="s">
        <v>92</v>
      </c>
      <c r="F433" s="55">
        <v>4.8439982972259298E-4</v>
      </c>
      <c r="G433" s="24">
        <v>5.0505769999999997</v>
      </c>
      <c r="H433" s="24">
        <v>5.6122899999999998</v>
      </c>
      <c r="I433" s="24">
        <v>3.5294110000000001</v>
      </c>
      <c r="J433" s="24">
        <v>4.7627410000000001</v>
      </c>
      <c r="K433" s="24">
        <v>1.8065340000000001</v>
      </c>
      <c r="L433" s="24">
        <v>4.1383679999999998</v>
      </c>
      <c r="M433" s="24">
        <v>18.170200000000001</v>
      </c>
      <c r="N433" s="24">
        <v>1.8631619318181816</v>
      </c>
      <c r="O433" s="24">
        <v>0.70707070707070707</v>
      </c>
      <c r="P433" s="24">
        <v>7.3738414114362874</v>
      </c>
      <c r="Q433" s="24">
        <v>3.3315635784443849</v>
      </c>
      <c r="R433" s="24">
        <v>6.8</v>
      </c>
      <c r="S433" s="24">
        <v>4.2578501564977405</v>
      </c>
      <c r="T433" s="24">
        <v>1.5593174159988175</v>
      </c>
      <c r="U433" s="24" t="s">
        <v>3411</v>
      </c>
      <c r="V433">
        <v>0</v>
      </c>
      <c r="W433" s="21">
        <v>0</v>
      </c>
      <c r="X433" s="56" t="str">
        <f>IFERROR(VLOOKUP(A433,Output!A:F,6,0),"-")</f>
        <v>-</v>
      </c>
    </row>
    <row r="434" spans="1:24" hidden="1" x14ac:dyDescent="0.25">
      <c r="A434" s="21" t="s">
        <v>1274</v>
      </c>
      <c r="B434" s="40" t="s">
        <v>1275</v>
      </c>
      <c r="C434" s="21" t="s">
        <v>244</v>
      </c>
      <c r="D434" s="21" t="s">
        <v>73</v>
      </c>
      <c r="E434" s="21" t="s">
        <v>99</v>
      </c>
      <c r="F434" s="55">
        <v>4.8418835334181298E-4</v>
      </c>
      <c r="G434" s="24">
        <v>4.4089359999999997</v>
      </c>
      <c r="H434" s="24">
        <v>5.8104370000000003</v>
      </c>
      <c r="I434" s="24">
        <v>4.8812259999999998</v>
      </c>
      <c r="J434" s="24">
        <v>4.9710729999999996</v>
      </c>
      <c r="K434" s="24">
        <v>0.77045169999999996</v>
      </c>
      <c r="L434" s="24">
        <v>2.0924550000000002</v>
      </c>
      <c r="M434" s="24">
        <v>21.8718</v>
      </c>
      <c r="N434" s="24">
        <v>5.9037092268120928</v>
      </c>
      <c r="O434" s="24">
        <v>5.7291666666666679</v>
      </c>
      <c r="P434" s="24">
        <v>8.0597014925373127</v>
      </c>
      <c r="Q434" s="24">
        <v>1.1411756896229817</v>
      </c>
      <c r="R434" s="24">
        <v>7.99</v>
      </c>
      <c r="S434" s="24">
        <v>4.2688395937879786</v>
      </c>
      <c r="T434" s="24">
        <v>2.4731511879698522</v>
      </c>
      <c r="U434" s="24" t="s">
        <v>3240</v>
      </c>
      <c r="V434">
        <v>0</v>
      </c>
      <c r="W434" s="21">
        <v>0</v>
      </c>
      <c r="X434" s="56" t="str">
        <f>IFERROR(VLOOKUP(A434,Output!A:F,6,0),"-")</f>
        <v>-</v>
      </c>
    </row>
    <row r="435" spans="1:24" x14ac:dyDescent="0.25">
      <c r="A435" s="21" t="s">
        <v>2492</v>
      </c>
      <c r="B435" s="40" t="s">
        <v>2493</v>
      </c>
      <c r="C435" s="21" t="s">
        <v>248</v>
      </c>
      <c r="D435" s="21" t="s">
        <v>75</v>
      </c>
      <c r="E435" s="21" t="s">
        <v>92</v>
      </c>
      <c r="F435" s="55">
        <v>4.8335904801033382E-4</v>
      </c>
      <c r="G435" s="24">
        <v>4.777285</v>
      </c>
      <c r="H435" s="24">
        <v>5.1485719999999997</v>
      </c>
      <c r="I435" s="24">
        <v>1.437827</v>
      </c>
      <c r="J435" s="24">
        <v>3.8868339999999999</v>
      </c>
      <c r="K435" s="24">
        <v>1.041426</v>
      </c>
      <c r="L435" s="24">
        <v>3.4692289999999999</v>
      </c>
      <c r="M435" s="24">
        <v>73.978999999999999</v>
      </c>
      <c r="N435" s="24">
        <v>5.0065708285488384</v>
      </c>
      <c r="O435" s="24">
        <v>3.8947368421052637</v>
      </c>
      <c r="P435" s="24">
        <v>7.5657143969959133</v>
      </c>
      <c r="Q435" s="24">
        <v>0.76893282566345134</v>
      </c>
      <c r="R435" s="24">
        <v>3.58</v>
      </c>
      <c r="S435" s="24">
        <v>3.8219647611890104</v>
      </c>
      <c r="T435" s="24">
        <v>0.4375032057133299</v>
      </c>
      <c r="U435" s="24" t="s">
        <v>3949</v>
      </c>
      <c r="V435">
        <v>0</v>
      </c>
      <c r="W435" s="21">
        <v>1</v>
      </c>
      <c r="X435" s="56" t="str">
        <f>IFERROR(VLOOKUP(A435,Output!A:F,6,0),"-")</f>
        <v>-</v>
      </c>
    </row>
    <row r="436" spans="1:24" x14ac:dyDescent="0.25">
      <c r="A436" s="21" t="s">
        <v>2385</v>
      </c>
      <c r="B436" s="40" t="s">
        <v>2386</v>
      </c>
      <c r="C436" s="21" t="s">
        <v>248</v>
      </c>
      <c r="D436" s="21" t="s">
        <v>75</v>
      </c>
      <c r="E436" s="21" t="s">
        <v>92</v>
      </c>
      <c r="F436" s="55">
        <v>4.8317242161340383E-4</v>
      </c>
      <c r="G436" s="21">
        <v>6.22309</v>
      </c>
      <c r="H436" s="21">
        <v>5.791849</v>
      </c>
      <c r="I436" s="21">
        <v>4.1280469999999996</v>
      </c>
      <c r="J436" s="21">
        <v>5.4652050000000001</v>
      </c>
      <c r="K436" s="24">
        <v>1.891772</v>
      </c>
      <c r="L436" s="24">
        <v>7.0118590000000003</v>
      </c>
      <c r="M436" s="24">
        <v>35.948</v>
      </c>
      <c r="N436" s="24">
        <v>3.7424440202306455</v>
      </c>
      <c r="O436" s="24">
        <v>5.8947368421052628</v>
      </c>
      <c r="P436" s="24">
        <v>5.9542858992326426</v>
      </c>
      <c r="Q436" s="24">
        <v>5.8785027752833541</v>
      </c>
      <c r="R436" s="24">
        <v>4.91</v>
      </c>
      <c r="S436" s="24">
        <v>5.4135329958410257</v>
      </c>
      <c r="T436" s="24">
        <v>0.48440183974533868</v>
      </c>
      <c r="U436" s="24" t="s">
        <v>3879</v>
      </c>
      <c r="V436">
        <v>0</v>
      </c>
      <c r="W436" s="21">
        <v>0</v>
      </c>
      <c r="X436" s="56" t="str">
        <f>IFERROR(VLOOKUP(A436,Output!A:F,6,0),"-")</f>
        <v>-</v>
      </c>
    </row>
    <row r="437" spans="1:24" hidden="1" x14ac:dyDescent="0.25">
      <c r="A437" s="21" t="s">
        <v>1576</v>
      </c>
      <c r="B437" s="40" t="s">
        <v>1577</v>
      </c>
      <c r="C437" s="21" t="s">
        <v>244</v>
      </c>
      <c r="D437" s="21" t="s">
        <v>73</v>
      </c>
      <c r="E437" s="21" t="s">
        <v>102</v>
      </c>
      <c r="F437" s="55">
        <v>4.8203234057296688E-4</v>
      </c>
      <c r="G437" s="24">
        <v>4.6257200000000003</v>
      </c>
      <c r="H437" s="24">
        <v>3.5251480000000002</v>
      </c>
      <c r="I437" s="24">
        <v>3.0821710000000002</v>
      </c>
      <c r="J437" s="24">
        <v>4.0968960000000001</v>
      </c>
      <c r="K437" s="24">
        <v>3.678045</v>
      </c>
      <c r="L437" s="24">
        <v>5.9927279999999996</v>
      </c>
      <c r="M437" s="24">
        <v>340.85199999999998</v>
      </c>
      <c r="N437" s="24">
        <v>4.7552631836565071</v>
      </c>
      <c r="O437" s="24">
        <v>4.7422680412371134</v>
      </c>
      <c r="P437" s="24">
        <v>3.2936507936507944</v>
      </c>
      <c r="Q437" s="24">
        <v>8.3831056449534174</v>
      </c>
      <c r="R437" s="24">
        <v>3.25</v>
      </c>
      <c r="S437" s="24">
        <v>5.534156586201858</v>
      </c>
      <c r="T437" s="24">
        <v>0.36174058179592172</v>
      </c>
      <c r="U437" s="24" t="s">
        <v>3450</v>
      </c>
      <c r="V437">
        <v>0</v>
      </c>
      <c r="W437" s="21">
        <v>1</v>
      </c>
      <c r="X437" s="56" t="str">
        <f>IFERROR(VLOOKUP(A437,Output!A:F,6,0),"-")</f>
        <v>-</v>
      </c>
    </row>
    <row r="438" spans="1:24" hidden="1" x14ac:dyDescent="0.25">
      <c r="A438" s="21" t="s">
        <v>4371</v>
      </c>
      <c r="B438" s="40" t="s">
        <v>4372</v>
      </c>
      <c r="C438" s="21" t="s">
        <v>244</v>
      </c>
      <c r="D438" s="21" t="s">
        <v>73</v>
      </c>
      <c r="E438" s="21" t="s">
        <v>99</v>
      </c>
      <c r="F438" s="55">
        <v>4.786723611776727E-4</v>
      </c>
      <c r="G438" s="24">
        <v>7.4473779999999996</v>
      </c>
      <c r="H438" s="24">
        <v>4.0083169999999999</v>
      </c>
      <c r="I438" s="24">
        <v>3.6321310000000002</v>
      </c>
      <c r="J438" s="24">
        <v>5.0292750000000002</v>
      </c>
      <c r="K438" s="24">
        <v>0</v>
      </c>
      <c r="L438" s="24">
        <v>1.5491699999999999</v>
      </c>
      <c r="M438" s="24">
        <v>8.1435999999999993</v>
      </c>
      <c r="N438" s="24">
        <v>5.9076563463027885</v>
      </c>
      <c r="O438" s="24">
        <v>6.6666666666666679</v>
      </c>
      <c r="P438" s="24">
        <v>3.4626865671641789</v>
      </c>
      <c r="Q438" s="24">
        <v>1.7801302922763544</v>
      </c>
      <c r="R438" s="24" t="e">
        <v>#N/A</v>
      </c>
      <c r="S438" s="24">
        <v>2.7872508029851248</v>
      </c>
      <c r="T438" s="24">
        <v>1.5984655877288132</v>
      </c>
      <c r="U438" s="24" t="s">
        <v>4373</v>
      </c>
      <c r="V438">
        <v>0</v>
      </c>
      <c r="W438" s="21">
        <v>0</v>
      </c>
      <c r="X438" s="56" t="str">
        <f>IFERROR(VLOOKUP(A438,Output!A:F,6,0),"-")</f>
        <v>-</v>
      </c>
    </row>
    <row r="439" spans="1:24" hidden="1" x14ac:dyDescent="0.25">
      <c r="A439" s="21" t="s">
        <v>2349</v>
      </c>
      <c r="B439" s="40" t="s">
        <v>2350</v>
      </c>
      <c r="C439" s="21" t="s">
        <v>250</v>
      </c>
      <c r="D439" s="21" t="s">
        <v>76</v>
      </c>
      <c r="E439" s="21" t="s">
        <v>86</v>
      </c>
      <c r="F439" s="55">
        <v>4.7595113703526715E-4</v>
      </c>
      <c r="G439" s="21">
        <v>3.2804509999999998</v>
      </c>
      <c r="H439" s="21">
        <v>5.8625379999999998</v>
      </c>
      <c r="I439" s="21">
        <v>3.2053889999999998</v>
      </c>
      <c r="J439" s="21">
        <v>4.1161260000000004</v>
      </c>
      <c r="K439" s="24">
        <v>5.8601520000000002</v>
      </c>
      <c r="L439" s="24">
        <v>8.9445920000000001</v>
      </c>
      <c r="M439" s="24">
        <v>2952.614</v>
      </c>
      <c r="N439" s="24">
        <v>9.3858936740072494</v>
      </c>
      <c r="O439" s="24">
        <v>3.6904761904761916</v>
      </c>
      <c r="P439" s="24">
        <v>6.4912280701754383</v>
      </c>
      <c r="Q439" s="24">
        <v>8.0144393993233223</v>
      </c>
      <c r="R439" s="24">
        <v>7.83</v>
      </c>
      <c r="S439" s="24">
        <v>7.8317293021262184</v>
      </c>
      <c r="T439" s="24">
        <v>0.65426402451776278</v>
      </c>
      <c r="U439" s="24" t="s">
        <v>3825</v>
      </c>
      <c r="V439">
        <v>0</v>
      </c>
      <c r="W439" s="21">
        <v>1</v>
      </c>
      <c r="X439" s="56" t="str">
        <f>IFERROR(VLOOKUP(A439,Output!A:F,6,0),"-")</f>
        <v>-</v>
      </c>
    </row>
    <row r="440" spans="1:24" hidden="1" x14ac:dyDescent="0.25">
      <c r="A440" s="21" t="s">
        <v>1288</v>
      </c>
      <c r="B440" s="40" t="s">
        <v>1289</v>
      </c>
      <c r="C440" s="21" t="s">
        <v>244</v>
      </c>
      <c r="D440" s="21" t="s">
        <v>73</v>
      </c>
      <c r="E440" s="21" t="s">
        <v>92</v>
      </c>
      <c r="F440" s="55">
        <v>4.7458569581740529E-4</v>
      </c>
      <c r="G440" s="21">
        <v>5.1679089999999999</v>
      </c>
      <c r="H440" s="21">
        <v>3.8123390000000001</v>
      </c>
      <c r="I440" s="21">
        <v>7.6955169999999997</v>
      </c>
      <c r="J440" s="21">
        <v>5.51952</v>
      </c>
      <c r="K440" s="24">
        <v>0.37058239999999998</v>
      </c>
      <c r="L440" s="24">
        <v>5.2801140000000002</v>
      </c>
      <c r="M440" s="24">
        <v>11.615500000000001</v>
      </c>
      <c r="N440" s="24">
        <v>2.7035980113636366</v>
      </c>
      <c r="O440" s="24">
        <v>7.8787878787878789</v>
      </c>
      <c r="P440" s="24">
        <v>4.5623069225033701</v>
      </c>
      <c r="Q440" s="24">
        <v>5.2195380939739859</v>
      </c>
      <c r="R440" s="24">
        <v>3.48</v>
      </c>
      <c r="S440" s="24">
        <v>4.2352088161477512</v>
      </c>
      <c r="T440" s="24">
        <v>1.1251841947946648</v>
      </c>
      <c r="U440" s="24" t="s">
        <v>3251</v>
      </c>
      <c r="V440">
        <v>0</v>
      </c>
      <c r="W440" s="21">
        <v>0</v>
      </c>
      <c r="X440" s="56" t="str">
        <f>IFERROR(VLOOKUP(A440,Output!A:F,6,0),"-")</f>
        <v>-</v>
      </c>
    </row>
    <row r="441" spans="1:24" hidden="1" x14ac:dyDescent="0.25">
      <c r="A441" s="21" t="s">
        <v>841</v>
      </c>
      <c r="B441" s="40" t="s">
        <v>842</v>
      </c>
      <c r="C441" s="21" t="s">
        <v>257</v>
      </c>
      <c r="D441" s="21" t="s">
        <v>74</v>
      </c>
      <c r="E441" s="21" t="s">
        <v>91</v>
      </c>
      <c r="F441" s="55">
        <v>4.7276339720414768E-4</v>
      </c>
      <c r="G441" s="24">
        <v>4.1823649999999999</v>
      </c>
      <c r="H441" s="24">
        <v>4.507104</v>
      </c>
      <c r="I441" s="24">
        <v>5.9042050000000001</v>
      </c>
      <c r="J441" s="24">
        <v>5.0009969999999999</v>
      </c>
      <c r="K441" s="24">
        <v>1.8109379999999999</v>
      </c>
      <c r="L441" s="24">
        <v>15.42014</v>
      </c>
      <c r="M441" s="24">
        <v>79.172399999999996</v>
      </c>
      <c r="N441" s="24">
        <v>1.7974962457337886</v>
      </c>
      <c r="O441" s="24">
        <v>0</v>
      </c>
      <c r="P441" s="24">
        <v>2.3646723646723653</v>
      </c>
      <c r="Q441" s="24">
        <v>9.7845580954075135</v>
      </c>
      <c r="R441" s="24">
        <v>5.1100000000000003</v>
      </c>
      <c r="S441" s="24">
        <v>5.062103659930175</v>
      </c>
      <c r="T441" s="24">
        <v>0.37689791005992324</v>
      </c>
      <c r="U441" s="24" t="s">
        <v>2866</v>
      </c>
      <c r="V441">
        <v>0</v>
      </c>
      <c r="W441" s="21">
        <v>0</v>
      </c>
      <c r="X441" s="56" t="str">
        <f>IFERROR(VLOOKUP(A441,Output!A:F,6,0),"-")</f>
        <v>-</v>
      </c>
    </row>
    <row r="442" spans="1:24" hidden="1" x14ac:dyDescent="0.25">
      <c r="A442" s="21" t="s">
        <v>1699</v>
      </c>
      <c r="B442" s="40" t="s">
        <v>1700</v>
      </c>
      <c r="C442" s="21" t="s">
        <v>244</v>
      </c>
      <c r="D442" s="21" t="s">
        <v>73</v>
      </c>
      <c r="E442" s="21" t="s">
        <v>102</v>
      </c>
      <c r="F442" s="55">
        <v>4.71460433071188E-4</v>
      </c>
      <c r="G442" s="24">
        <v>3.5153340000000002</v>
      </c>
      <c r="H442" s="24">
        <v>4.3706069999999997</v>
      </c>
      <c r="I442" s="24">
        <v>7.0427460000000002</v>
      </c>
      <c r="J442" s="24">
        <v>4.3918710000000001</v>
      </c>
      <c r="K442" s="24">
        <v>4.0552549999999998</v>
      </c>
      <c r="L442" s="24">
        <v>5.9235629999999997</v>
      </c>
      <c r="M442" s="24">
        <v>1599.2329999999999</v>
      </c>
      <c r="N442" s="24">
        <v>7.4263144814405813</v>
      </c>
      <c r="O442" s="24">
        <v>1.34020618556701</v>
      </c>
      <c r="P442" s="24">
        <v>3.4920634920634925</v>
      </c>
      <c r="Q442" s="24">
        <v>6.6502190963655785</v>
      </c>
      <c r="R442" s="24">
        <v>5.46</v>
      </c>
      <c r="S442" s="24">
        <v>4.607631864505076</v>
      </c>
      <c r="T442" s="24">
        <v>0.37371330549034509</v>
      </c>
      <c r="U442" s="24" t="s">
        <v>3524</v>
      </c>
      <c r="V442">
        <v>1</v>
      </c>
      <c r="W442" s="21">
        <v>1</v>
      </c>
      <c r="X442" s="56" t="str">
        <f>IFERROR(VLOOKUP(A442,Output!A:F,6,0),"-")</f>
        <v>-</v>
      </c>
    </row>
    <row r="443" spans="1:24" hidden="1" x14ac:dyDescent="0.25">
      <c r="A443" s="21" t="s">
        <v>1122</v>
      </c>
      <c r="B443" s="40" t="s">
        <v>1123</v>
      </c>
      <c r="C443" s="21" t="s">
        <v>244</v>
      </c>
      <c r="D443" s="21" t="s">
        <v>73</v>
      </c>
      <c r="E443" s="21" t="s">
        <v>92</v>
      </c>
      <c r="F443" s="55">
        <v>4.7062871316637926E-4</v>
      </c>
      <c r="G443" s="21">
        <v>5.7922339999999997</v>
      </c>
      <c r="H443" s="21">
        <v>5.5695750000000004</v>
      </c>
      <c r="I443" s="21">
        <v>7.2158620000000004</v>
      </c>
      <c r="J443" s="21">
        <v>6.1525249999999998</v>
      </c>
      <c r="K443" s="24">
        <v>1.1231660000000001</v>
      </c>
      <c r="L443" s="24">
        <v>3.7037149999999999</v>
      </c>
      <c r="M443" s="53">
        <v>20.200700000000001</v>
      </c>
      <c r="N443" s="57">
        <v>5.3882571022727275</v>
      </c>
      <c r="O443" s="24">
        <v>6.5656565656565657</v>
      </c>
      <c r="P443" s="24">
        <v>4.2533470885546985</v>
      </c>
      <c r="Q443" s="24">
        <v>3.2899739846031322</v>
      </c>
      <c r="R443" s="24">
        <v>6.34</v>
      </c>
      <c r="S443" s="24">
        <v>4.2166355431098541</v>
      </c>
      <c r="T443" s="24">
        <v>1.0367763870351427</v>
      </c>
      <c r="U443" s="24" t="s">
        <v>3191</v>
      </c>
      <c r="V443">
        <v>0</v>
      </c>
      <c r="W443" s="21">
        <v>0</v>
      </c>
      <c r="X443" s="56" t="str">
        <f>IFERROR(VLOOKUP(A443,Output!A:F,6,0),"-")</f>
        <v>-</v>
      </c>
    </row>
    <row r="444" spans="1:24" hidden="1" x14ac:dyDescent="0.25">
      <c r="A444" s="21" t="s">
        <v>1373</v>
      </c>
      <c r="B444" s="40" t="s">
        <v>1374</v>
      </c>
      <c r="C444" s="21" t="s">
        <v>245</v>
      </c>
      <c r="D444" s="21" t="s">
        <v>73</v>
      </c>
      <c r="E444" s="21" t="s">
        <v>93</v>
      </c>
      <c r="F444" s="55">
        <v>4.7026179862750942E-4</v>
      </c>
      <c r="G444" s="24">
        <v>5.3947279999999997</v>
      </c>
      <c r="H444" s="24">
        <v>8.479476</v>
      </c>
      <c r="I444" s="24">
        <v>6.2492279999999996</v>
      </c>
      <c r="J444" s="24">
        <v>6.7734649999999998</v>
      </c>
      <c r="K444" s="24">
        <v>4.4536860000000003</v>
      </c>
      <c r="L444" s="24">
        <v>9.8831869999999995</v>
      </c>
      <c r="M444" s="24">
        <v>1.8597999999999999</v>
      </c>
      <c r="N444" s="24">
        <v>3.3561197916666661</v>
      </c>
      <c r="O444" s="24">
        <v>3.814432989690721</v>
      </c>
      <c r="P444" s="24">
        <v>4.1968911917098453</v>
      </c>
      <c r="Q444" s="24">
        <v>5.0337201855393667</v>
      </c>
      <c r="R444" s="24">
        <v>7.15</v>
      </c>
      <c r="S444" s="24">
        <v>5.7239402864994666</v>
      </c>
      <c r="T444" s="24">
        <v>0.73796964362564399</v>
      </c>
      <c r="U444" s="24" t="s">
        <v>3331</v>
      </c>
      <c r="V444">
        <v>0</v>
      </c>
      <c r="W444" s="21">
        <v>0</v>
      </c>
      <c r="X444" s="56" t="str">
        <f>IFERROR(VLOOKUP(A444,Output!A:F,6,0),"-")</f>
        <v>-</v>
      </c>
    </row>
    <row r="445" spans="1:24" hidden="1" x14ac:dyDescent="0.25">
      <c r="A445" s="21" t="s">
        <v>1208</v>
      </c>
      <c r="B445" s="40" t="s">
        <v>1209</v>
      </c>
      <c r="C445" s="21" t="s">
        <v>244</v>
      </c>
      <c r="D445" s="21" t="s">
        <v>73</v>
      </c>
      <c r="E445" s="21" t="s">
        <v>97</v>
      </c>
      <c r="F445" s="55">
        <v>4.681982438957407E-4</v>
      </c>
      <c r="G445" s="21">
        <v>5.9119570000000001</v>
      </c>
      <c r="H445" s="21">
        <v>2.779849</v>
      </c>
      <c r="I445" s="21">
        <v>2.505493</v>
      </c>
      <c r="J445" s="21">
        <v>3.9229500000000002</v>
      </c>
      <c r="K445" s="21">
        <v>4.5559859999999999</v>
      </c>
      <c r="L445" s="21">
        <v>2.6840280000000001</v>
      </c>
      <c r="M445" s="21">
        <v>75.697999999999993</v>
      </c>
      <c r="N445" s="21">
        <v>9.5627046926229884</v>
      </c>
      <c r="O445" s="21">
        <v>0.20618556701030924</v>
      </c>
      <c r="P445" s="21">
        <v>5.6363636363636367</v>
      </c>
      <c r="Q445" s="21">
        <v>3.5777496839443739</v>
      </c>
      <c r="R445" s="21">
        <v>6.51</v>
      </c>
      <c r="S445" s="21">
        <v>5.2045024324891207</v>
      </c>
      <c r="T445" s="21">
        <v>0.97539413016426446</v>
      </c>
      <c r="U445" s="21" t="s">
        <v>3213</v>
      </c>
      <c r="V445">
        <v>0</v>
      </c>
      <c r="W445" s="21">
        <v>1</v>
      </c>
      <c r="X445" s="56" t="str">
        <f>IFERROR(VLOOKUP(A445,Output!A:F,6,0),"-")</f>
        <v>-</v>
      </c>
    </row>
    <row r="446" spans="1:24" hidden="1" x14ac:dyDescent="0.25">
      <c r="A446" s="21" t="s">
        <v>1210</v>
      </c>
      <c r="B446" s="40" t="s">
        <v>1211</v>
      </c>
      <c r="C446" s="21" t="s">
        <v>244</v>
      </c>
      <c r="D446" s="21" t="s">
        <v>73</v>
      </c>
      <c r="E446" s="21" t="s">
        <v>93</v>
      </c>
      <c r="F446" s="55">
        <v>4.6733734789653321E-4</v>
      </c>
      <c r="G446" s="24">
        <v>5.3941540000000003</v>
      </c>
      <c r="H446" s="24">
        <v>5.2797070000000001</v>
      </c>
      <c r="I446" s="24">
        <v>4.8116490000000001</v>
      </c>
      <c r="J446" s="24">
        <v>5.1502210000000002</v>
      </c>
      <c r="K446" s="24">
        <v>1.8428990000000001</v>
      </c>
      <c r="L446" s="24">
        <v>12.87528</v>
      </c>
      <c r="M446" s="24">
        <v>1.1532</v>
      </c>
      <c r="N446" s="24">
        <v>6.1458333333333321</v>
      </c>
      <c r="O446" s="24">
        <v>9.3814432989690726</v>
      </c>
      <c r="P446" s="24">
        <v>4.5768569948186535</v>
      </c>
      <c r="Q446" s="24">
        <v>7.7586445391138428</v>
      </c>
      <c r="R446" s="24">
        <v>4.72</v>
      </c>
      <c r="S446" s="24">
        <v>6.8360095223322332</v>
      </c>
      <c r="T446" s="24">
        <v>0.6548769868560762</v>
      </c>
      <c r="U446" s="24" t="s">
        <v>3237</v>
      </c>
      <c r="V446">
        <v>0</v>
      </c>
      <c r="W446" s="21">
        <v>0</v>
      </c>
      <c r="X446" s="56">
        <f>IFERROR(VLOOKUP(A446,Output!A:F,6,0),"-")</f>
        <v>7.4999999999999997E-3</v>
      </c>
    </row>
    <row r="447" spans="1:24" hidden="1" x14ac:dyDescent="0.25">
      <c r="A447" s="21" t="s">
        <v>2569</v>
      </c>
      <c r="B447" s="40" t="s">
        <v>2570</v>
      </c>
      <c r="C447" s="21" t="s">
        <v>305</v>
      </c>
      <c r="D447" s="21" t="s">
        <v>74</v>
      </c>
      <c r="E447" s="21" t="s">
        <v>92</v>
      </c>
      <c r="F447" s="55">
        <v>4.664839974389806E-4</v>
      </c>
      <c r="G447" s="24">
        <v>7.762473</v>
      </c>
      <c r="H447" s="24">
        <v>5.4087160000000001</v>
      </c>
      <c r="I447" s="24">
        <v>7.2948519999999997</v>
      </c>
      <c r="J447" s="24">
        <v>6.9160589999999997</v>
      </c>
      <c r="K447" s="24">
        <v>0.64743910000000005</v>
      </c>
      <c r="L447" s="24">
        <v>4.7782830000000001</v>
      </c>
      <c r="M447" s="24">
        <v>39.328600000000002</v>
      </c>
      <c r="N447" s="24">
        <v>5.4049377777777785</v>
      </c>
      <c r="O447" s="24">
        <v>1.2244897959183672</v>
      </c>
      <c r="P447" s="24">
        <v>5.8356164383561646</v>
      </c>
      <c r="Q447" s="24">
        <v>4.725801145243854</v>
      </c>
      <c r="R447" s="24">
        <v>2.2799999999999998</v>
      </c>
      <c r="S447" s="24">
        <v>4.4921665931461439</v>
      </c>
      <c r="T447" s="24">
        <v>0.50126757819332401</v>
      </c>
      <c r="U447" s="24" t="s">
        <v>3994</v>
      </c>
      <c r="V447">
        <v>0</v>
      </c>
      <c r="W447" s="21">
        <v>0</v>
      </c>
      <c r="X447" s="56" t="str">
        <f>IFERROR(VLOOKUP(A447,Output!A:F,6,0),"-")</f>
        <v>-</v>
      </c>
    </row>
    <row r="448" spans="1:24" hidden="1" x14ac:dyDescent="0.25">
      <c r="A448" s="21" t="s">
        <v>2367</v>
      </c>
      <c r="B448" s="40" t="s">
        <v>2368</v>
      </c>
      <c r="C448" s="21" t="s">
        <v>247</v>
      </c>
      <c r="D448" s="21" t="s">
        <v>74</v>
      </c>
      <c r="E448" s="21" t="s">
        <v>92</v>
      </c>
      <c r="F448" s="55">
        <v>4.6645552559513627E-4</v>
      </c>
      <c r="G448" s="24">
        <v>5.1369769999999999</v>
      </c>
      <c r="H448" s="24">
        <v>4.9681959999999998</v>
      </c>
      <c r="I448" s="24">
        <v>4.483244</v>
      </c>
      <c r="J448" s="24">
        <v>4.8902229999999998</v>
      </c>
      <c r="K448" s="24">
        <v>1.399186</v>
      </c>
      <c r="L448" s="24">
        <v>6.8689039999999997</v>
      </c>
      <c r="M448" s="24">
        <v>60.085500000000003</v>
      </c>
      <c r="N448" s="24">
        <v>6.4592607407407412</v>
      </c>
      <c r="O448" s="24">
        <v>2.7551020408163263</v>
      </c>
      <c r="P448" s="24">
        <v>5.7260273972602747</v>
      </c>
      <c r="Q448" s="24">
        <v>4.2757205869025103</v>
      </c>
      <c r="R448" s="24">
        <v>3.11</v>
      </c>
      <c r="S448" s="24">
        <v>4.7632064328615238</v>
      </c>
      <c r="T448" s="24">
        <v>0.70685650882696693</v>
      </c>
      <c r="U448" s="24" t="s">
        <v>3862</v>
      </c>
      <c r="V448">
        <v>0</v>
      </c>
      <c r="W448" s="21">
        <v>0</v>
      </c>
      <c r="X448" s="56" t="str">
        <f>IFERROR(VLOOKUP(A448,Output!A:F,6,0),"-")</f>
        <v>-</v>
      </c>
    </row>
    <row r="449" spans="1:24" hidden="1" x14ac:dyDescent="0.25">
      <c r="A449" s="21" t="s">
        <v>4610</v>
      </c>
      <c r="B449" s="40" t="s">
        <v>4611</v>
      </c>
      <c r="C449" s="21" t="s">
        <v>244</v>
      </c>
      <c r="D449" s="21" t="s">
        <v>73</v>
      </c>
      <c r="E449" s="21" t="s">
        <v>99</v>
      </c>
      <c r="F449" s="55">
        <v>4.657835699589663E-4</v>
      </c>
      <c r="G449" s="21">
        <v>3.4861759999999999</v>
      </c>
      <c r="H449" s="21">
        <v>4.571123</v>
      </c>
      <c r="I449" s="21">
        <v>5.5831010000000001</v>
      </c>
      <c r="J449" s="21">
        <v>4.4407379999999996</v>
      </c>
      <c r="K449" s="24">
        <v>5.5066240000000002E-2</v>
      </c>
      <c r="L449" s="24">
        <v>4.8956749999999998</v>
      </c>
      <c r="M449" s="24" t="e">
        <v>#N/A</v>
      </c>
      <c r="N449" s="24">
        <v>8.0031576955925559</v>
      </c>
      <c r="O449" s="24">
        <v>9.6874999999999982</v>
      </c>
      <c r="P449" s="24">
        <v>7.7014925373134338</v>
      </c>
      <c r="Q449" s="24">
        <v>1.3596410472467668</v>
      </c>
      <c r="R449" s="24">
        <v>6.83</v>
      </c>
      <c r="S449" s="24">
        <v>5.4423143518956341</v>
      </c>
      <c r="T449" s="24">
        <v>0.83354789010428254</v>
      </c>
      <c r="U449" s="24" t="s">
        <v>4612</v>
      </c>
      <c r="V449">
        <v>0</v>
      </c>
      <c r="W449" s="21">
        <v>1</v>
      </c>
      <c r="X449" s="56" t="str">
        <f>IFERROR(VLOOKUP(A449,Output!A:F,6,0),"-")</f>
        <v>-</v>
      </c>
    </row>
    <row r="450" spans="1:24" hidden="1" x14ac:dyDescent="0.25">
      <c r="A450" s="21" t="s">
        <v>1071</v>
      </c>
      <c r="B450" s="40" t="s">
        <v>1072</v>
      </c>
      <c r="C450" s="21" t="s">
        <v>244</v>
      </c>
      <c r="D450" s="21" t="s">
        <v>73</v>
      </c>
      <c r="E450" s="21" t="s">
        <v>92</v>
      </c>
      <c r="F450" s="55">
        <v>4.6473735545671566E-4</v>
      </c>
      <c r="G450" s="24">
        <v>4.115259</v>
      </c>
      <c r="H450" s="24">
        <v>6.3910150000000003</v>
      </c>
      <c r="I450" s="24">
        <v>4.2983690000000001</v>
      </c>
      <c r="J450" s="24">
        <v>4.9348809999999999</v>
      </c>
      <c r="K450" s="24">
        <v>0</v>
      </c>
      <c r="L450" s="24">
        <v>2.63985</v>
      </c>
      <c r="M450" s="24">
        <v>7.6490999999999998</v>
      </c>
      <c r="N450" s="24">
        <v>7.5165710227272733</v>
      </c>
      <c r="O450" s="24">
        <v>8.9898989898989896</v>
      </c>
      <c r="P450" s="24">
        <v>7.9093726141735416</v>
      </c>
      <c r="Q450" s="24">
        <v>0</v>
      </c>
      <c r="R450" s="24" t="e">
        <v>#N/A</v>
      </c>
      <c r="S450" s="24">
        <v>3.4678687004275139</v>
      </c>
      <c r="T450" s="24">
        <v>1.320418998396464</v>
      </c>
      <c r="U450" s="24" t="s">
        <v>3182</v>
      </c>
      <c r="V450">
        <v>0</v>
      </c>
      <c r="W450" s="21">
        <v>0</v>
      </c>
      <c r="X450" s="56" t="str">
        <f>IFERROR(VLOOKUP(A450,Output!A:F,6,0),"-")</f>
        <v>-</v>
      </c>
    </row>
    <row r="451" spans="1:24" hidden="1" x14ac:dyDescent="0.25">
      <c r="A451" s="21" t="s">
        <v>749</v>
      </c>
      <c r="B451" s="40" t="s">
        <v>750</v>
      </c>
      <c r="C451" s="21" t="s">
        <v>244</v>
      </c>
      <c r="D451" s="21" t="s">
        <v>73</v>
      </c>
      <c r="E451" s="21" t="s">
        <v>90</v>
      </c>
      <c r="F451" s="55">
        <v>4.6265951449941375E-4</v>
      </c>
      <c r="G451" s="24">
        <v>7.3614480000000002</v>
      </c>
      <c r="H451" s="24">
        <v>7.0159960000000003</v>
      </c>
      <c r="I451" s="24">
        <v>5.7538070000000001</v>
      </c>
      <c r="J451" s="24">
        <v>6.7755200000000002</v>
      </c>
      <c r="K451" s="24">
        <v>2.6050230000000001</v>
      </c>
      <c r="L451" s="24">
        <v>5.2711069999999998</v>
      </c>
      <c r="M451" s="24">
        <v>44.096600000000002</v>
      </c>
      <c r="N451" s="24">
        <v>4.5469848594087958</v>
      </c>
      <c r="O451" s="24">
        <v>0.61855670103092775</v>
      </c>
      <c r="P451" s="24">
        <v>7.2614107883817436</v>
      </c>
      <c r="Q451" s="24">
        <v>2.7131512505899007</v>
      </c>
      <c r="R451" s="24">
        <v>6.36</v>
      </c>
      <c r="S451" s="24">
        <v>5.2457741719920143</v>
      </c>
      <c r="T451" s="24">
        <v>0.48925009062300906</v>
      </c>
      <c r="U451" s="24" t="s">
        <v>3537</v>
      </c>
      <c r="V451">
        <v>0</v>
      </c>
      <c r="W451" s="21">
        <v>0</v>
      </c>
      <c r="X451" s="56" t="str">
        <f>IFERROR(VLOOKUP(A451,Output!A:F,6,0),"-")</f>
        <v>-</v>
      </c>
    </row>
    <row r="452" spans="1:24" hidden="1" x14ac:dyDescent="0.25">
      <c r="A452" s="21" t="s">
        <v>2627</v>
      </c>
      <c r="B452" s="40" t="s">
        <v>2628</v>
      </c>
      <c r="C452" s="21" t="s">
        <v>249</v>
      </c>
      <c r="D452" s="21" t="s">
        <v>74</v>
      </c>
      <c r="E452" s="21" t="s">
        <v>99</v>
      </c>
      <c r="F452" s="55">
        <v>4.6161319938994107E-4</v>
      </c>
      <c r="G452" s="21">
        <v>6.5113190000000003</v>
      </c>
      <c r="H452" s="21">
        <v>7.2199439999999999</v>
      </c>
      <c r="I452" s="21">
        <v>4.1394820000000001</v>
      </c>
      <c r="J452" s="21">
        <v>5.9569150000000004</v>
      </c>
      <c r="K452" s="24">
        <v>0.65073300000000001</v>
      </c>
      <c r="L452" s="24">
        <v>2.8811019999999998</v>
      </c>
      <c r="M452" s="24">
        <v>22.519400000000001</v>
      </c>
      <c r="N452" s="24">
        <v>6.0115598552937142</v>
      </c>
      <c r="O452" s="24">
        <v>1.5384615384615385</v>
      </c>
      <c r="P452" s="24">
        <v>1.4285708523408971</v>
      </c>
      <c r="Q452" s="24">
        <v>2.49485677512543</v>
      </c>
      <c r="R452" s="24">
        <v>4.71</v>
      </c>
      <c r="S452" s="24">
        <v>3.0696127248818752</v>
      </c>
      <c r="T452" s="24">
        <v>0.5479439898183559</v>
      </c>
      <c r="U452" s="24" t="s">
        <v>4028</v>
      </c>
      <c r="V452">
        <v>0</v>
      </c>
      <c r="W452" s="21">
        <v>0</v>
      </c>
      <c r="X452" s="56" t="str">
        <f>IFERROR(VLOOKUP(A452,Output!A:F,6,0),"-")</f>
        <v>-</v>
      </c>
    </row>
    <row r="453" spans="1:24" hidden="1" x14ac:dyDescent="0.25">
      <c r="A453" s="21" t="s">
        <v>1333</v>
      </c>
      <c r="B453" s="40" t="s">
        <v>1334</v>
      </c>
      <c r="C453" s="21" t="s">
        <v>244</v>
      </c>
      <c r="D453" s="21" t="s">
        <v>73</v>
      </c>
      <c r="E453" s="21" t="s">
        <v>91</v>
      </c>
      <c r="F453" s="55">
        <v>4.608139756178592E-4</v>
      </c>
      <c r="G453" s="24">
        <v>1.813653</v>
      </c>
      <c r="H453" s="24">
        <v>4.0130150000000002</v>
      </c>
      <c r="I453" s="24">
        <v>5.6197109999999997</v>
      </c>
      <c r="J453" s="24">
        <v>4.215821</v>
      </c>
      <c r="K453" s="24">
        <v>0.1907229</v>
      </c>
      <c r="L453" s="24">
        <v>2.2202169999999999</v>
      </c>
      <c r="M453" s="24">
        <v>45.075699999999998</v>
      </c>
      <c r="N453" s="24">
        <v>3.3134339092138765</v>
      </c>
      <c r="O453" s="24">
        <v>1.5151515151515151</v>
      </c>
      <c r="P453" s="24">
        <v>9.3762993788927265</v>
      </c>
      <c r="Q453" s="24">
        <v>1.2733331413929114</v>
      </c>
      <c r="R453" s="24">
        <v>5.9</v>
      </c>
      <c r="S453" s="24">
        <v>4.0639086063742527</v>
      </c>
      <c r="T453" s="24">
        <v>1.1130459057667283</v>
      </c>
      <c r="U453" s="24" t="s">
        <v>3328</v>
      </c>
      <c r="V453">
        <v>0</v>
      </c>
      <c r="W453" s="21">
        <v>1</v>
      </c>
      <c r="X453" s="56" t="str">
        <f>IFERROR(VLOOKUP(A453,Output!A:F,6,0),"-")</f>
        <v>-</v>
      </c>
    </row>
    <row r="454" spans="1:24" hidden="1" x14ac:dyDescent="0.25">
      <c r="A454" s="21" t="s">
        <v>1770</v>
      </c>
      <c r="B454" s="40" t="s">
        <v>1771</v>
      </c>
      <c r="C454" s="21" t="s">
        <v>244</v>
      </c>
      <c r="D454" s="21" t="s">
        <v>73</v>
      </c>
      <c r="E454" s="21" t="s">
        <v>91</v>
      </c>
      <c r="F454" s="55">
        <v>4.5981323557998184E-4</v>
      </c>
      <c r="G454" s="21">
        <v>5.7255409999999998</v>
      </c>
      <c r="H454" s="21">
        <v>6.4420549999999999</v>
      </c>
      <c r="I454" s="21">
        <v>5.4628519999999998</v>
      </c>
      <c r="J454" s="21">
        <v>5.9070710000000002</v>
      </c>
      <c r="K454" s="24">
        <v>0</v>
      </c>
      <c r="L454" s="24">
        <v>6.1571030000000002</v>
      </c>
      <c r="M454" s="24">
        <v>10.0913</v>
      </c>
      <c r="N454" s="24">
        <v>0</v>
      </c>
      <c r="O454" s="24">
        <v>1.1111111111111112</v>
      </c>
      <c r="P454" s="24">
        <v>3.5446985715397146</v>
      </c>
      <c r="Q454" s="24">
        <v>7.3960406529813136</v>
      </c>
      <c r="R454" s="24" t="e">
        <v>#N/A</v>
      </c>
      <c r="S454" s="24">
        <v>4.1474872724360843</v>
      </c>
      <c r="T454" s="24">
        <v>0.7475626062424845</v>
      </c>
      <c r="U454" s="24" t="s">
        <v>3597</v>
      </c>
      <c r="V454">
        <v>0</v>
      </c>
      <c r="W454" s="21">
        <v>0</v>
      </c>
      <c r="X454" s="56" t="str">
        <f>IFERROR(VLOOKUP(A454,Output!A:F,6,0),"-")</f>
        <v>-</v>
      </c>
    </row>
    <row r="455" spans="1:24" hidden="1" x14ac:dyDescent="0.25">
      <c r="A455" s="21" t="s">
        <v>1634</v>
      </c>
      <c r="B455" s="40" t="s">
        <v>1635</v>
      </c>
      <c r="C455" s="21" t="s">
        <v>244</v>
      </c>
      <c r="D455" s="21" t="s">
        <v>73</v>
      </c>
      <c r="E455" s="21" t="s">
        <v>99</v>
      </c>
      <c r="F455" s="55">
        <v>4.5865031670013612E-4</v>
      </c>
      <c r="G455" s="24">
        <v>3.1043080000000001</v>
      </c>
      <c r="H455" s="24">
        <v>5.1908300000000001</v>
      </c>
      <c r="I455" s="24">
        <v>7.1712109999999996</v>
      </c>
      <c r="J455" s="24">
        <v>4.9503360000000001</v>
      </c>
      <c r="K455" s="24">
        <v>0</v>
      </c>
      <c r="L455" s="24">
        <v>5.2167870000000001</v>
      </c>
      <c r="M455" s="24">
        <v>497.59710000000001</v>
      </c>
      <c r="N455" s="24">
        <v>3.1846884912934872</v>
      </c>
      <c r="O455" s="24">
        <v>0.83333333333333348</v>
      </c>
      <c r="P455" s="24">
        <v>7.0447761194029859</v>
      </c>
      <c r="Q455" s="24">
        <v>7.013981388264944</v>
      </c>
      <c r="R455" s="24" t="e">
        <v>#N/A</v>
      </c>
      <c r="S455" s="24">
        <v>5.0557380287830327</v>
      </c>
      <c r="T455" s="24">
        <v>1.9901730063836114</v>
      </c>
      <c r="U455" s="24" t="s">
        <v>3390</v>
      </c>
      <c r="V455">
        <v>0</v>
      </c>
      <c r="W455" s="21">
        <v>0</v>
      </c>
      <c r="X455" s="56" t="str">
        <f>IFERROR(VLOOKUP(A455,Output!A:F,6,0),"-")</f>
        <v>-</v>
      </c>
    </row>
    <row r="456" spans="1:24" hidden="1" x14ac:dyDescent="0.25">
      <c r="A456" s="21" t="s">
        <v>1552</v>
      </c>
      <c r="B456" s="40" t="s">
        <v>1553</v>
      </c>
      <c r="C456" s="21" t="s">
        <v>244</v>
      </c>
      <c r="D456" s="21" t="s">
        <v>73</v>
      </c>
      <c r="E456" s="21" t="s">
        <v>97</v>
      </c>
      <c r="F456" s="55">
        <v>4.5804174361386689E-4</v>
      </c>
      <c r="G456" s="24">
        <v>6.9519979999999997</v>
      </c>
      <c r="H456" s="24">
        <v>4.601559</v>
      </c>
      <c r="I456" s="24">
        <v>6.223681</v>
      </c>
      <c r="J456" s="24">
        <v>6.1905830000000002</v>
      </c>
      <c r="K456" s="24">
        <v>5.7350979999999998</v>
      </c>
      <c r="L456" s="24">
        <v>8.6253390000000003</v>
      </c>
      <c r="M456" s="24">
        <v>23.5289</v>
      </c>
      <c r="N456" s="24">
        <v>6.9114394535578461</v>
      </c>
      <c r="O456" s="24">
        <v>3.7113402061855667</v>
      </c>
      <c r="P456" s="24">
        <v>6.545454545454545</v>
      </c>
      <c r="Q456" s="24">
        <v>8.4674813878353703</v>
      </c>
      <c r="R456" s="24">
        <v>6.67</v>
      </c>
      <c r="S456" s="24">
        <v>8.0225281821487862</v>
      </c>
      <c r="T456" s="24">
        <v>0.88184808718338947</v>
      </c>
      <c r="U456" s="24" t="s">
        <v>3439</v>
      </c>
      <c r="V456">
        <v>0</v>
      </c>
      <c r="W456" s="21">
        <v>0</v>
      </c>
      <c r="X456" s="56">
        <f>IFERROR(VLOOKUP(A456,Output!A:F,6,0),"-")</f>
        <v>7.4999999999999997E-3</v>
      </c>
    </row>
    <row r="457" spans="1:24" hidden="1" x14ac:dyDescent="0.25">
      <c r="A457" s="21" t="s">
        <v>1254</v>
      </c>
      <c r="B457" s="40" t="s">
        <v>1255</v>
      </c>
      <c r="C457" s="21" t="s">
        <v>245</v>
      </c>
      <c r="D457" s="21" t="s">
        <v>73</v>
      </c>
      <c r="E457" s="21" t="s">
        <v>86</v>
      </c>
      <c r="F457" s="55">
        <v>4.5634912770985071E-4</v>
      </c>
      <c r="G457" s="24">
        <v>5.3926020000000001</v>
      </c>
      <c r="H457" s="24">
        <v>3.9372090000000002</v>
      </c>
      <c r="I457" s="24">
        <v>2.7311019999999999</v>
      </c>
      <c r="J457" s="24">
        <v>4.0203049999999996</v>
      </c>
      <c r="K457" s="24">
        <v>2.6217860000000002</v>
      </c>
      <c r="L457" s="24">
        <v>4.5158759999999996</v>
      </c>
      <c r="M457" s="24">
        <v>205.69300000000001</v>
      </c>
      <c r="N457" s="24">
        <v>6.8336780389296505</v>
      </c>
      <c r="O457" s="24">
        <v>5.6701030927835046</v>
      </c>
      <c r="P457" s="24">
        <v>5.185185185185186</v>
      </c>
      <c r="Q457" s="24">
        <v>4.3404809169428633</v>
      </c>
      <c r="R457" s="24">
        <v>5.58</v>
      </c>
      <c r="S457" s="24">
        <v>5.0411019427482353</v>
      </c>
      <c r="T457" s="24">
        <v>0.29908597364880213</v>
      </c>
      <c r="U457" s="24" t="s">
        <v>3330</v>
      </c>
      <c r="V457">
        <v>0</v>
      </c>
      <c r="W457" s="21">
        <v>1</v>
      </c>
      <c r="X457" s="56" t="str">
        <f>IFERROR(VLOOKUP(A457,Output!A:F,6,0),"-")</f>
        <v>-</v>
      </c>
    </row>
    <row r="458" spans="1:24" hidden="1" x14ac:dyDescent="0.25">
      <c r="A458" s="21" t="s">
        <v>1522</v>
      </c>
      <c r="B458" s="40" t="s">
        <v>1523</v>
      </c>
      <c r="C458" s="21" t="s">
        <v>244</v>
      </c>
      <c r="D458" s="21" t="s">
        <v>73</v>
      </c>
      <c r="E458" s="21" t="s">
        <v>98</v>
      </c>
      <c r="F458" s="55">
        <v>4.553263546903411E-4</v>
      </c>
      <c r="G458" s="24">
        <v>3.2778399999999999</v>
      </c>
      <c r="H458" s="24">
        <v>2.6417419999999998</v>
      </c>
      <c r="I458" s="24">
        <v>6.1103560000000003</v>
      </c>
      <c r="J458" s="24">
        <v>4.1564069999999997</v>
      </c>
      <c r="K458" s="24">
        <v>0</v>
      </c>
      <c r="L458" s="24">
        <v>5.0332540000000003</v>
      </c>
      <c r="M458" s="24">
        <v>60.114699999999999</v>
      </c>
      <c r="N458" s="24">
        <v>3.4586154490904479</v>
      </c>
      <c r="O458" s="24">
        <v>2.8571428571428568</v>
      </c>
      <c r="P458" s="24">
        <v>3.099133755915819</v>
      </c>
      <c r="Q458" s="24">
        <v>4.3252108931596194</v>
      </c>
      <c r="R458" s="24" t="e">
        <v>#N/A</v>
      </c>
      <c r="S458" s="24">
        <v>3.3000606506745873</v>
      </c>
      <c r="T458" s="24">
        <v>0.87322974362533634</v>
      </c>
      <c r="U458" s="24" t="s">
        <v>3431</v>
      </c>
      <c r="V458">
        <v>0</v>
      </c>
      <c r="W458" s="21">
        <v>1</v>
      </c>
      <c r="X458" s="56" t="str">
        <f>IFERROR(VLOOKUP(A458,Output!A:F,6,0),"-")</f>
        <v>-</v>
      </c>
    </row>
    <row r="459" spans="1:24" hidden="1" x14ac:dyDescent="0.25">
      <c r="A459" s="21" t="s">
        <v>1503</v>
      </c>
      <c r="B459" s="40" t="s">
        <v>1504</v>
      </c>
      <c r="C459" s="21" t="s">
        <v>245</v>
      </c>
      <c r="D459" s="21" t="s">
        <v>73</v>
      </c>
      <c r="E459" s="21" t="s">
        <v>86</v>
      </c>
      <c r="F459" s="55">
        <v>4.5531025753481081E-4</v>
      </c>
      <c r="G459" s="24">
        <v>5.5260740000000004</v>
      </c>
      <c r="H459" s="24">
        <v>5.3092839999999999</v>
      </c>
      <c r="I459" s="24">
        <v>6.3007030000000004</v>
      </c>
      <c r="J459" s="24">
        <v>5.7120199999999999</v>
      </c>
      <c r="K459" s="24">
        <v>2.5275829999999999</v>
      </c>
      <c r="L459" s="24">
        <v>5.4098240000000004</v>
      </c>
      <c r="M459" s="24">
        <v>702.19320000000005</v>
      </c>
      <c r="N459" s="24">
        <v>4.6280999291373917</v>
      </c>
      <c r="O459" s="24">
        <v>1.0309278350515463</v>
      </c>
      <c r="P459" s="24">
        <v>4.481481481481481</v>
      </c>
      <c r="Q459" s="24">
        <v>6.319369416281555</v>
      </c>
      <c r="R459" s="24">
        <v>6.48</v>
      </c>
      <c r="S459" s="24">
        <v>4.9685662531829973</v>
      </c>
      <c r="T459" s="24">
        <v>0.28022810635621087</v>
      </c>
      <c r="U459" s="24" t="s">
        <v>3417</v>
      </c>
      <c r="V459">
        <v>0</v>
      </c>
      <c r="W459" s="21">
        <v>0</v>
      </c>
      <c r="X459" s="56" t="str">
        <f>IFERROR(VLOOKUP(A459,Output!A:F,6,0),"-")</f>
        <v>-</v>
      </c>
    </row>
    <row r="460" spans="1:24" hidden="1" x14ac:dyDescent="0.25">
      <c r="A460" s="21" t="s">
        <v>1588</v>
      </c>
      <c r="B460" s="40" t="s">
        <v>1589</v>
      </c>
      <c r="C460" s="21" t="s">
        <v>244</v>
      </c>
      <c r="D460" s="21" t="s">
        <v>73</v>
      </c>
      <c r="E460" s="21" t="s">
        <v>92</v>
      </c>
      <c r="F460" s="55">
        <v>4.5372247435618594E-4</v>
      </c>
      <c r="G460" s="24">
        <v>5.3306769999999997</v>
      </c>
      <c r="H460" s="24">
        <v>4.8168430000000004</v>
      </c>
      <c r="I460" s="24">
        <v>4.9885539999999997</v>
      </c>
      <c r="J460" s="24">
        <v>4.9882939999999998</v>
      </c>
      <c r="K460" s="24">
        <v>0</v>
      </c>
      <c r="L460" s="24">
        <v>3.3761450000000002</v>
      </c>
      <c r="M460" s="24">
        <v>19.370899999999999</v>
      </c>
      <c r="N460" s="24">
        <v>3.4919502840909096</v>
      </c>
      <c r="O460" s="24">
        <v>3.6363636363636367</v>
      </c>
      <c r="P460" s="24">
        <v>8.5272910462315519</v>
      </c>
      <c r="Q460" s="24">
        <v>1.3952747544465092</v>
      </c>
      <c r="R460" s="24" t="e">
        <v>#N/A</v>
      </c>
      <c r="S460" s="24">
        <v>3.7701052306710423</v>
      </c>
      <c r="T460" s="24">
        <v>0.97812501650505645</v>
      </c>
      <c r="U460" s="24" t="s">
        <v>3408</v>
      </c>
      <c r="V460">
        <v>0</v>
      </c>
      <c r="W460" s="21">
        <v>0</v>
      </c>
      <c r="X460" s="56" t="str">
        <f>IFERROR(VLOOKUP(A460,Output!A:F,6,0),"-")</f>
        <v>-</v>
      </c>
    </row>
    <row r="461" spans="1:24" hidden="1" x14ac:dyDescent="0.25">
      <c r="A461" s="21" t="s">
        <v>1419</v>
      </c>
      <c r="B461" s="40" t="s">
        <v>1420</v>
      </c>
      <c r="C461" s="21" t="s">
        <v>244</v>
      </c>
      <c r="D461" s="21" t="s">
        <v>73</v>
      </c>
      <c r="E461" s="21" t="s">
        <v>99</v>
      </c>
      <c r="F461" s="55">
        <v>4.5098032391159099E-4</v>
      </c>
      <c r="G461" s="24">
        <v>3.8714909999999998</v>
      </c>
      <c r="H461" s="24">
        <v>4.6093760000000001</v>
      </c>
      <c r="I461" s="24">
        <v>7.4606659999999998</v>
      </c>
      <c r="J461" s="24">
        <v>5.3138439999999996</v>
      </c>
      <c r="K461" s="24">
        <v>0</v>
      </c>
      <c r="L461" s="24">
        <v>2.7072340000000001</v>
      </c>
      <c r="M461" s="24">
        <v>8.7721</v>
      </c>
      <c r="N461" s="24">
        <v>4.1120756994534871</v>
      </c>
      <c r="O461" s="24">
        <v>3.229166666666667</v>
      </c>
      <c r="P461" s="24">
        <v>4.6268656716417915</v>
      </c>
      <c r="Q461" s="24">
        <v>3.1496762608858968</v>
      </c>
      <c r="R461" s="24" t="e">
        <v>#N/A</v>
      </c>
      <c r="S461" s="24">
        <v>3.749760405134511</v>
      </c>
      <c r="T461" s="24">
        <v>1.4599623026327075</v>
      </c>
      <c r="U461" s="24" t="s">
        <v>3315</v>
      </c>
      <c r="V461">
        <v>0</v>
      </c>
      <c r="W461" s="21">
        <v>0</v>
      </c>
      <c r="X461" s="56" t="str">
        <f>IFERROR(VLOOKUP(A461,Output!A:F,6,0),"-")</f>
        <v>-</v>
      </c>
    </row>
    <row r="462" spans="1:24" hidden="1" x14ac:dyDescent="0.25">
      <c r="A462" s="21" t="s">
        <v>2488</v>
      </c>
      <c r="B462" s="40" t="s">
        <v>2489</v>
      </c>
      <c r="C462" s="21" t="s">
        <v>298</v>
      </c>
      <c r="D462" s="21" t="s">
        <v>74</v>
      </c>
      <c r="E462" s="21" t="s">
        <v>98</v>
      </c>
      <c r="F462" s="55">
        <v>4.4964858611312079E-4</v>
      </c>
      <c r="G462" s="21">
        <v>4.3790199999999997</v>
      </c>
      <c r="H462" s="21">
        <v>6.1035209999999998</v>
      </c>
      <c r="I462" s="21">
        <v>7.3383260000000003</v>
      </c>
      <c r="J462" s="21">
        <v>6.252542</v>
      </c>
      <c r="K462" s="24">
        <v>4.0720689999999999</v>
      </c>
      <c r="L462" s="24">
        <v>9.6619309999999992</v>
      </c>
      <c r="M462" s="24">
        <v>45.978200000000001</v>
      </c>
      <c r="N462" s="24">
        <v>5.6629067761601206</v>
      </c>
      <c r="O462" s="24">
        <v>3.5789473684210527</v>
      </c>
      <c r="P462" s="24">
        <v>6.0851063829787231</v>
      </c>
      <c r="Q462" s="24">
        <v>9.0621565228697563</v>
      </c>
      <c r="R462" s="24">
        <v>6.46</v>
      </c>
      <c r="S462" s="24">
        <v>7.4565003601520932</v>
      </c>
      <c r="T462" s="24">
        <v>-1.7881086929901892E-2</v>
      </c>
      <c r="U462" s="24" t="s">
        <v>3945</v>
      </c>
      <c r="V462">
        <v>0</v>
      </c>
      <c r="W462" s="21">
        <v>0</v>
      </c>
      <c r="X462" s="56">
        <f>IFERROR(VLOOKUP(A462,Output!A:F,6,0),"-")</f>
        <v>5.0000000000000001E-3</v>
      </c>
    </row>
    <row r="463" spans="1:24" hidden="1" x14ac:dyDescent="0.25">
      <c r="A463" s="21" t="s">
        <v>148</v>
      </c>
      <c r="B463" s="40" t="s">
        <v>4538</v>
      </c>
      <c r="C463" s="21" t="s">
        <v>250</v>
      </c>
      <c r="D463" s="21" t="s">
        <v>76</v>
      </c>
      <c r="E463" s="21" t="s">
        <v>86</v>
      </c>
      <c r="F463" s="55">
        <v>4.48698552115164E-4</v>
      </c>
      <c r="G463" s="24">
        <v>6.0981839999999998</v>
      </c>
      <c r="H463" s="24">
        <v>7.2244060000000001</v>
      </c>
      <c r="I463" s="24">
        <v>5.9457690000000003</v>
      </c>
      <c r="J463" s="24">
        <v>6.4227860000000003</v>
      </c>
      <c r="K463" s="24">
        <v>8.9683639999999993</v>
      </c>
      <c r="L463" s="24">
        <v>14.29161</v>
      </c>
      <c r="M463" s="24">
        <v>118.40049999999999</v>
      </c>
      <c r="N463" s="24">
        <v>9.6680505673112993</v>
      </c>
      <c r="O463" s="24">
        <v>10</v>
      </c>
      <c r="P463" s="24">
        <v>7.807017543859649</v>
      </c>
      <c r="Q463" s="24">
        <v>9.3311539918031183</v>
      </c>
      <c r="R463" s="24">
        <v>8.57</v>
      </c>
      <c r="S463" s="24">
        <v>8.4744708279997223</v>
      </c>
      <c r="T463" s="24">
        <v>0.84553982665983796</v>
      </c>
      <c r="U463" s="24" t="s">
        <v>2862</v>
      </c>
      <c r="V463">
        <v>0</v>
      </c>
      <c r="W463" s="21">
        <v>0</v>
      </c>
      <c r="X463" s="56">
        <f>IFERROR(VLOOKUP(A463,Output!A:F,6,0),"-")</f>
        <v>5.0000000000000001E-3</v>
      </c>
    </row>
    <row r="464" spans="1:24" hidden="1" x14ac:dyDescent="0.25">
      <c r="A464" s="21" t="s">
        <v>1214</v>
      </c>
      <c r="B464" s="40" t="s">
        <v>1215</v>
      </c>
      <c r="C464" s="21" t="s">
        <v>244</v>
      </c>
      <c r="D464" s="21" t="s">
        <v>73</v>
      </c>
      <c r="E464" s="21" t="s">
        <v>99</v>
      </c>
      <c r="F464" s="55">
        <v>4.4837972782844101E-4</v>
      </c>
      <c r="G464" s="24">
        <v>7.0322149999999999</v>
      </c>
      <c r="H464" s="24">
        <v>4.8310979999999999</v>
      </c>
      <c r="I464" s="24">
        <v>5.6328329999999998</v>
      </c>
      <c r="J464" s="24">
        <v>5.8320489999999996</v>
      </c>
      <c r="K464" s="24">
        <v>0</v>
      </c>
      <c r="L464" s="24">
        <v>1.232048</v>
      </c>
      <c r="M464" s="24">
        <v>12.1881</v>
      </c>
      <c r="N464" s="24">
        <v>5.402525682914419</v>
      </c>
      <c r="O464" s="24">
        <v>7.7083333333333339</v>
      </c>
      <c r="P464" s="24">
        <v>3.1044776119402986</v>
      </c>
      <c r="Q464" s="24">
        <v>1.7666681101559814</v>
      </c>
      <c r="R464" s="24" t="e">
        <v>#N/A</v>
      </c>
      <c r="S464" s="24">
        <v>2.8212574237113954</v>
      </c>
      <c r="T464" s="24">
        <v>1.6007115709855968</v>
      </c>
      <c r="U464" s="24" t="s">
        <v>3216</v>
      </c>
      <c r="V464">
        <v>0</v>
      </c>
      <c r="W464" s="21">
        <v>0</v>
      </c>
      <c r="X464" s="56" t="str">
        <f>IFERROR(VLOOKUP(A464,Output!A:F,6,0),"-")</f>
        <v>-</v>
      </c>
    </row>
    <row r="465" spans="1:24" hidden="1" x14ac:dyDescent="0.25">
      <c r="A465" s="21" t="s">
        <v>2401</v>
      </c>
      <c r="B465" s="40" t="s">
        <v>2402</v>
      </c>
      <c r="C465" s="21" t="s">
        <v>256</v>
      </c>
      <c r="D465" s="21" t="s">
        <v>74</v>
      </c>
      <c r="E465" s="21" t="s">
        <v>99</v>
      </c>
      <c r="F465" s="55">
        <v>4.4535849294983864E-4</v>
      </c>
      <c r="G465" s="24">
        <v>7.7694070000000002</v>
      </c>
      <c r="H465" s="24">
        <v>6.2146679999999996</v>
      </c>
      <c r="I465" s="24">
        <v>7.7211319999999999</v>
      </c>
      <c r="J465" s="24">
        <v>7.1282009999999998</v>
      </c>
      <c r="K465" s="24">
        <v>2.3663889999999999</v>
      </c>
      <c r="L465" s="24">
        <v>4.4574160000000003</v>
      </c>
      <c r="M465" s="24">
        <v>19.1328</v>
      </c>
      <c r="N465" s="24">
        <v>5.7803469848338374</v>
      </c>
      <c r="O465" s="24">
        <v>0.98901098901098905</v>
      </c>
      <c r="P465" s="24">
        <v>4.9075626828613581</v>
      </c>
      <c r="Q465" s="24">
        <v>7.3480140762800676</v>
      </c>
      <c r="R465" s="24">
        <v>6.65</v>
      </c>
      <c r="S465" s="24">
        <v>6.8047220024161517</v>
      </c>
      <c r="T465" s="24">
        <v>0.52320976585777845</v>
      </c>
      <c r="U465" s="24" t="s">
        <v>3927</v>
      </c>
      <c r="V465">
        <v>0</v>
      </c>
      <c r="W465" s="21">
        <v>0</v>
      </c>
      <c r="X465" s="56">
        <f>IFERROR(VLOOKUP(A465,Output!A:F,6,0),"-")</f>
        <v>5.0000000000000001E-3</v>
      </c>
    </row>
    <row r="466" spans="1:24" hidden="1" x14ac:dyDescent="0.25">
      <c r="A466" s="21" t="s">
        <v>1505</v>
      </c>
      <c r="B466" s="40" t="s">
        <v>1506</v>
      </c>
      <c r="C466" s="21" t="s">
        <v>245</v>
      </c>
      <c r="D466" s="21" t="s">
        <v>73</v>
      </c>
      <c r="E466" s="21" t="s">
        <v>95</v>
      </c>
      <c r="F466" s="55">
        <v>4.4132172877171528E-4</v>
      </c>
      <c r="G466" s="24">
        <v>5.1411699999999998</v>
      </c>
      <c r="H466" s="24">
        <v>3.0554929999999998</v>
      </c>
      <c r="I466" s="24">
        <v>4.3313610000000002</v>
      </c>
      <c r="J466" s="24">
        <v>4.4810910000000002</v>
      </c>
      <c r="K466" s="24">
        <v>2.100444</v>
      </c>
      <c r="L466" s="24">
        <v>11.39293</v>
      </c>
      <c r="M466" s="24">
        <v>541.4511</v>
      </c>
      <c r="N466" s="24">
        <v>7.9251480284342488</v>
      </c>
      <c r="O466" s="24">
        <v>1.1340206185567008</v>
      </c>
      <c r="P466" s="24">
        <v>4.5819397993311028</v>
      </c>
      <c r="Q466" s="24">
        <v>9.2131988748578593</v>
      </c>
      <c r="R466" s="24">
        <v>4.18</v>
      </c>
      <c r="S466" s="24">
        <v>5.9566366826525874</v>
      </c>
      <c r="T466" s="24">
        <v>0.65067914064509713</v>
      </c>
      <c r="U466" s="24" t="s">
        <v>3394</v>
      </c>
      <c r="V466">
        <v>1</v>
      </c>
      <c r="W466" s="21">
        <v>1</v>
      </c>
      <c r="X466" s="56" t="str">
        <f>IFERROR(VLOOKUP(A466,Output!A:F,6,0),"-")</f>
        <v>-</v>
      </c>
    </row>
    <row r="467" spans="1:24" hidden="1" x14ac:dyDescent="0.25">
      <c r="A467" s="21" t="s">
        <v>2537</v>
      </c>
      <c r="B467" s="40" t="s">
        <v>2538</v>
      </c>
      <c r="C467" s="21" t="s">
        <v>249</v>
      </c>
      <c r="D467" s="21" t="s">
        <v>74</v>
      </c>
      <c r="E467" s="21" t="s">
        <v>99</v>
      </c>
      <c r="F467" s="55">
        <v>4.3962357947048558E-4</v>
      </c>
      <c r="G467" s="21">
        <v>5.0170009999999996</v>
      </c>
      <c r="H467" s="21">
        <v>5.7191150000000004</v>
      </c>
      <c r="I467" s="21">
        <v>6.1132559999999998</v>
      </c>
      <c r="J467" s="21">
        <v>5.5565119999999997</v>
      </c>
      <c r="K467" s="24">
        <v>0.62937449999999995</v>
      </c>
      <c r="L467" s="24">
        <v>6.5600750000000003</v>
      </c>
      <c r="M467" s="24">
        <v>112.413</v>
      </c>
      <c r="N467" s="24">
        <v>1.8759856807116504</v>
      </c>
      <c r="O467" s="24">
        <v>0</v>
      </c>
      <c r="P467" s="24">
        <v>8.7394957135795437</v>
      </c>
      <c r="Q467" s="24">
        <v>10</v>
      </c>
      <c r="R467" s="24">
        <v>3.17</v>
      </c>
      <c r="S467" s="24">
        <v>6.8368601049999063</v>
      </c>
      <c r="T467" s="24">
        <v>0.97347416613637505</v>
      </c>
      <c r="U467" s="24" t="s">
        <v>2850</v>
      </c>
      <c r="V467">
        <v>0</v>
      </c>
      <c r="W467" s="21">
        <v>0</v>
      </c>
      <c r="X467" s="56">
        <f>IFERROR(VLOOKUP(A467,Output!A:F,6,0),"-")</f>
        <v>2E-3</v>
      </c>
    </row>
    <row r="468" spans="1:24" hidden="1" x14ac:dyDescent="0.25">
      <c r="A468" s="21" t="s">
        <v>285</v>
      </c>
      <c r="B468" s="40" t="s">
        <v>286</v>
      </c>
      <c r="C468" s="21" t="s">
        <v>244</v>
      </c>
      <c r="D468" s="21" t="s">
        <v>73</v>
      </c>
      <c r="E468" s="21" t="s">
        <v>98</v>
      </c>
      <c r="F468" s="55">
        <v>4.3954782223227081E-4</v>
      </c>
      <c r="G468" s="24">
        <v>6.546443</v>
      </c>
      <c r="H468" s="24">
        <v>4.0658459999999996</v>
      </c>
      <c r="I468" s="24">
        <v>6.6501320000000002</v>
      </c>
      <c r="J468" s="24">
        <v>5.5956799999999998</v>
      </c>
      <c r="K468" s="24">
        <v>1.7155039999999999</v>
      </c>
      <c r="L468" s="24">
        <v>4.8786649999999998</v>
      </c>
      <c r="M468" s="24">
        <v>21.003499999999999</v>
      </c>
      <c r="N468" s="24">
        <v>4.9556600431858193</v>
      </c>
      <c r="O468" s="24">
        <v>3.3673469387755093</v>
      </c>
      <c r="P468" s="24">
        <v>7.6900866128588516</v>
      </c>
      <c r="Q468" s="24">
        <v>3.3654057013754528</v>
      </c>
      <c r="R468" s="24">
        <v>6.85</v>
      </c>
      <c r="S468" s="24">
        <v>6.0346191639666937</v>
      </c>
      <c r="T468" s="24">
        <v>0.78407758534271055</v>
      </c>
      <c r="U468" s="24" t="s">
        <v>3307</v>
      </c>
      <c r="V468">
        <v>0</v>
      </c>
      <c r="W468" s="21">
        <v>0</v>
      </c>
      <c r="X468" s="56" t="str">
        <f>IFERROR(VLOOKUP(A468,Output!A:F,6,0),"-")</f>
        <v>-</v>
      </c>
    </row>
    <row r="469" spans="1:24" hidden="1" x14ac:dyDescent="0.25">
      <c r="A469" s="21" t="s">
        <v>1128</v>
      </c>
      <c r="B469" s="40" t="s">
        <v>1129</v>
      </c>
      <c r="C469" s="21" t="s">
        <v>244</v>
      </c>
      <c r="D469" s="21" t="s">
        <v>73</v>
      </c>
      <c r="E469" s="21" t="s">
        <v>91</v>
      </c>
      <c r="F469" s="55">
        <v>4.382675953314978E-4</v>
      </c>
      <c r="G469" s="24">
        <v>6.1208619999999998</v>
      </c>
      <c r="H469" s="24">
        <v>5.187468</v>
      </c>
      <c r="I469" s="24">
        <v>6.1060610000000004</v>
      </c>
      <c r="J469" s="24">
        <v>5.7415839999999996</v>
      </c>
      <c r="K469" s="24">
        <v>1.8233889999999999</v>
      </c>
      <c r="L469" s="24">
        <v>7.8196469999999998</v>
      </c>
      <c r="M469" s="24">
        <v>1.2747999999999999</v>
      </c>
      <c r="N469" s="24">
        <v>9.2307683829374625</v>
      </c>
      <c r="O469" s="24">
        <v>9.7979797979797958</v>
      </c>
      <c r="P469" s="24">
        <v>6.7775459593449234</v>
      </c>
      <c r="Q469" s="24">
        <v>9.0565168571675354</v>
      </c>
      <c r="R469" s="24">
        <v>6.44</v>
      </c>
      <c r="S469" s="24">
        <v>7.8972640837112307</v>
      </c>
      <c r="T469" s="24">
        <v>0.45035470842405956</v>
      </c>
      <c r="U469" s="24" t="s">
        <v>3235</v>
      </c>
      <c r="V469">
        <v>0</v>
      </c>
      <c r="W469" s="21">
        <v>0</v>
      </c>
      <c r="X469" s="56">
        <f>IFERROR(VLOOKUP(A469,Output!A:F,6,0),"-")</f>
        <v>2E-3</v>
      </c>
    </row>
    <row r="470" spans="1:24" hidden="1" x14ac:dyDescent="0.25">
      <c r="A470" s="21" t="s">
        <v>1230</v>
      </c>
      <c r="B470" s="40" t="s">
        <v>1231</v>
      </c>
      <c r="C470" s="21" t="s">
        <v>244</v>
      </c>
      <c r="D470" s="21" t="s">
        <v>73</v>
      </c>
      <c r="E470" s="21" t="s">
        <v>97</v>
      </c>
      <c r="F470" s="55">
        <v>4.3821195953769597E-4</v>
      </c>
      <c r="G470" s="21">
        <v>7.4749670000000004</v>
      </c>
      <c r="H470" s="21">
        <v>5.4420570000000001</v>
      </c>
      <c r="I470" s="21">
        <v>8.5938999999999997</v>
      </c>
      <c r="J470" s="21">
        <v>7.5159580000000004</v>
      </c>
      <c r="K470" s="24">
        <v>0</v>
      </c>
      <c r="L470" s="24">
        <v>4.9592029999999996</v>
      </c>
      <c r="M470" s="24">
        <v>2.7092999999999998</v>
      </c>
      <c r="N470" s="24">
        <v>7.9482940679382743</v>
      </c>
      <c r="O470" s="24">
        <v>8.6597938144329891</v>
      </c>
      <c r="P470" s="24">
        <v>7.6363636363636376</v>
      </c>
      <c r="Q470" s="24">
        <v>6.9953645174884107</v>
      </c>
      <c r="R470" s="24" t="e">
        <v>#N/A</v>
      </c>
      <c r="S470" s="24">
        <v>6.050292290278807</v>
      </c>
      <c r="T470" s="24">
        <v>1.3816209116043285</v>
      </c>
      <c r="U470" s="24" t="s">
        <v>3261</v>
      </c>
      <c r="V470">
        <v>0</v>
      </c>
      <c r="W470" s="21">
        <v>0</v>
      </c>
      <c r="X470" s="56" t="str">
        <f>IFERROR(VLOOKUP(A470,Output!A:F,6,0),"-")</f>
        <v>-</v>
      </c>
    </row>
    <row r="471" spans="1:24" hidden="1" x14ac:dyDescent="0.25">
      <c r="A471" s="21" t="s">
        <v>1077</v>
      </c>
      <c r="B471" s="40" t="s">
        <v>1078</v>
      </c>
      <c r="C471" s="21" t="s">
        <v>244</v>
      </c>
      <c r="D471" s="21" t="s">
        <v>73</v>
      </c>
      <c r="E471" s="21" t="s">
        <v>99</v>
      </c>
      <c r="F471" s="55">
        <v>4.3795681962254001E-4</v>
      </c>
      <c r="G471" s="21">
        <v>4.1680289999999998</v>
      </c>
      <c r="H471" s="21">
        <v>3.8362669999999999</v>
      </c>
      <c r="I471" s="21">
        <v>5.4215799999999996</v>
      </c>
      <c r="J471" s="21">
        <v>4.4752919999999996</v>
      </c>
      <c r="K471" s="24">
        <v>0</v>
      </c>
      <c r="L471" s="24">
        <v>0.72050700000000001</v>
      </c>
      <c r="M471" s="24">
        <v>20.8521</v>
      </c>
      <c r="N471" s="24">
        <v>5.6333871849555788</v>
      </c>
      <c r="O471" s="24">
        <v>8.6458333333333321</v>
      </c>
      <c r="P471" s="24">
        <v>0.91542328358208958</v>
      </c>
      <c r="Q471" s="24">
        <v>0.83876640903209387</v>
      </c>
      <c r="R471" s="24" t="e">
        <v>#N/A</v>
      </c>
      <c r="S471" s="24">
        <v>1.3512740321085568</v>
      </c>
      <c r="T471" s="24">
        <v>2.8094126579472674</v>
      </c>
      <c r="U471" s="24" t="s">
        <v>3049</v>
      </c>
      <c r="V471">
        <v>0</v>
      </c>
      <c r="W471" s="21">
        <v>1</v>
      </c>
      <c r="X471" s="56" t="str">
        <f>IFERROR(VLOOKUP(A471,Output!A:F,6,0),"-")</f>
        <v>-</v>
      </c>
    </row>
    <row r="472" spans="1:24" hidden="1" x14ac:dyDescent="0.25">
      <c r="A472" s="21" t="s">
        <v>373</v>
      </c>
      <c r="B472" s="40" t="s">
        <v>843</v>
      </c>
      <c r="C472" s="21" t="s">
        <v>249</v>
      </c>
      <c r="D472" s="21" t="s">
        <v>74</v>
      </c>
      <c r="E472" s="21" t="s">
        <v>96</v>
      </c>
      <c r="F472" s="55">
        <v>4.3773991045176853E-4</v>
      </c>
      <c r="G472" s="24">
        <v>6.048813</v>
      </c>
      <c r="H472" s="24">
        <v>7.46617</v>
      </c>
      <c r="I472" s="24">
        <v>5.3254149999999996</v>
      </c>
      <c r="J472" s="24">
        <v>6.280132</v>
      </c>
      <c r="K472" s="24">
        <v>3.4929679999999999</v>
      </c>
      <c r="L472" s="24">
        <v>5.6749039999999997</v>
      </c>
      <c r="M472" s="24">
        <v>6.1502999999999997</v>
      </c>
      <c r="N472" s="24">
        <v>4.9807123223573955</v>
      </c>
      <c r="O472" s="24">
        <v>0.50505050505050508</v>
      </c>
      <c r="P472" s="24">
        <v>5.1632047477744809</v>
      </c>
      <c r="Q472" s="24">
        <v>4.1603313195044764</v>
      </c>
      <c r="R472" s="24">
        <v>5.53</v>
      </c>
      <c r="S472" s="24">
        <v>4.2706459186942558</v>
      </c>
      <c r="T472" s="24">
        <v>0.44357711412310286</v>
      </c>
      <c r="U472" s="24" t="s">
        <v>2879</v>
      </c>
      <c r="V472">
        <v>0</v>
      </c>
      <c r="W472" s="21">
        <v>0</v>
      </c>
      <c r="X472" s="56" t="str">
        <f>IFERROR(VLOOKUP(A472,Output!A:F,6,0),"-")</f>
        <v>-</v>
      </c>
    </row>
    <row r="473" spans="1:24" hidden="1" x14ac:dyDescent="0.25">
      <c r="A473" s="21" t="s">
        <v>1431</v>
      </c>
      <c r="B473" s="40" t="s">
        <v>1432</v>
      </c>
      <c r="C473" s="21" t="s">
        <v>244</v>
      </c>
      <c r="D473" s="21" t="s">
        <v>73</v>
      </c>
      <c r="E473" s="21" t="s">
        <v>99</v>
      </c>
      <c r="F473" s="55">
        <v>4.3339558999579348E-4</v>
      </c>
      <c r="G473" s="24">
        <v>7.4870660000000004</v>
      </c>
      <c r="H473" s="24">
        <v>7.1658540000000004</v>
      </c>
      <c r="I473" s="24">
        <v>6.7407690000000002</v>
      </c>
      <c r="J473" s="24">
        <v>7.1668130000000003</v>
      </c>
      <c r="K473" s="24">
        <v>3.7447710000000001</v>
      </c>
      <c r="L473" s="24">
        <v>12.748699999999999</v>
      </c>
      <c r="M473" s="24">
        <v>4.6989999999999998</v>
      </c>
      <c r="N473" s="24">
        <v>1.6811366757013946</v>
      </c>
      <c r="O473" s="24">
        <v>1.875</v>
      </c>
      <c r="P473" s="24">
        <v>5.3333337313432843</v>
      </c>
      <c r="Q473" s="24">
        <v>10</v>
      </c>
      <c r="R473" s="24">
        <v>7.89</v>
      </c>
      <c r="S473" s="24">
        <v>7.4416683641966612</v>
      </c>
      <c r="T473" s="24">
        <v>1.0741617710139426</v>
      </c>
      <c r="U473" s="24" t="s">
        <v>3363</v>
      </c>
      <c r="V473">
        <v>0</v>
      </c>
      <c r="W473" s="21">
        <v>0</v>
      </c>
      <c r="X473" s="56">
        <f>IFERROR(VLOOKUP(A473,Output!A:F,6,0),"-")</f>
        <v>7.4999999999999564E-3</v>
      </c>
    </row>
    <row r="474" spans="1:24" x14ac:dyDescent="0.25">
      <c r="A474" s="21" t="s">
        <v>2109</v>
      </c>
      <c r="B474" s="40" t="s">
        <v>2110</v>
      </c>
      <c r="C474" s="21" t="s">
        <v>248</v>
      </c>
      <c r="D474" s="21" t="s">
        <v>75</v>
      </c>
      <c r="E474" s="21" t="s">
        <v>97</v>
      </c>
      <c r="F474" s="55">
        <v>4.3286046018163143E-4</v>
      </c>
      <c r="G474" s="24">
        <v>5.7559040000000001</v>
      </c>
      <c r="H474" s="24">
        <v>7.8187899999999999</v>
      </c>
      <c r="I474" s="24">
        <v>5.5247270000000004</v>
      </c>
      <c r="J474" s="24">
        <v>6.0760100000000001</v>
      </c>
      <c r="K474" s="24">
        <v>1.4691240000000001</v>
      </c>
      <c r="L474" s="24">
        <v>8.4990450000000006</v>
      </c>
      <c r="M474" s="24">
        <v>38.581099999999999</v>
      </c>
      <c r="N474" s="24">
        <v>6.8101441441441457</v>
      </c>
      <c r="O474" s="24">
        <v>9.3406593406593394</v>
      </c>
      <c r="P474" s="24">
        <v>6.0593220338983045</v>
      </c>
      <c r="Q474" s="24">
        <v>5.9052813895723393</v>
      </c>
      <c r="R474" s="24">
        <v>3.52</v>
      </c>
      <c r="S474" s="24">
        <v>5.2435340069530572</v>
      </c>
      <c r="T474" s="24">
        <v>0.38105494888595226</v>
      </c>
      <c r="U474" s="24" t="s">
        <v>3719</v>
      </c>
      <c r="V474">
        <v>0</v>
      </c>
      <c r="W474" s="21">
        <v>0</v>
      </c>
      <c r="X474" s="56" t="str">
        <f>IFERROR(VLOOKUP(A474,Output!A:F,6,0),"-")</f>
        <v>-</v>
      </c>
    </row>
    <row r="475" spans="1:24" hidden="1" x14ac:dyDescent="0.25">
      <c r="A475" s="21" t="s">
        <v>2307</v>
      </c>
      <c r="B475" s="40" t="s">
        <v>2308</v>
      </c>
      <c r="C475" s="21" t="s">
        <v>247</v>
      </c>
      <c r="D475" s="21" t="s">
        <v>74</v>
      </c>
      <c r="E475" s="21" t="s">
        <v>98</v>
      </c>
      <c r="F475" s="55">
        <v>4.3245159243116054E-4</v>
      </c>
      <c r="G475" s="24">
        <v>6.4336019999999996</v>
      </c>
      <c r="H475" s="24">
        <v>3.5691890000000002</v>
      </c>
      <c r="I475" s="24">
        <v>7.6132850000000003</v>
      </c>
      <c r="J475" s="24">
        <v>5.7597100000000001</v>
      </c>
      <c r="K475" s="24">
        <v>3.9086940000000001</v>
      </c>
      <c r="L475" s="24">
        <v>9.993525</v>
      </c>
      <c r="M475" s="24">
        <v>26.302900000000001</v>
      </c>
      <c r="N475" s="24">
        <v>6.4142033778849967</v>
      </c>
      <c r="O475" s="24">
        <v>8.4210526315789469</v>
      </c>
      <c r="P475" s="24">
        <v>5.0212765957446814</v>
      </c>
      <c r="Q475" s="24">
        <v>8.6837653674554929</v>
      </c>
      <c r="R475" s="24">
        <v>6.3600009999999996</v>
      </c>
      <c r="S475" s="24">
        <v>7.3322303531207442</v>
      </c>
      <c r="T475" s="24">
        <v>9.042196808045265E-2</v>
      </c>
      <c r="U475" s="24" t="s">
        <v>3863</v>
      </c>
      <c r="V475">
        <v>0</v>
      </c>
      <c r="W475" s="21">
        <v>0</v>
      </c>
      <c r="X475" s="56">
        <f>IFERROR(VLOOKUP(A475,Output!A:F,6,0),"-")</f>
        <v>4.9999999999999446E-3</v>
      </c>
    </row>
    <row r="476" spans="1:24" hidden="1" x14ac:dyDescent="0.25">
      <c r="A476" s="21" t="s">
        <v>1648</v>
      </c>
      <c r="B476" s="40" t="s">
        <v>1649</v>
      </c>
      <c r="C476" s="21" t="s">
        <v>245</v>
      </c>
      <c r="D476" s="21" t="s">
        <v>73</v>
      </c>
      <c r="E476" s="21" t="s">
        <v>87</v>
      </c>
      <c r="F476" s="55">
        <v>4.2903436752651157E-4</v>
      </c>
      <c r="G476" s="24">
        <v>4.0016239999999996</v>
      </c>
      <c r="H476" s="24">
        <v>4.3418130000000001</v>
      </c>
      <c r="I476" s="24">
        <v>5.0920379999999996</v>
      </c>
      <c r="J476" s="24">
        <v>4.478491</v>
      </c>
      <c r="K476" s="24">
        <v>3.7509980000000001</v>
      </c>
      <c r="L476" s="24">
        <v>7.1468569999999998</v>
      </c>
      <c r="M476" s="24">
        <v>582.47929999999997</v>
      </c>
      <c r="N476" s="24">
        <v>5.37448323215306</v>
      </c>
      <c r="O476" s="24">
        <v>0.30927835051546393</v>
      </c>
      <c r="P476" s="24">
        <v>3.8518518518518521</v>
      </c>
      <c r="Q476" s="24">
        <v>8.6253118057824611</v>
      </c>
      <c r="R476" s="24">
        <v>7.11</v>
      </c>
      <c r="S476" s="24">
        <v>6.2132352991619575</v>
      </c>
      <c r="T476" s="24">
        <v>0.87959988103602038</v>
      </c>
      <c r="U476" s="24" t="s">
        <v>2813</v>
      </c>
      <c r="V476">
        <v>0</v>
      </c>
      <c r="W476" s="21">
        <v>1</v>
      </c>
      <c r="X476" s="56" t="str">
        <f>IFERROR(VLOOKUP(A476,Output!A:F,6,0),"-")</f>
        <v>-</v>
      </c>
    </row>
    <row r="477" spans="1:24" hidden="1" x14ac:dyDescent="0.25">
      <c r="A477" s="21" t="s">
        <v>1369</v>
      </c>
      <c r="B477" s="40" t="s">
        <v>1370</v>
      </c>
      <c r="C477" s="21" t="s">
        <v>244</v>
      </c>
      <c r="D477" s="21" t="s">
        <v>73</v>
      </c>
      <c r="E477" s="21" t="s">
        <v>91</v>
      </c>
      <c r="F477" s="55">
        <v>4.2779066104734799E-4</v>
      </c>
      <c r="G477" s="24">
        <v>5.1955770000000001</v>
      </c>
      <c r="H477" s="24">
        <v>6.295509</v>
      </c>
      <c r="I477" s="24">
        <v>6.7198479999999998</v>
      </c>
      <c r="J477" s="24">
        <v>6.2452579999999998</v>
      </c>
      <c r="K477" s="24">
        <v>0.66082200000000002</v>
      </c>
      <c r="L477" s="24">
        <v>6.7983659999999997</v>
      </c>
      <c r="M477" s="24">
        <v>17.7285</v>
      </c>
      <c r="N477" s="24">
        <v>2.8450054792187842</v>
      </c>
      <c r="O477" s="24">
        <v>6.7676767676767682</v>
      </c>
      <c r="P477" s="24">
        <v>4.0748440994808979</v>
      </c>
      <c r="Q477" s="24">
        <v>7.339034347738461</v>
      </c>
      <c r="R477" s="24">
        <v>6.24</v>
      </c>
      <c r="S477" s="24">
        <v>5.4983313199736648</v>
      </c>
      <c r="T477" s="24">
        <v>0.73380971300865006</v>
      </c>
      <c r="U477" s="24" t="s">
        <v>3374</v>
      </c>
      <c r="V477">
        <v>0</v>
      </c>
      <c r="W477" s="21">
        <v>0</v>
      </c>
      <c r="X477" s="56" t="str">
        <f>IFERROR(VLOOKUP(A477,Output!A:F,6,0),"-")</f>
        <v>-</v>
      </c>
    </row>
    <row r="478" spans="1:24" hidden="1" x14ac:dyDescent="0.25">
      <c r="A478" s="21" t="s">
        <v>2438</v>
      </c>
      <c r="B478" s="40" t="s">
        <v>2439</v>
      </c>
      <c r="C478" s="21" t="s">
        <v>257</v>
      </c>
      <c r="D478" s="21" t="s">
        <v>74</v>
      </c>
      <c r="E478" s="21" t="s">
        <v>92</v>
      </c>
      <c r="F478" s="55">
        <v>4.2724476626042503E-4</v>
      </c>
      <c r="G478" s="24">
        <v>6</v>
      </c>
      <c r="H478" s="24">
        <v>7.252707</v>
      </c>
      <c r="I478" s="24">
        <v>6</v>
      </c>
      <c r="J478" s="24">
        <v>6.3758119999999998</v>
      </c>
      <c r="K478" s="24">
        <v>4.3244829999999999</v>
      </c>
      <c r="L478" s="24">
        <v>13.711169999999999</v>
      </c>
      <c r="M478" s="24">
        <v>24.695699999999999</v>
      </c>
      <c r="N478" s="24">
        <v>5.0666666666666673</v>
      </c>
      <c r="O478" s="24">
        <v>8.5714285714285712</v>
      </c>
      <c r="P478" s="24">
        <v>4.0273972602739718</v>
      </c>
      <c r="Q478" s="24">
        <v>8.5214893301518977</v>
      </c>
      <c r="R478" s="24">
        <v>7.17</v>
      </c>
      <c r="S478" s="24">
        <v>5.9811893522108726</v>
      </c>
      <c r="T478" s="24">
        <v>0.38825611758453477</v>
      </c>
      <c r="U478" s="24" t="s">
        <v>3909</v>
      </c>
      <c r="V478">
        <v>0</v>
      </c>
      <c r="W478" s="21">
        <v>0</v>
      </c>
      <c r="X478" s="56" t="str">
        <f>IFERROR(VLOOKUP(A478,Output!A:F,6,0),"-")</f>
        <v>-</v>
      </c>
    </row>
    <row r="479" spans="1:24" x14ac:dyDescent="0.25">
      <c r="A479" s="21" t="s">
        <v>309</v>
      </c>
      <c r="B479" s="40" t="s">
        <v>828</v>
      </c>
      <c r="C479" s="21" t="s">
        <v>248</v>
      </c>
      <c r="D479" s="21" t="s">
        <v>75</v>
      </c>
      <c r="E479" s="21" t="s">
        <v>92</v>
      </c>
      <c r="F479" s="55">
        <v>4.2675853155618645E-4</v>
      </c>
      <c r="G479" s="24">
        <v>7.3369869999999997</v>
      </c>
      <c r="H479" s="24">
        <v>7.0379550000000002</v>
      </c>
      <c r="I479" s="24">
        <v>6.3642469999999998</v>
      </c>
      <c r="J479" s="24">
        <v>6.9554549999999997</v>
      </c>
      <c r="K479" s="24">
        <v>3.742213</v>
      </c>
      <c r="L479" s="24">
        <v>11.08042</v>
      </c>
      <c r="M479" s="24">
        <v>31.023599999999998</v>
      </c>
      <c r="N479" s="24">
        <v>9.1826564186761015</v>
      </c>
      <c r="O479" s="24">
        <v>8.1052631578947363</v>
      </c>
      <c r="P479" s="24">
        <v>7.8400000987428511</v>
      </c>
      <c r="Q479" s="24">
        <v>7.7385331388991441</v>
      </c>
      <c r="R479" s="24">
        <v>6.72</v>
      </c>
      <c r="S479" s="24">
        <v>7.8654032848388518</v>
      </c>
      <c r="T479" s="24">
        <v>0.17880963059870073</v>
      </c>
      <c r="U479" s="24" t="s">
        <v>2842</v>
      </c>
      <c r="V479">
        <v>0</v>
      </c>
      <c r="W479" s="21">
        <v>0</v>
      </c>
      <c r="X479" s="56">
        <f>IFERROR(VLOOKUP(A479,Output!A:F,6,0),"-")</f>
        <v>5.0000000000000001E-3</v>
      </c>
    </row>
    <row r="480" spans="1:24" hidden="1" x14ac:dyDescent="0.25">
      <c r="A480" s="21" t="s">
        <v>1433</v>
      </c>
      <c r="B480" s="40" t="s">
        <v>1434</v>
      </c>
      <c r="C480" s="21" t="s">
        <v>244</v>
      </c>
      <c r="D480" s="21" t="s">
        <v>73</v>
      </c>
      <c r="E480" s="21" t="s">
        <v>92</v>
      </c>
      <c r="F480" s="55">
        <v>4.2437102156936938E-4</v>
      </c>
      <c r="G480" s="24">
        <v>4.7844490000000004</v>
      </c>
      <c r="H480" s="24">
        <v>6.6789690000000004</v>
      </c>
      <c r="I480" s="24">
        <v>6.2509569999999997</v>
      </c>
      <c r="J480" s="24">
        <v>5.7927580000000001</v>
      </c>
      <c r="K480" s="24">
        <v>0</v>
      </c>
      <c r="L480" s="24">
        <v>4.9307619999999996</v>
      </c>
      <c r="M480" s="24">
        <v>20.667999999999999</v>
      </c>
      <c r="N480" s="24">
        <v>1.4015142045454549</v>
      </c>
      <c r="O480" s="24">
        <v>0.40404040404040409</v>
      </c>
      <c r="P480" s="24">
        <v>7.5592173118054902</v>
      </c>
      <c r="Q480" s="24">
        <v>3.4681890098221393</v>
      </c>
      <c r="R480" s="24" t="e">
        <v>#N/A</v>
      </c>
      <c r="S480" s="24">
        <v>3.9580639429972724</v>
      </c>
      <c r="T480" s="24">
        <v>1.3287831814718356</v>
      </c>
      <c r="U480" s="24" t="s">
        <v>3302</v>
      </c>
      <c r="V480">
        <v>0</v>
      </c>
      <c r="W480" s="21">
        <v>0</v>
      </c>
      <c r="X480" s="56" t="str">
        <f>IFERROR(VLOOKUP(A480,Output!A:F,6,0),"-")</f>
        <v>-</v>
      </c>
    </row>
    <row r="481" spans="1:24" x14ac:dyDescent="0.25">
      <c r="A481" s="21" t="s">
        <v>2444</v>
      </c>
      <c r="B481" s="40" t="s">
        <v>2445</v>
      </c>
      <c r="C481" s="21" t="s">
        <v>248</v>
      </c>
      <c r="D481" s="21" t="s">
        <v>75</v>
      </c>
      <c r="E481" s="21" t="s">
        <v>99</v>
      </c>
      <c r="F481" s="55">
        <v>4.2329492672216559E-4</v>
      </c>
      <c r="G481" s="24">
        <v>5.0828889999999998</v>
      </c>
      <c r="H481" s="24">
        <v>6.1668989999999999</v>
      </c>
      <c r="I481" s="24">
        <v>5.7491099999999999</v>
      </c>
      <c r="J481" s="24">
        <v>5.607958</v>
      </c>
      <c r="K481" s="24">
        <v>3.3406889999999998</v>
      </c>
      <c r="L481" s="24">
        <v>8.0115160000000003</v>
      </c>
      <c r="M481" s="24">
        <v>37.147100000000002</v>
      </c>
      <c r="N481" s="24">
        <v>5.3931575866241044</v>
      </c>
      <c r="O481" s="24">
        <v>5.4444444444444438</v>
      </c>
      <c r="P481" s="24">
        <v>3.7219730941704037</v>
      </c>
      <c r="Q481" s="24">
        <v>8.4097480011903389</v>
      </c>
      <c r="R481" s="24">
        <v>6.49</v>
      </c>
      <c r="S481" s="24">
        <v>7.2762552214517031</v>
      </c>
      <c r="T481" s="24">
        <v>0.32252072494412454</v>
      </c>
      <c r="U481" s="24" t="s">
        <v>3914</v>
      </c>
      <c r="V481">
        <v>0</v>
      </c>
      <c r="W481" s="21">
        <v>0</v>
      </c>
      <c r="X481" s="56">
        <f>IFERROR(VLOOKUP(A481,Output!A:F,6,0),"-")</f>
        <v>5.0000000000000001E-3</v>
      </c>
    </row>
    <row r="482" spans="1:24" hidden="1" x14ac:dyDescent="0.25">
      <c r="A482" s="21" t="s">
        <v>4453</v>
      </c>
      <c r="B482" s="40" t="s">
        <v>4454</v>
      </c>
      <c r="C482" s="21" t="s">
        <v>244</v>
      </c>
      <c r="D482" s="21" t="s">
        <v>73</v>
      </c>
      <c r="E482" s="21" t="s">
        <v>88</v>
      </c>
      <c r="F482" s="55">
        <v>4.2315528389793981E-4</v>
      </c>
      <c r="G482" s="24">
        <v>4.5287230000000003</v>
      </c>
      <c r="H482" s="24">
        <v>3.1754630000000001</v>
      </c>
      <c r="I482" s="24">
        <v>4.8711440000000001</v>
      </c>
      <c r="J482" s="24">
        <v>4.2254709999999998</v>
      </c>
      <c r="K482" s="24">
        <v>0</v>
      </c>
      <c r="L482" s="24">
        <v>7.9529719999999999</v>
      </c>
      <c r="M482" s="24">
        <v>17.909099999999999</v>
      </c>
      <c r="N482" s="24">
        <v>5.1964957386363642</v>
      </c>
      <c r="O482" s="24">
        <v>10</v>
      </c>
      <c r="P482" s="24">
        <v>7.7445932121746939</v>
      </c>
      <c r="Q482" s="24">
        <v>8.1214048314308478</v>
      </c>
      <c r="R482" s="24" t="e">
        <v>#N/A</v>
      </c>
      <c r="S482" s="24">
        <v>5.8942616321929506</v>
      </c>
      <c r="T482" s="24">
        <v>1.6182785796353196</v>
      </c>
      <c r="U482" s="24" t="s">
        <v>4455</v>
      </c>
      <c r="V482">
        <v>0</v>
      </c>
      <c r="W482" s="21">
        <v>1</v>
      </c>
      <c r="X482" s="56" t="str">
        <f>IFERROR(VLOOKUP(A482,Output!A:F,6,0),"-")</f>
        <v>-</v>
      </c>
    </row>
    <row r="483" spans="1:24" hidden="1" x14ac:dyDescent="0.25">
      <c r="A483" s="21" t="s">
        <v>2663</v>
      </c>
      <c r="B483" s="40" t="s">
        <v>2664</v>
      </c>
      <c r="C483" s="21" t="s">
        <v>298</v>
      </c>
      <c r="D483" s="21" t="s">
        <v>74</v>
      </c>
      <c r="E483" s="21" t="s">
        <v>90</v>
      </c>
      <c r="F483" s="55">
        <v>4.2154496470157247E-4</v>
      </c>
      <c r="G483" s="24">
        <v>4.5772880000000002</v>
      </c>
      <c r="H483" s="24">
        <v>4.4305430000000001</v>
      </c>
      <c r="I483" s="24">
        <v>5.7615220000000003</v>
      </c>
      <c r="J483" s="24">
        <v>4.8885350000000001</v>
      </c>
      <c r="K483" s="24">
        <v>2.0018419999999999</v>
      </c>
      <c r="L483" s="24">
        <v>5.3827660000000002</v>
      </c>
      <c r="M483" s="24">
        <v>78.885099999999994</v>
      </c>
      <c r="N483" s="24">
        <v>7.7506856294230797</v>
      </c>
      <c r="O483" s="24">
        <v>2.1052631578947367</v>
      </c>
      <c r="P483" s="24">
        <v>3.8723404255319154</v>
      </c>
      <c r="Q483" s="24">
        <v>4.0267209998876412</v>
      </c>
      <c r="R483" s="24">
        <v>3.4</v>
      </c>
      <c r="S483" s="24">
        <v>4.6998729623662623</v>
      </c>
      <c r="T483" s="24">
        <v>-4.9748337239402165E-3</v>
      </c>
      <c r="U483" s="24" t="s">
        <v>4015</v>
      </c>
      <c r="V483">
        <v>0</v>
      </c>
      <c r="W483" s="21">
        <v>0</v>
      </c>
      <c r="X483" s="56" t="str">
        <f>IFERROR(VLOOKUP(A483,Output!A:F,6,0),"-")</f>
        <v>-</v>
      </c>
    </row>
    <row r="484" spans="1:24" hidden="1" x14ac:dyDescent="0.25">
      <c r="A484" s="21" t="s">
        <v>829</v>
      </c>
      <c r="B484" s="40" t="s">
        <v>830</v>
      </c>
      <c r="C484" s="21" t="s">
        <v>246</v>
      </c>
      <c r="D484" s="21" t="s">
        <v>74</v>
      </c>
      <c r="E484" s="21" t="s">
        <v>88</v>
      </c>
      <c r="F484" s="55">
        <v>4.2113499027165893E-4</v>
      </c>
      <c r="G484" s="24">
        <v>7.4169419999999997</v>
      </c>
      <c r="H484" s="24">
        <v>2.7696109999999998</v>
      </c>
      <c r="I484" s="24">
        <v>3.2331300000000001</v>
      </c>
      <c r="J484" s="24">
        <v>4.7675989999999997</v>
      </c>
      <c r="K484" s="24">
        <v>1.861318</v>
      </c>
      <c r="L484" s="24">
        <v>4.7269899999999998</v>
      </c>
      <c r="M484" s="24">
        <v>26.972999999999999</v>
      </c>
      <c r="N484" s="24">
        <v>6.4222222222222225</v>
      </c>
      <c r="O484" s="24">
        <v>3.7755102040816322</v>
      </c>
      <c r="P484" s="24">
        <v>4.6301369863013706</v>
      </c>
      <c r="Q484" s="24">
        <v>4.0272031755189328</v>
      </c>
      <c r="R484" s="24">
        <v>3.87</v>
      </c>
      <c r="S484" s="24">
        <v>5.2016475509613711</v>
      </c>
      <c r="T484" s="24">
        <v>0.55219959589315082</v>
      </c>
      <c r="U484" s="24" t="s">
        <v>3864</v>
      </c>
      <c r="V484">
        <v>0</v>
      </c>
      <c r="W484" s="21">
        <v>0</v>
      </c>
      <c r="X484" s="56" t="str">
        <f>IFERROR(VLOOKUP(A484,Output!A:F,6,0),"-")</f>
        <v>-</v>
      </c>
    </row>
    <row r="485" spans="1:24" hidden="1" x14ac:dyDescent="0.25">
      <c r="A485" s="21" t="s">
        <v>1302</v>
      </c>
      <c r="B485" s="40" t="s">
        <v>1303</v>
      </c>
      <c r="C485" s="21" t="s">
        <v>244</v>
      </c>
      <c r="D485" s="21" t="s">
        <v>73</v>
      </c>
      <c r="E485" s="21" t="s">
        <v>93</v>
      </c>
      <c r="F485" s="55">
        <v>4.2112140829668021E-4</v>
      </c>
      <c r="G485" s="21">
        <v>1.6989460000000001</v>
      </c>
      <c r="H485" s="21">
        <v>2.6075170000000001</v>
      </c>
      <c r="I485" s="21">
        <v>6.0277079999999996</v>
      </c>
      <c r="J485" s="21">
        <v>3.5320130000000001</v>
      </c>
      <c r="K485" s="24">
        <v>1.2937529999999999</v>
      </c>
      <c r="L485" s="24">
        <v>6.9484450000000004</v>
      </c>
      <c r="M485" s="24">
        <v>7.1005000000000003</v>
      </c>
      <c r="N485" s="24">
        <v>4.2144101562499987</v>
      </c>
      <c r="O485" s="24">
        <v>5.8762886597938131</v>
      </c>
      <c r="P485" s="24">
        <v>4.8186528497409338</v>
      </c>
      <c r="Q485" s="24">
        <v>4.1588940555151028</v>
      </c>
      <c r="R485" s="24">
        <v>3.18</v>
      </c>
      <c r="S485" s="24">
        <v>4.0736065202648053</v>
      </c>
      <c r="T485" s="24">
        <v>0.47777444414089526</v>
      </c>
      <c r="U485" s="24" t="s">
        <v>3293</v>
      </c>
      <c r="V485">
        <v>0</v>
      </c>
      <c r="W485" s="21">
        <v>1</v>
      </c>
      <c r="X485" s="56" t="str">
        <f>IFERROR(VLOOKUP(A485,Output!A:F,6,0),"-")</f>
        <v>-</v>
      </c>
    </row>
    <row r="486" spans="1:24" x14ac:dyDescent="0.25">
      <c r="A486" s="21" t="s">
        <v>1711</v>
      </c>
      <c r="B486" s="40" t="s">
        <v>1712</v>
      </c>
      <c r="C486" s="21" t="s">
        <v>248</v>
      </c>
      <c r="D486" s="21" t="s">
        <v>75</v>
      </c>
      <c r="E486" s="21" t="s">
        <v>92</v>
      </c>
      <c r="F486" s="55">
        <v>4.2020326678811787E-4</v>
      </c>
      <c r="G486" s="24">
        <v>5.4874900000000002</v>
      </c>
      <c r="H486" s="24">
        <v>5.9809570000000001</v>
      </c>
      <c r="I486" s="24">
        <v>3.5252509999999999</v>
      </c>
      <c r="J486" s="24">
        <v>5.0468580000000003</v>
      </c>
      <c r="K486" s="24">
        <v>1.2370509999999999</v>
      </c>
      <c r="L486" s="24">
        <v>11.001760000000001</v>
      </c>
      <c r="M486" s="24">
        <v>19.8124</v>
      </c>
      <c r="N486" s="24">
        <v>7.2641274390672725</v>
      </c>
      <c r="O486" s="24">
        <v>9.6842105263157876</v>
      </c>
      <c r="P486" s="24">
        <v>4.2400002633142728</v>
      </c>
      <c r="Q486" s="24">
        <v>4.0965282559363656</v>
      </c>
      <c r="R486" s="24">
        <v>4.1900000000000004</v>
      </c>
      <c r="S486" s="24">
        <v>4.843878412117669</v>
      </c>
      <c r="T486" s="24">
        <v>0.38179869067701433</v>
      </c>
      <c r="U486" s="24" t="s">
        <v>3530</v>
      </c>
      <c r="V486">
        <v>0</v>
      </c>
      <c r="W486" s="21">
        <v>0</v>
      </c>
      <c r="X486" s="56" t="str">
        <f>IFERROR(VLOOKUP(A486,Output!A:F,6,0),"-")</f>
        <v>-</v>
      </c>
    </row>
    <row r="487" spans="1:24" hidden="1" x14ac:dyDescent="0.25">
      <c r="A487" s="21" t="s">
        <v>2678</v>
      </c>
      <c r="B487" s="40" t="s">
        <v>2679</v>
      </c>
      <c r="C487" s="21" t="s">
        <v>257</v>
      </c>
      <c r="D487" s="21" t="s">
        <v>74</v>
      </c>
      <c r="E487" s="21" t="s">
        <v>103</v>
      </c>
      <c r="F487" s="55">
        <v>4.1981975205760737E-4</v>
      </c>
      <c r="G487" s="21">
        <v>5.536079</v>
      </c>
      <c r="H487" s="21">
        <v>6.1352820000000001</v>
      </c>
      <c r="I487" s="21">
        <v>4.4482150000000003</v>
      </c>
      <c r="J487" s="21">
        <v>5.389481</v>
      </c>
      <c r="K487" s="24">
        <v>7.3535849999999998</v>
      </c>
      <c r="L487" s="24">
        <v>27.565799999999999</v>
      </c>
      <c r="M487" s="24">
        <v>39.715600000000002</v>
      </c>
      <c r="N487" s="24">
        <v>5.6864073145591663</v>
      </c>
      <c r="O487" s="24">
        <v>7.2727272727272734</v>
      </c>
      <c r="P487" s="24">
        <v>2.5222551928783385</v>
      </c>
      <c r="Q487" s="24">
        <v>10</v>
      </c>
      <c r="R487" s="24">
        <v>6.42</v>
      </c>
      <c r="S487" s="24">
        <v>6.6774691565263415</v>
      </c>
      <c r="T487" s="24">
        <v>0.43785251052679552</v>
      </c>
      <c r="U487" s="24" t="s">
        <v>4061</v>
      </c>
      <c r="V487">
        <v>0</v>
      </c>
      <c r="W487" s="21">
        <v>0</v>
      </c>
      <c r="X487" s="56" t="str">
        <f>IFERROR(VLOOKUP(A487,Output!A:F,6,0),"-")</f>
        <v>-</v>
      </c>
    </row>
    <row r="488" spans="1:24" hidden="1" x14ac:dyDescent="0.25">
      <c r="A488" s="21" t="s">
        <v>1305</v>
      </c>
      <c r="B488" s="40" t="s">
        <v>1306</v>
      </c>
      <c r="C488" s="21" t="s">
        <v>245</v>
      </c>
      <c r="D488" s="21" t="s">
        <v>73</v>
      </c>
      <c r="E488" s="21" t="s">
        <v>93</v>
      </c>
      <c r="F488" s="55">
        <v>4.1930293275786105E-4</v>
      </c>
      <c r="G488" s="24">
        <v>3.3799290000000002</v>
      </c>
      <c r="H488" s="24">
        <v>4.526764</v>
      </c>
      <c r="I488" s="24">
        <v>2.6011850000000001</v>
      </c>
      <c r="J488" s="24">
        <v>3.5087609999999998</v>
      </c>
      <c r="K488" s="24">
        <v>2.224621</v>
      </c>
      <c r="L488" s="24">
        <v>7.0124279999999999</v>
      </c>
      <c r="M488" s="24">
        <v>2.0268999999999999</v>
      </c>
      <c r="N488" s="24">
        <v>8.6165351562500003</v>
      </c>
      <c r="O488" s="24">
        <v>3.608247422680412</v>
      </c>
      <c r="P488" s="24">
        <v>2.6770290155440417</v>
      </c>
      <c r="Q488" s="24">
        <v>3.9087382512569087</v>
      </c>
      <c r="R488" s="24">
        <v>6.28</v>
      </c>
      <c r="S488" s="24">
        <v>4.6094050793365096</v>
      </c>
      <c r="T488" s="24">
        <v>0.57790424456690426</v>
      </c>
      <c r="U488" s="24" t="s">
        <v>3310</v>
      </c>
      <c r="V488">
        <v>0</v>
      </c>
      <c r="W488" s="21">
        <v>1</v>
      </c>
      <c r="X488" s="56" t="str">
        <f>IFERROR(VLOOKUP(A488,Output!A:F,6,0),"-")</f>
        <v>-</v>
      </c>
    </row>
    <row r="489" spans="1:24" hidden="1" x14ac:dyDescent="0.25">
      <c r="A489" s="21" t="s">
        <v>2053</v>
      </c>
      <c r="B489" s="40" t="s">
        <v>2054</v>
      </c>
      <c r="C489" s="21" t="s">
        <v>244</v>
      </c>
      <c r="D489" s="21" t="s">
        <v>73</v>
      </c>
      <c r="E489" s="21" t="s">
        <v>100</v>
      </c>
      <c r="F489" s="55">
        <v>4.1915353103309496E-4</v>
      </c>
      <c r="G489" s="24">
        <v>3.654115</v>
      </c>
      <c r="H489" s="24">
        <v>4.2564029999999997</v>
      </c>
      <c r="I489" s="24">
        <v>3.110865</v>
      </c>
      <c r="J489" s="24">
        <v>3.6777299999999999</v>
      </c>
      <c r="K489" s="24">
        <v>0</v>
      </c>
      <c r="L489" s="24">
        <v>8.9390599999999996</v>
      </c>
      <c r="M489" s="24">
        <v>17.2254</v>
      </c>
      <c r="N489" s="24">
        <v>10</v>
      </c>
      <c r="O489" s="24">
        <v>0</v>
      </c>
      <c r="P489" s="24">
        <v>5.9442724458204319</v>
      </c>
      <c r="Q489" s="24">
        <v>6.0813182940764774</v>
      </c>
      <c r="R489" s="24" t="e">
        <v>#N/A</v>
      </c>
      <c r="S489" s="24">
        <v>5.5135205329504089</v>
      </c>
      <c r="T489" s="24">
        <v>1.1382830543668025</v>
      </c>
      <c r="U489" s="24" t="s">
        <v>3723</v>
      </c>
      <c r="V489">
        <v>0</v>
      </c>
      <c r="W489" s="21">
        <v>1</v>
      </c>
      <c r="X489" s="56" t="str">
        <f>IFERROR(VLOOKUP(A489,Output!A:F,6,0),"-")</f>
        <v>-</v>
      </c>
    </row>
    <row r="490" spans="1:24" hidden="1" x14ac:dyDescent="0.25">
      <c r="A490" s="21" t="s">
        <v>2326</v>
      </c>
      <c r="B490" s="40" t="s">
        <v>2327</v>
      </c>
      <c r="C490" s="21" t="s">
        <v>250</v>
      </c>
      <c r="D490" s="21" t="s">
        <v>76</v>
      </c>
      <c r="E490" s="21" t="s">
        <v>92</v>
      </c>
      <c r="F490" s="55">
        <v>4.1882343873750084E-4</v>
      </c>
      <c r="G490" s="21">
        <v>6.7470590000000001</v>
      </c>
      <c r="H490" s="21">
        <v>5.456493</v>
      </c>
      <c r="I490" s="21">
        <v>5.9652620000000001</v>
      </c>
      <c r="J490" s="21">
        <v>6.1253500000000001</v>
      </c>
      <c r="K490" s="24">
        <v>4.7846859999999998</v>
      </c>
      <c r="L490" s="24">
        <v>1.0214780000000001</v>
      </c>
      <c r="M490" s="24">
        <v>115.50239999999999</v>
      </c>
      <c r="N490" s="24">
        <v>2.3060924199799668</v>
      </c>
      <c r="O490" s="24">
        <v>2.8787878787878789</v>
      </c>
      <c r="P490" s="24">
        <v>0</v>
      </c>
      <c r="Q490" s="24">
        <v>0</v>
      </c>
      <c r="R490" s="24">
        <v>8.0299999999999994</v>
      </c>
      <c r="S490" s="24">
        <v>2.5807201906427042</v>
      </c>
      <c r="T490" s="24">
        <v>0.46762462197726812</v>
      </c>
      <c r="U490" s="24" t="s">
        <v>3876</v>
      </c>
      <c r="V490">
        <v>0</v>
      </c>
      <c r="W490" s="21">
        <v>0</v>
      </c>
      <c r="X490" s="56" t="str">
        <f>IFERROR(VLOOKUP(A490,Output!A:F,6,0),"-")</f>
        <v>-</v>
      </c>
    </row>
    <row r="491" spans="1:24" hidden="1" x14ac:dyDescent="0.25">
      <c r="A491" s="21" t="s">
        <v>283</v>
      </c>
      <c r="B491" s="40" t="s">
        <v>284</v>
      </c>
      <c r="C491" s="21" t="s">
        <v>245</v>
      </c>
      <c r="D491" s="21" t="s">
        <v>73</v>
      </c>
      <c r="E491" s="21" t="s">
        <v>85</v>
      </c>
      <c r="F491" s="55">
        <v>4.1770539067869598E-4</v>
      </c>
      <c r="G491" s="21">
        <v>5.1248139999999998</v>
      </c>
      <c r="H491" s="21">
        <v>7.0761729999999998</v>
      </c>
      <c r="I491" s="21">
        <v>6.6859950000000001</v>
      </c>
      <c r="J491" s="21">
        <v>6.354203</v>
      </c>
      <c r="K491" s="24">
        <v>3.8412160000000002</v>
      </c>
      <c r="L491" s="24">
        <v>11.49991</v>
      </c>
      <c r="M491" s="24">
        <v>1.9797</v>
      </c>
      <c r="N491" s="24">
        <v>5.985242187499999</v>
      </c>
      <c r="O491" s="24">
        <v>3.2989690721649478</v>
      </c>
      <c r="P491" s="24">
        <v>6.3989637305699487</v>
      </c>
      <c r="Q491" s="24">
        <v>5.6665225235732484</v>
      </c>
      <c r="R491" s="24">
        <v>6.76</v>
      </c>
      <c r="S491" s="24">
        <v>7.0741983088573308</v>
      </c>
      <c r="T491" s="24">
        <v>0.81061110146874937</v>
      </c>
      <c r="U491" s="24" t="s">
        <v>3294</v>
      </c>
      <c r="V491">
        <v>0</v>
      </c>
      <c r="W491" s="21">
        <v>0</v>
      </c>
      <c r="X491" s="56">
        <f>IFERROR(VLOOKUP(A491,Output!A:F,6,0),"-")</f>
        <v>7.4999999999999616E-3</v>
      </c>
    </row>
    <row r="492" spans="1:24" hidden="1" x14ac:dyDescent="0.25">
      <c r="A492" s="21" t="s">
        <v>326</v>
      </c>
      <c r="B492" s="40" t="s">
        <v>327</v>
      </c>
      <c r="C492" s="21" t="s">
        <v>258</v>
      </c>
      <c r="D492" s="21" t="s">
        <v>74</v>
      </c>
      <c r="E492" s="21" t="s">
        <v>93</v>
      </c>
      <c r="F492" s="55">
        <v>4.1761595085828044E-4</v>
      </c>
      <c r="G492" s="21">
        <v>6.7874100000000004</v>
      </c>
      <c r="H492" s="21">
        <v>7.3408689999999996</v>
      </c>
      <c r="I492" s="21">
        <v>6.5293989999999997</v>
      </c>
      <c r="J492" s="21">
        <v>6.8908170000000002</v>
      </c>
      <c r="K492" s="24">
        <v>5.8026850000000003</v>
      </c>
      <c r="L492" s="24">
        <v>12.80551</v>
      </c>
      <c r="M492" s="24">
        <v>0.76890000000000003</v>
      </c>
      <c r="N492" s="24">
        <v>5.1755692850027053</v>
      </c>
      <c r="O492" s="24">
        <v>6.3636363636363633</v>
      </c>
      <c r="P492" s="24">
        <v>5.6578947368421053</v>
      </c>
      <c r="Q492" s="24">
        <v>5.5443770672546853</v>
      </c>
      <c r="R492" s="24">
        <v>4.3099999999999996</v>
      </c>
      <c r="S492" s="24">
        <v>5.9811012118825211</v>
      </c>
      <c r="T492" s="24">
        <v>0.36150059225577585</v>
      </c>
      <c r="U492" s="24" t="s">
        <v>3946</v>
      </c>
      <c r="V492">
        <v>0</v>
      </c>
      <c r="W492" s="21">
        <v>0</v>
      </c>
      <c r="X492" s="56" t="str">
        <f>IFERROR(VLOOKUP(A492,Output!A:F,6,0),"-")</f>
        <v>-</v>
      </c>
    </row>
    <row r="493" spans="1:24" x14ac:dyDescent="0.25">
      <c r="A493" s="21" t="s">
        <v>144</v>
      </c>
      <c r="B493" s="40" t="s">
        <v>4431</v>
      </c>
      <c r="C493" s="21" t="s">
        <v>255</v>
      </c>
      <c r="D493" s="21" t="s">
        <v>75</v>
      </c>
      <c r="E493" s="21" t="s">
        <v>85</v>
      </c>
      <c r="F493" s="55">
        <v>4.1755478166726514E-4</v>
      </c>
      <c r="G493" s="24">
        <v>6.339861</v>
      </c>
      <c r="H493" s="24">
        <v>5.274788</v>
      </c>
      <c r="I493" s="24">
        <v>5.0635349999999999</v>
      </c>
      <c r="J493" s="24">
        <v>5.5203709999999999</v>
      </c>
      <c r="K493" s="24">
        <v>5.9391020000000001</v>
      </c>
      <c r="L493" s="24">
        <v>12.23976</v>
      </c>
      <c r="M493" s="24">
        <v>11.914999999999999</v>
      </c>
      <c r="N493" s="24">
        <v>5.5526320786955417</v>
      </c>
      <c r="O493" s="24">
        <v>3.225806451612903</v>
      </c>
      <c r="P493" s="24">
        <v>6.2246773480662991</v>
      </c>
      <c r="Q493" s="24">
        <v>7.3624823695345567</v>
      </c>
      <c r="R493" s="24">
        <v>6.62</v>
      </c>
      <c r="S493" s="24">
        <v>7.337970956278677</v>
      </c>
      <c r="T493" s="24">
        <v>0.30413905205840169</v>
      </c>
      <c r="U493" s="24" t="s">
        <v>2852</v>
      </c>
      <c r="V493">
        <v>0</v>
      </c>
      <c r="W493" s="21">
        <v>0</v>
      </c>
      <c r="X493" s="56">
        <f>IFERROR(VLOOKUP(A493,Output!A:F,6,0),"-")</f>
        <v>7.4999999999999997E-3</v>
      </c>
    </row>
    <row r="494" spans="1:24" hidden="1" x14ac:dyDescent="0.25">
      <c r="A494" s="21" t="s">
        <v>1266</v>
      </c>
      <c r="B494" s="40" t="s">
        <v>1267</v>
      </c>
      <c r="C494" s="21" t="s">
        <v>244</v>
      </c>
      <c r="D494" s="21" t="s">
        <v>73</v>
      </c>
      <c r="E494" s="21" t="s">
        <v>98</v>
      </c>
      <c r="F494" s="55">
        <v>4.1492601556193708E-4</v>
      </c>
      <c r="G494" s="24">
        <v>7.696682</v>
      </c>
      <c r="H494" s="24">
        <v>6.5597599999999998</v>
      </c>
      <c r="I494" s="24">
        <v>6.5058879999999997</v>
      </c>
      <c r="J494" s="24">
        <v>6.7655950000000002</v>
      </c>
      <c r="K494" s="24">
        <v>2.0715110000000001</v>
      </c>
      <c r="L494" s="24">
        <v>10.975149999999999</v>
      </c>
      <c r="M494" s="24">
        <v>13.495799999999999</v>
      </c>
      <c r="N494" s="24">
        <v>0.73690806366690276</v>
      </c>
      <c r="O494" s="24">
        <v>6.9387755102040813</v>
      </c>
      <c r="P494" s="24">
        <v>7.4302213568054718</v>
      </c>
      <c r="Q494" s="24">
        <v>7.0926383942064062</v>
      </c>
      <c r="R494" s="24">
        <v>5.94</v>
      </c>
      <c r="S494" s="24">
        <v>6.23416690854922</v>
      </c>
      <c r="T494" s="24">
        <v>1.1026735364964191</v>
      </c>
      <c r="U494" s="24" t="s">
        <v>3284</v>
      </c>
      <c r="V494">
        <v>0</v>
      </c>
      <c r="W494" s="21">
        <v>0</v>
      </c>
      <c r="X494" s="56">
        <f>IFERROR(VLOOKUP(A494,Output!A:F,6,0),"-")</f>
        <v>7.4999999999999668E-3</v>
      </c>
    </row>
    <row r="495" spans="1:24" hidden="1" x14ac:dyDescent="0.25">
      <c r="A495" s="21" t="s">
        <v>820</v>
      </c>
      <c r="B495" s="40" t="s">
        <v>821</v>
      </c>
      <c r="C495" s="21" t="s">
        <v>244</v>
      </c>
      <c r="D495" s="21" t="s">
        <v>73</v>
      </c>
      <c r="E495" s="21" t="s">
        <v>87</v>
      </c>
      <c r="F495" s="55">
        <v>4.1382325980088606E-4</v>
      </c>
      <c r="G495" s="21">
        <v>5.3075049999999999</v>
      </c>
      <c r="H495" s="21">
        <v>6.7833129999999997</v>
      </c>
      <c r="I495" s="21">
        <v>6.2585090000000001</v>
      </c>
      <c r="J495" s="21">
        <v>6.1164430000000003</v>
      </c>
      <c r="K495" s="24">
        <v>4.8982729999999997</v>
      </c>
      <c r="L495" s="24">
        <v>8.9720589999999998</v>
      </c>
      <c r="M495" s="24">
        <v>573.91930000000002</v>
      </c>
      <c r="N495" s="24">
        <v>3.2592971724843576</v>
      </c>
      <c r="O495" s="24">
        <v>3.2989690721649478</v>
      </c>
      <c r="P495" s="24">
        <v>5.8888888888888893</v>
      </c>
      <c r="Q495" s="24">
        <v>7.5873950566345041</v>
      </c>
      <c r="R495" s="24">
        <v>8.42</v>
      </c>
      <c r="S495" s="24">
        <v>7.2926599265150189</v>
      </c>
      <c r="T495" s="24">
        <v>0.88857804499589355</v>
      </c>
      <c r="U495" s="24" t="s">
        <v>2810</v>
      </c>
      <c r="V495">
        <v>0</v>
      </c>
      <c r="W495" s="21">
        <v>0</v>
      </c>
      <c r="X495" s="56">
        <f>IFERROR(VLOOKUP(A495,Output!A:F,6,0),"-")</f>
        <v>7.4999999999999121E-3</v>
      </c>
    </row>
    <row r="496" spans="1:24" x14ac:dyDescent="0.25">
      <c r="A496" s="21" t="s">
        <v>2222</v>
      </c>
      <c r="B496" s="40" t="s">
        <v>2223</v>
      </c>
      <c r="C496" s="21" t="s">
        <v>248</v>
      </c>
      <c r="D496" s="21" t="s">
        <v>75</v>
      </c>
      <c r="E496" s="21" t="s">
        <v>89</v>
      </c>
      <c r="F496" s="55">
        <v>4.1361741742454173E-4</v>
      </c>
      <c r="G496" s="24">
        <v>5.1981760000000001</v>
      </c>
      <c r="H496" s="24">
        <v>6.0978870000000001</v>
      </c>
      <c r="I496" s="24">
        <v>6.8686910000000001</v>
      </c>
      <c r="J496" s="24">
        <v>6.0977550000000003</v>
      </c>
      <c r="K496" s="24">
        <v>2.9462329999999999</v>
      </c>
      <c r="L496" s="24">
        <v>11.421670000000001</v>
      </c>
      <c r="M496" s="24">
        <v>5.0956999999999999</v>
      </c>
      <c r="N496" s="24">
        <v>5.3947359072022207</v>
      </c>
      <c r="O496" s="24">
        <v>7.849462365591398</v>
      </c>
      <c r="P496" s="24">
        <v>3.756906077348066</v>
      </c>
      <c r="Q496" s="24">
        <v>6.4010343206393969</v>
      </c>
      <c r="R496" s="24">
        <v>4.3099999999999996</v>
      </c>
      <c r="S496" s="24">
        <v>5.5345592360413356</v>
      </c>
      <c r="T496" s="24">
        <v>0.26867963699167902</v>
      </c>
      <c r="U496" s="24" t="s">
        <v>3784</v>
      </c>
      <c r="V496">
        <v>0</v>
      </c>
      <c r="W496" s="21">
        <v>0</v>
      </c>
      <c r="X496" s="56" t="str">
        <f>IFERROR(VLOOKUP(A496,Output!A:F,6,0),"-")</f>
        <v>-</v>
      </c>
    </row>
    <row r="497" spans="1:24" hidden="1" x14ac:dyDescent="0.25">
      <c r="A497" s="21" t="s">
        <v>316</v>
      </c>
      <c r="B497" s="40" t="s">
        <v>317</v>
      </c>
      <c r="C497" s="21" t="s">
        <v>249</v>
      </c>
      <c r="D497" s="21" t="s">
        <v>74</v>
      </c>
      <c r="E497" s="21" t="s">
        <v>92</v>
      </c>
      <c r="F497" s="55">
        <v>4.1273197326315047E-4</v>
      </c>
      <c r="G497" s="21">
        <v>7.5478750000000003</v>
      </c>
      <c r="H497" s="21">
        <v>6.3806479999999999</v>
      </c>
      <c r="I497" s="21">
        <v>6.6113730000000004</v>
      </c>
      <c r="J497" s="21">
        <v>6.9167569999999996</v>
      </c>
      <c r="K497" s="24">
        <v>2.2197849999999999</v>
      </c>
      <c r="L497" s="24">
        <v>4.9946760000000001</v>
      </c>
      <c r="M497" s="24">
        <v>20.492899999999999</v>
      </c>
      <c r="N497" s="24">
        <v>5.4691362962962966</v>
      </c>
      <c r="O497" s="24">
        <v>5.612244897959183</v>
      </c>
      <c r="P497" s="24">
        <v>10</v>
      </c>
      <c r="Q497" s="24">
        <v>4.3316616624298119</v>
      </c>
      <c r="R497" s="24">
        <v>5.0199999999999996</v>
      </c>
      <c r="S497" s="24">
        <v>6.7820735581847567</v>
      </c>
      <c r="T497" s="24">
        <v>0.48476329513141847</v>
      </c>
      <c r="U497" s="24" t="s">
        <v>3867</v>
      </c>
      <c r="V497">
        <v>0</v>
      </c>
      <c r="W497" s="21">
        <v>0</v>
      </c>
      <c r="X497" s="56" t="str">
        <f>IFERROR(VLOOKUP(A497,Output!A:F,6,0),"-")</f>
        <v>-</v>
      </c>
    </row>
    <row r="498" spans="1:24" hidden="1" x14ac:dyDescent="0.25">
      <c r="A498" s="21" t="s">
        <v>1140</v>
      </c>
      <c r="B498" s="40" t="s">
        <v>1141</v>
      </c>
      <c r="C498" s="21" t="s">
        <v>244</v>
      </c>
      <c r="D498" s="21" t="s">
        <v>73</v>
      </c>
      <c r="E498" s="21" t="s">
        <v>89</v>
      </c>
      <c r="F498" s="55">
        <v>4.1044798810783805E-4</v>
      </c>
      <c r="G498" s="21">
        <v>5.773053</v>
      </c>
      <c r="H498" s="21">
        <v>3.662004</v>
      </c>
      <c r="I498" s="21">
        <v>3.9624640000000002</v>
      </c>
      <c r="J498" s="21">
        <v>4.4004799999999999</v>
      </c>
      <c r="K498" s="24">
        <v>1.409592</v>
      </c>
      <c r="L498" s="24">
        <v>9.3962299999999992</v>
      </c>
      <c r="M498" s="24">
        <v>4.4549000000000003</v>
      </c>
      <c r="N498" s="24">
        <v>7.7973085937499995</v>
      </c>
      <c r="O498" s="24">
        <v>7.7319587628865971</v>
      </c>
      <c r="P498" s="24">
        <v>6.6493958549222807</v>
      </c>
      <c r="Q498" s="24">
        <v>4.5358008855444529</v>
      </c>
      <c r="R498" s="24">
        <v>4.5</v>
      </c>
      <c r="S498" s="24">
        <v>5.9799516910472263</v>
      </c>
      <c r="T498" s="24">
        <v>1.1080604677605244</v>
      </c>
      <c r="U498" s="24" t="s">
        <v>3202</v>
      </c>
      <c r="V498">
        <v>0</v>
      </c>
      <c r="W498" s="21">
        <v>1</v>
      </c>
      <c r="X498" s="56" t="str">
        <f>IFERROR(VLOOKUP(A498,Output!A:F,6,0),"-")</f>
        <v>-</v>
      </c>
    </row>
    <row r="499" spans="1:24" hidden="1" x14ac:dyDescent="0.25">
      <c r="A499" s="21" t="s">
        <v>1331</v>
      </c>
      <c r="B499" s="40" t="s">
        <v>1332</v>
      </c>
      <c r="C499" s="21" t="s">
        <v>244</v>
      </c>
      <c r="D499" s="21" t="s">
        <v>73</v>
      </c>
      <c r="E499" s="21" t="s">
        <v>89</v>
      </c>
      <c r="F499" s="55">
        <v>4.1005773269344917E-4</v>
      </c>
      <c r="G499" s="24">
        <v>4.2396859999999998</v>
      </c>
      <c r="H499" s="24">
        <v>4.6387159999999996</v>
      </c>
      <c r="I499" s="24">
        <v>4.0283540000000002</v>
      </c>
      <c r="J499" s="24">
        <v>4.3053800000000004</v>
      </c>
      <c r="K499" s="24">
        <v>4.1509910000000003</v>
      </c>
      <c r="L499" s="24">
        <v>7.6179329999999998</v>
      </c>
      <c r="M499" s="24">
        <v>4.1806000000000001</v>
      </c>
      <c r="N499" s="24">
        <v>2.0855039062499996</v>
      </c>
      <c r="O499" s="24">
        <v>6.8041237113402051</v>
      </c>
      <c r="P499" s="24">
        <v>7.9792746113989654</v>
      </c>
      <c r="Q499" s="24">
        <v>3.9704400665300534</v>
      </c>
      <c r="R499" s="24">
        <v>6.52</v>
      </c>
      <c r="S499" s="24">
        <v>4.9425993858939865</v>
      </c>
      <c r="T499" s="24">
        <v>1.4422988236034193</v>
      </c>
      <c r="U499" s="24" t="s">
        <v>3306</v>
      </c>
      <c r="V499">
        <v>0</v>
      </c>
      <c r="W499" s="21">
        <v>1</v>
      </c>
      <c r="X499" s="56" t="str">
        <f>IFERROR(VLOOKUP(A499,Output!A:F,6,0),"-")</f>
        <v>-</v>
      </c>
    </row>
    <row r="500" spans="1:24" x14ac:dyDescent="0.25">
      <c r="A500" s="21" t="s">
        <v>2387</v>
      </c>
      <c r="B500" s="40" t="s">
        <v>2388</v>
      </c>
      <c r="C500" s="21" t="s">
        <v>248</v>
      </c>
      <c r="D500" s="21" t="s">
        <v>75</v>
      </c>
      <c r="E500" s="21" t="s">
        <v>99</v>
      </c>
      <c r="F500" s="55">
        <v>4.0997734752301948E-4</v>
      </c>
      <c r="G500" s="21">
        <v>2.9588320000000001</v>
      </c>
      <c r="H500" s="21">
        <v>6.5410560000000002</v>
      </c>
      <c r="I500" s="21">
        <v>4.6644860000000001</v>
      </c>
      <c r="J500" s="21">
        <v>4.7214580000000002</v>
      </c>
      <c r="K500" s="21">
        <v>1.04356</v>
      </c>
      <c r="L500" s="21">
        <v>5.0729949999999997</v>
      </c>
      <c r="M500" s="21">
        <v>21.683499999999999</v>
      </c>
      <c r="N500" s="21">
        <v>0.98739441701046915</v>
      </c>
      <c r="O500" s="21">
        <v>5.2222222222222223</v>
      </c>
      <c r="P500" s="21">
        <v>4.6188340807174892</v>
      </c>
      <c r="Q500" s="21">
        <v>4.8495149027076767</v>
      </c>
      <c r="R500" s="21">
        <v>3.9</v>
      </c>
      <c r="S500" s="21">
        <v>4.609508757219535</v>
      </c>
      <c r="T500" s="21">
        <v>0.24422672662785105</v>
      </c>
      <c r="U500" s="21" t="s">
        <v>3880</v>
      </c>
      <c r="V500">
        <v>0</v>
      </c>
      <c r="W500" s="21">
        <v>0</v>
      </c>
      <c r="X500" s="56" t="str">
        <f>IFERROR(VLOOKUP(A500,Output!A:F,6,0),"-")</f>
        <v>-</v>
      </c>
    </row>
    <row r="501" spans="1:24" hidden="1" x14ac:dyDescent="0.25">
      <c r="A501" s="21" t="s">
        <v>173</v>
      </c>
      <c r="B501" s="40" t="s">
        <v>240</v>
      </c>
      <c r="C501" s="21" t="s">
        <v>244</v>
      </c>
      <c r="D501" s="21" t="s">
        <v>73</v>
      </c>
      <c r="E501" s="21" t="s">
        <v>102</v>
      </c>
      <c r="F501" s="55">
        <v>4.0867911192949682E-4</v>
      </c>
      <c r="G501" s="24">
        <v>5.8313750000000004</v>
      </c>
      <c r="H501" s="24">
        <v>4.1087119999999997</v>
      </c>
      <c r="I501" s="24">
        <v>4.287445</v>
      </c>
      <c r="J501" s="24">
        <v>5.1780559999999998</v>
      </c>
      <c r="K501" s="24">
        <v>4.4358690000000003</v>
      </c>
      <c r="L501" s="24">
        <v>7.1014860000000004</v>
      </c>
      <c r="M501" s="24">
        <v>1275.989</v>
      </c>
      <c r="N501" s="24">
        <v>3.8157880193907348</v>
      </c>
      <c r="O501" s="24">
        <v>2.1649484536082473</v>
      </c>
      <c r="P501" s="24">
        <v>2.3015873015873014</v>
      </c>
      <c r="Q501" s="24">
        <v>7.8992524947527318</v>
      </c>
      <c r="R501" s="24">
        <v>7.3</v>
      </c>
      <c r="S501" s="24">
        <v>5.1421988085059818</v>
      </c>
      <c r="T501" s="24">
        <v>0.63884735713110097</v>
      </c>
      <c r="U501" s="24" t="s">
        <v>2808</v>
      </c>
      <c r="V501">
        <v>0</v>
      </c>
      <c r="W501" s="21">
        <v>0</v>
      </c>
      <c r="X501" s="56" t="str">
        <f>IFERROR(VLOOKUP(A501,Output!A:F,6,0),"-")</f>
        <v>-</v>
      </c>
    </row>
    <row r="502" spans="1:24" hidden="1" x14ac:dyDescent="0.25">
      <c r="A502" s="21" t="s">
        <v>1262</v>
      </c>
      <c r="B502" s="40" t="s">
        <v>1263</v>
      </c>
      <c r="C502" s="21" t="s">
        <v>244</v>
      </c>
      <c r="D502" s="21" t="s">
        <v>73</v>
      </c>
      <c r="E502" s="21" t="s">
        <v>97</v>
      </c>
      <c r="F502" s="55">
        <v>4.0757867013455334E-4</v>
      </c>
      <c r="G502" s="24">
        <v>7.7296779999999998</v>
      </c>
      <c r="H502" s="24">
        <v>5.5671400000000002</v>
      </c>
      <c r="I502" s="24">
        <v>5.5687360000000004</v>
      </c>
      <c r="J502" s="24">
        <v>6.4327930000000002</v>
      </c>
      <c r="K502" s="24">
        <v>3.7808890000000002</v>
      </c>
      <c r="L502" s="24">
        <v>2.6819099999999998</v>
      </c>
      <c r="M502" s="24">
        <v>30.2056</v>
      </c>
      <c r="N502" s="24">
        <v>5.682066719130904</v>
      </c>
      <c r="O502" s="24">
        <v>3.1958762886597936</v>
      </c>
      <c r="P502" s="24">
        <v>5.1818181818181817</v>
      </c>
      <c r="Q502" s="24">
        <v>4.3348784941705283</v>
      </c>
      <c r="R502" s="24">
        <v>4.83</v>
      </c>
      <c r="S502" s="24">
        <v>5.3939625805033717</v>
      </c>
      <c r="T502" s="24">
        <v>0.69933780464088879</v>
      </c>
      <c r="U502" s="24" t="s">
        <v>3297</v>
      </c>
      <c r="V502">
        <v>0</v>
      </c>
      <c r="W502" s="21">
        <v>0</v>
      </c>
      <c r="X502" s="56" t="str">
        <f>IFERROR(VLOOKUP(A502,Output!A:F,6,0),"-")</f>
        <v>-</v>
      </c>
    </row>
    <row r="503" spans="1:24" x14ac:dyDescent="0.25">
      <c r="A503" s="21" t="s">
        <v>142</v>
      </c>
      <c r="B503" s="40" t="s">
        <v>211</v>
      </c>
      <c r="C503" s="21" t="s">
        <v>248</v>
      </c>
      <c r="D503" s="21" t="s">
        <v>75</v>
      </c>
      <c r="E503" s="21" t="s">
        <v>91</v>
      </c>
      <c r="F503" s="55">
        <v>4.0735079477657681E-4</v>
      </c>
      <c r="G503" s="21">
        <v>5.2488440000000001</v>
      </c>
      <c r="H503" s="21">
        <v>6.4207999999999998</v>
      </c>
      <c r="I503" s="21">
        <v>4.7686760000000001</v>
      </c>
      <c r="J503" s="21">
        <v>5.5255590000000003</v>
      </c>
      <c r="K503" s="24">
        <v>1.558511</v>
      </c>
      <c r="L503" s="24">
        <v>3.7200709999999999</v>
      </c>
      <c r="M503" s="24">
        <v>1.5907</v>
      </c>
      <c r="N503" s="24">
        <v>7.0227849307226355</v>
      </c>
      <c r="O503" s="24">
        <v>9.8717948717948723</v>
      </c>
      <c r="P503" s="24">
        <v>9.8031496062992129</v>
      </c>
      <c r="Q503" s="24">
        <v>2.7103905629763352</v>
      </c>
      <c r="R503" s="24">
        <v>6.56</v>
      </c>
      <c r="S503" s="24">
        <v>5.7516403535871463</v>
      </c>
      <c r="T503" s="24">
        <v>6.4035435931765763E-2</v>
      </c>
      <c r="U503" s="24" t="s">
        <v>2864</v>
      </c>
      <c r="V503">
        <v>0</v>
      </c>
      <c r="W503" s="21">
        <v>0</v>
      </c>
      <c r="X503" s="56">
        <f>IFERROR(VLOOKUP(A503,Output!A:F,6,0),"-")</f>
        <v>4.9999999999999802E-3</v>
      </c>
    </row>
    <row r="504" spans="1:24" hidden="1" x14ac:dyDescent="0.25">
      <c r="A504" s="21" t="s">
        <v>1544</v>
      </c>
      <c r="B504" s="40" t="s">
        <v>1545</v>
      </c>
      <c r="C504" s="21" t="s">
        <v>244</v>
      </c>
      <c r="D504" s="21" t="s">
        <v>73</v>
      </c>
      <c r="E504" s="21" t="s">
        <v>91</v>
      </c>
      <c r="F504" s="55">
        <v>4.0579329437179348E-4</v>
      </c>
      <c r="G504" s="21">
        <v>5.4341340000000002</v>
      </c>
      <c r="H504" s="21">
        <v>5.4979399999999998</v>
      </c>
      <c r="I504" s="21">
        <v>4.5981360000000002</v>
      </c>
      <c r="J504" s="21">
        <v>5.1252570000000004</v>
      </c>
      <c r="K504" s="24">
        <v>1.05633</v>
      </c>
      <c r="L504" s="24">
        <v>3.4565790000000001</v>
      </c>
      <c r="M504" s="24">
        <v>8.1449999999999996</v>
      </c>
      <c r="N504" s="24">
        <v>7.9058555310350833</v>
      </c>
      <c r="O504" s="24">
        <v>5.0505050505050511</v>
      </c>
      <c r="P504" s="24">
        <v>8.8461538509515432</v>
      </c>
      <c r="Q504" s="24">
        <v>4.3309440589640973</v>
      </c>
      <c r="R504" s="24">
        <v>6.79</v>
      </c>
      <c r="S504" s="24">
        <v>5.5167919037879862</v>
      </c>
      <c r="T504" s="24">
        <v>1.1705420390438352</v>
      </c>
      <c r="U504" s="24" t="s">
        <v>3458</v>
      </c>
      <c r="V504">
        <v>0</v>
      </c>
      <c r="W504" s="21">
        <v>0</v>
      </c>
      <c r="X504" s="56" t="str">
        <f>IFERROR(VLOOKUP(A504,Output!A:F,6,0),"-")</f>
        <v>-</v>
      </c>
    </row>
    <row r="505" spans="1:24" hidden="1" x14ac:dyDescent="0.25">
      <c r="A505" s="21" t="s">
        <v>2242</v>
      </c>
      <c r="B505" s="40" t="s">
        <v>2243</v>
      </c>
      <c r="C505" s="21" t="s">
        <v>298</v>
      </c>
      <c r="D505" s="21" t="s">
        <v>74</v>
      </c>
      <c r="E505" s="21" t="s">
        <v>99</v>
      </c>
      <c r="F505" s="55">
        <v>4.0146808928801078E-4</v>
      </c>
      <c r="G505" s="21">
        <v>4.6469589999999998</v>
      </c>
      <c r="H505" s="21">
        <v>5.1547239999999999</v>
      </c>
      <c r="I505" s="21">
        <v>6.8999079999999999</v>
      </c>
      <c r="J505" s="21">
        <v>5.4751729999999998</v>
      </c>
      <c r="K505" s="24">
        <v>0.58835740000000003</v>
      </c>
      <c r="L505" s="24">
        <v>2.6656300000000002</v>
      </c>
      <c r="M505" s="24">
        <v>14.8032</v>
      </c>
      <c r="N505" s="24">
        <v>5.9642692515542306</v>
      </c>
      <c r="O505" s="24">
        <v>5.4945054945054945</v>
      </c>
      <c r="P505" s="24">
        <v>7.680672112986362</v>
      </c>
      <c r="Q505" s="24">
        <v>1.9947546295806442</v>
      </c>
      <c r="R505" s="24">
        <v>4.21</v>
      </c>
      <c r="S505" s="24">
        <v>3.7137592982972363</v>
      </c>
      <c r="T505" s="24">
        <v>1.2556569235669528</v>
      </c>
      <c r="U505" s="24" t="s">
        <v>3764</v>
      </c>
      <c r="V505">
        <v>0</v>
      </c>
      <c r="W505" s="21">
        <v>0</v>
      </c>
      <c r="X505" s="56" t="str">
        <f>IFERROR(VLOOKUP(A505,Output!A:F,6,0),"-")</f>
        <v>-</v>
      </c>
    </row>
    <row r="506" spans="1:24" hidden="1" x14ac:dyDescent="0.25">
      <c r="A506" s="21" t="s">
        <v>2371</v>
      </c>
      <c r="B506" s="40" t="s">
        <v>2372</v>
      </c>
      <c r="C506" s="21" t="s">
        <v>250</v>
      </c>
      <c r="D506" s="21" t="s">
        <v>76</v>
      </c>
      <c r="E506" s="21" t="s">
        <v>98</v>
      </c>
      <c r="F506" s="55">
        <v>4.013452478698697E-4</v>
      </c>
      <c r="G506" s="24">
        <v>4.9526089999999998</v>
      </c>
      <c r="H506" s="24">
        <v>5.4750069999999997</v>
      </c>
      <c r="I506" s="24">
        <v>7.7992119999999998</v>
      </c>
      <c r="J506" s="24">
        <v>6.3002089999999997</v>
      </c>
      <c r="K506" s="24">
        <v>3.2244199999999998</v>
      </c>
      <c r="L506" s="24">
        <v>3.565591</v>
      </c>
      <c r="M506" s="24">
        <v>56.680500000000002</v>
      </c>
      <c r="N506" s="24">
        <v>2.7146789082314737</v>
      </c>
      <c r="O506" s="24">
        <v>0</v>
      </c>
      <c r="P506" s="24">
        <v>0</v>
      </c>
      <c r="Q506" s="24">
        <v>2.0438794607454387</v>
      </c>
      <c r="R506" s="24">
        <v>5.42</v>
      </c>
      <c r="S506" s="24">
        <v>2.2262341386402191</v>
      </c>
      <c r="T506" s="24">
        <v>0.34893367623298949</v>
      </c>
      <c r="U506" s="24" t="s">
        <v>3869</v>
      </c>
      <c r="V506">
        <v>0</v>
      </c>
      <c r="W506" s="21">
        <v>0</v>
      </c>
      <c r="X506" s="56" t="str">
        <f>IFERROR(VLOOKUP(A506,Output!A:F,6,0),"-")</f>
        <v>-</v>
      </c>
    </row>
    <row r="507" spans="1:24" hidden="1" x14ac:dyDescent="0.25">
      <c r="A507" s="21" t="s">
        <v>1252</v>
      </c>
      <c r="B507" s="40" t="s">
        <v>1253</v>
      </c>
      <c r="C507" s="21" t="s">
        <v>244</v>
      </c>
      <c r="D507" s="21" t="s">
        <v>73</v>
      </c>
      <c r="E507" s="21" t="s">
        <v>97</v>
      </c>
      <c r="F507" s="55">
        <v>4.0082772431956898E-4</v>
      </c>
      <c r="G507" s="24">
        <v>5.2675330000000002</v>
      </c>
      <c r="H507" s="24">
        <v>6.4378120000000001</v>
      </c>
      <c r="I507" s="24">
        <v>6.0095539999999996</v>
      </c>
      <c r="J507" s="24">
        <v>5.7983969999999996</v>
      </c>
      <c r="K507" s="24">
        <v>2.5025870000000001</v>
      </c>
      <c r="L507" s="24">
        <v>3.1025399999999999</v>
      </c>
      <c r="M507" s="53">
        <v>103.98220000000001</v>
      </c>
      <c r="N507" s="24">
        <v>5.6985683665728768</v>
      </c>
      <c r="O507" s="24">
        <v>4.9484536082474229</v>
      </c>
      <c r="P507" s="24">
        <v>6.8636363636363642</v>
      </c>
      <c r="Q507" s="24">
        <v>6.4442562157606398</v>
      </c>
      <c r="R507" s="24">
        <v>1.75</v>
      </c>
      <c r="S507" s="24">
        <v>5.9420490518283273</v>
      </c>
      <c r="T507" s="24">
        <v>0.9179836920960518</v>
      </c>
      <c r="U507" s="24" t="s">
        <v>3242</v>
      </c>
      <c r="V507">
        <v>0</v>
      </c>
      <c r="W507" s="21">
        <v>0</v>
      </c>
      <c r="X507" s="56" t="str">
        <f>IFERROR(VLOOKUP(A507,Output!A:F,6,0),"-")</f>
        <v>-</v>
      </c>
    </row>
    <row r="508" spans="1:24" hidden="1" x14ac:dyDescent="0.25">
      <c r="A508" s="21" t="s">
        <v>168</v>
      </c>
      <c r="B508" s="40" t="s">
        <v>235</v>
      </c>
      <c r="C508" s="21" t="s">
        <v>244</v>
      </c>
      <c r="D508" s="21" t="s">
        <v>73</v>
      </c>
      <c r="E508" s="21" t="s">
        <v>96</v>
      </c>
      <c r="F508" s="55">
        <v>4.0075045797302339E-4</v>
      </c>
      <c r="G508" s="24">
        <v>3.3784299999999998</v>
      </c>
      <c r="H508" s="24">
        <v>6.7234670000000003</v>
      </c>
      <c r="I508" s="24">
        <v>5.1615039999999999</v>
      </c>
      <c r="J508" s="24">
        <v>5.0878009999999998</v>
      </c>
      <c r="K508" s="24">
        <v>0.67675759999999996</v>
      </c>
      <c r="L508" s="24">
        <v>11.79818</v>
      </c>
      <c r="M508" s="24">
        <v>8.2091999999999992</v>
      </c>
      <c r="N508" s="24">
        <v>5.4244101223665764</v>
      </c>
      <c r="O508" s="24">
        <v>9.1836734693877542</v>
      </c>
      <c r="P508" s="24">
        <v>7.5457170261625306</v>
      </c>
      <c r="Q508" s="24">
        <v>8.3820716832903468</v>
      </c>
      <c r="R508" s="24">
        <v>5.33</v>
      </c>
      <c r="S508" s="24">
        <v>6.8938057793623431</v>
      </c>
      <c r="T508" s="24">
        <v>1.267986379810031</v>
      </c>
      <c r="U508" s="24" t="s">
        <v>3100</v>
      </c>
      <c r="V508">
        <v>0</v>
      </c>
      <c r="W508" s="21">
        <v>0</v>
      </c>
      <c r="X508" s="56">
        <f>IFERROR(VLOOKUP(A508,Output!A:F,6,0),"-")</f>
        <v>7.4999999999999997E-3</v>
      </c>
    </row>
    <row r="509" spans="1:24" hidden="1" x14ac:dyDescent="0.25">
      <c r="A509" s="21" t="s">
        <v>2397</v>
      </c>
      <c r="B509" s="40" t="s">
        <v>2398</v>
      </c>
      <c r="C509" s="21" t="s">
        <v>305</v>
      </c>
      <c r="D509" s="21" t="s">
        <v>74</v>
      </c>
      <c r="E509" s="21" t="s">
        <v>95</v>
      </c>
      <c r="F509" s="55">
        <v>3.9883620435879867E-4</v>
      </c>
      <c r="G509" s="21">
        <v>5.5600339999999999</v>
      </c>
      <c r="H509" s="21">
        <v>6.2306020000000002</v>
      </c>
      <c r="I509" s="21">
        <v>6.6826879999999997</v>
      </c>
      <c r="J509" s="21">
        <v>6.098001</v>
      </c>
      <c r="K509" s="24">
        <v>0.47743910000000001</v>
      </c>
      <c r="L509" s="24">
        <v>2.0672540000000001</v>
      </c>
      <c r="M509" s="24">
        <v>11.4153</v>
      </c>
      <c r="N509" s="24">
        <v>6.4358810092786864</v>
      </c>
      <c r="O509" s="24">
        <v>7.5280898876404487</v>
      </c>
      <c r="P509" s="24">
        <v>3.5094339622641515</v>
      </c>
      <c r="Q509" s="24">
        <v>0</v>
      </c>
      <c r="R509" s="24">
        <v>2.92</v>
      </c>
      <c r="S509" s="24">
        <v>2.0149154745247508</v>
      </c>
      <c r="T509" s="24">
        <v>0.75786234187027579</v>
      </c>
      <c r="U509" s="24" t="s">
        <v>3888</v>
      </c>
      <c r="V509">
        <v>0</v>
      </c>
      <c r="W509" s="21">
        <v>0</v>
      </c>
      <c r="X509" s="56" t="str">
        <f>IFERROR(VLOOKUP(A509,Output!A:F,6,0),"-")</f>
        <v>-</v>
      </c>
    </row>
    <row r="510" spans="1:24" x14ac:dyDescent="0.25">
      <c r="A510" s="21" t="s">
        <v>2278</v>
      </c>
      <c r="B510" s="40" t="s">
        <v>2279</v>
      </c>
      <c r="C510" s="21" t="s">
        <v>248</v>
      </c>
      <c r="D510" s="21" t="s">
        <v>75</v>
      </c>
      <c r="E510" s="21" t="s">
        <v>92</v>
      </c>
      <c r="F510" s="55">
        <v>3.9824081081861988E-4</v>
      </c>
      <c r="G510" s="24">
        <v>4.6354509999999998</v>
      </c>
      <c r="H510" s="24">
        <v>5.7088549999999998</v>
      </c>
      <c r="I510" s="24">
        <v>2.8853659999999999</v>
      </c>
      <c r="J510" s="24">
        <v>4.4324469999999998</v>
      </c>
      <c r="K510" s="24">
        <v>3.2383929999999999</v>
      </c>
      <c r="L510" s="24">
        <v>13.626239999999999</v>
      </c>
      <c r="M510" s="24">
        <v>26.2698</v>
      </c>
      <c r="N510" s="24">
        <v>4.5124845742427935</v>
      </c>
      <c r="O510" s="24">
        <v>8.526315789473685</v>
      </c>
      <c r="P510" s="24">
        <v>5.0971430812734582</v>
      </c>
      <c r="Q510" s="24">
        <v>6.0874613509685496</v>
      </c>
      <c r="R510" s="24">
        <v>6.1</v>
      </c>
      <c r="S510" s="24">
        <v>6.1068852019146895</v>
      </c>
      <c r="T510" s="24">
        <v>0.53261299757176828</v>
      </c>
      <c r="U510" s="24" t="s">
        <v>3814</v>
      </c>
      <c r="V510">
        <v>1</v>
      </c>
      <c r="W510" s="21">
        <v>1</v>
      </c>
      <c r="X510" s="56" t="str">
        <f>IFERROR(VLOOKUP(A510,Output!A:F,6,0),"-")</f>
        <v>-</v>
      </c>
    </row>
    <row r="511" spans="1:24" hidden="1" x14ac:dyDescent="0.25">
      <c r="A511" s="21" t="s">
        <v>1182</v>
      </c>
      <c r="B511" s="40" t="s">
        <v>1183</v>
      </c>
      <c r="C511" s="21" t="s">
        <v>244</v>
      </c>
      <c r="D511" s="21" t="s">
        <v>73</v>
      </c>
      <c r="E511" s="21" t="s">
        <v>99</v>
      </c>
      <c r="F511" s="55">
        <v>3.9797842718347517E-4</v>
      </c>
      <c r="G511" s="24">
        <v>5.4433939999999996</v>
      </c>
      <c r="H511" s="24">
        <v>4.969805</v>
      </c>
      <c r="I511" s="24">
        <v>7.4809409999999996</v>
      </c>
      <c r="J511" s="24">
        <v>6.0689770000000003</v>
      </c>
      <c r="K511" s="24">
        <v>0</v>
      </c>
      <c r="L511" s="24">
        <v>1.932626</v>
      </c>
      <c r="M511" s="24">
        <v>3.9097</v>
      </c>
      <c r="N511" s="24">
        <v>0.59754993201856976</v>
      </c>
      <c r="O511" s="24">
        <v>2.4489795918367343</v>
      </c>
      <c r="P511" s="24">
        <v>1.4244465502384853</v>
      </c>
      <c r="Q511" s="24">
        <v>1.930372959174389</v>
      </c>
      <c r="R511" s="24" t="e">
        <v>#N/A</v>
      </c>
      <c r="S511" s="24">
        <v>1.9603800447175916</v>
      </c>
      <c r="T511" s="24">
        <v>1.2247707249064939</v>
      </c>
      <c r="U511" s="24" t="s">
        <v>3224</v>
      </c>
      <c r="V511">
        <v>0</v>
      </c>
      <c r="W511" s="21">
        <v>0</v>
      </c>
      <c r="X511" s="56" t="str">
        <f>IFERROR(VLOOKUP(A511,Output!A:F,6,0),"-")</f>
        <v>-</v>
      </c>
    </row>
    <row r="512" spans="1:24" hidden="1" x14ac:dyDescent="0.25">
      <c r="A512" s="21" t="s">
        <v>1403</v>
      </c>
      <c r="B512" s="40" t="s">
        <v>1404</v>
      </c>
      <c r="C512" s="21" t="s">
        <v>244</v>
      </c>
      <c r="D512" s="21" t="s">
        <v>73</v>
      </c>
      <c r="E512" s="21" t="s">
        <v>98</v>
      </c>
      <c r="F512" s="55">
        <v>3.9792601082077949E-4</v>
      </c>
      <c r="G512" s="24">
        <v>5.5403349999999998</v>
      </c>
      <c r="H512" s="24">
        <v>6.0154990000000002</v>
      </c>
      <c r="I512" s="24">
        <v>6.520238</v>
      </c>
      <c r="J512" s="24">
        <v>6.1223619999999999</v>
      </c>
      <c r="K512" s="24">
        <v>0</v>
      </c>
      <c r="L512" s="24">
        <v>5.3538170000000003</v>
      </c>
      <c r="M512" s="24">
        <v>40.032699999999998</v>
      </c>
      <c r="N512" s="24">
        <v>5.443412237062879</v>
      </c>
      <c r="O512" s="24">
        <v>3.2653061224489792</v>
      </c>
      <c r="P512" s="24">
        <v>8.9027911411079543</v>
      </c>
      <c r="Q512" s="24">
        <v>4.5439873850367682</v>
      </c>
      <c r="R512" s="24" t="e">
        <v>#N/A</v>
      </c>
      <c r="S512" s="24">
        <v>5.5405200797593128</v>
      </c>
      <c r="T512" s="24">
        <v>0.82397458507582888</v>
      </c>
      <c r="U512" s="24" t="s">
        <v>2807</v>
      </c>
      <c r="V512">
        <v>0</v>
      </c>
      <c r="W512" s="21">
        <v>0</v>
      </c>
      <c r="X512" s="56" t="str">
        <f>IFERROR(VLOOKUP(A512,Output!A:F,6,0),"-")</f>
        <v>-</v>
      </c>
    </row>
    <row r="513" spans="1:24" hidden="1" x14ac:dyDescent="0.25">
      <c r="A513" s="21" t="s">
        <v>1116</v>
      </c>
      <c r="B513" s="40" t="s">
        <v>1117</v>
      </c>
      <c r="C513" s="21" t="s">
        <v>244</v>
      </c>
      <c r="D513" s="21" t="s">
        <v>73</v>
      </c>
      <c r="E513" s="21" t="s">
        <v>92</v>
      </c>
      <c r="F513" s="55">
        <v>3.9766624297340845E-4</v>
      </c>
      <c r="G513" s="21">
        <v>4.9307869999999996</v>
      </c>
      <c r="H513" s="21">
        <v>4.1855159999999998</v>
      </c>
      <c r="I513" s="21">
        <v>5.9523320000000002</v>
      </c>
      <c r="J513" s="21">
        <v>5.0136690000000002</v>
      </c>
      <c r="K513" s="24">
        <v>0.52079770000000003</v>
      </c>
      <c r="L513" s="24">
        <v>5.4821960000000001</v>
      </c>
      <c r="M513" s="24">
        <v>39.753799999999998</v>
      </c>
      <c r="N513" s="24">
        <v>6.2192230113636358</v>
      </c>
      <c r="O513" s="24">
        <v>7.4747474747474749</v>
      </c>
      <c r="P513" s="24">
        <v>3.5736354538676194</v>
      </c>
      <c r="Q513" s="24">
        <v>6.2608622245818957</v>
      </c>
      <c r="R513" s="24">
        <v>4.03</v>
      </c>
      <c r="S513" s="24">
        <v>5.4774473382237758</v>
      </c>
      <c r="T513" s="24">
        <v>0.97580654601817451</v>
      </c>
      <c r="U513" s="24" t="s">
        <v>3152</v>
      </c>
      <c r="V513">
        <v>0</v>
      </c>
      <c r="W513" s="21">
        <v>0</v>
      </c>
      <c r="X513" s="56" t="str">
        <f>IFERROR(VLOOKUP(A513,Output!A:F,6,0),"-")</f>
        <v>-</v>
      </c>
    </row>
    <row r="514" spans="1:24" x14ac:dyDescent="0.25">
      <c r="A514" s="21" t="s">
        <v>2389</v>
      </c>
      <c r="B514" s="40" t="s">
        <v>2390</v>
      </c>
      <c r="C514" s="21" t="s">
        <v>248</v>
      </c>
      <c r="D514" s="21" t="s">
        <v>75</v>
      </c>
      <c r="E514" s="21" t="s">
        <v>99</v>
      </c>
      <c r="F514" s="55">
        <v>3.9733413853337293E-4</v>
      </c>
      <c r="G514" s="24">
        <v>4.1465820000000004</v>
      </c>
      <c r="H514" s="24">
        <v>5.2172700000000001</v>
      </c>
      <c r="I514" s="24">
        <v>3.1790310000000002</v>
      </c>
      <c r="J514" s="24">
        <v>4.1775229999999999</v>
      </c>
      <c r="K514" s="24">
        <v>0.85537890000000005</v>
      </c>
      <c r="L514" s="24">
        <v>7.6363349999999999</v>
      </c>
      <c r="M514" s="24">
        <v>143.5496</v>
      </c>
      <c r="N514" s="24">
        <v>7.4429788381139748</v>
      </c>
      <c r="O514" s="24">
        <v>6.5555555555555545</v>
      </c>
      <c r="P514" s="24">
        <v>6.0089686098654704</v>
      </c>
      <c r="Q514" s="24">
        <v>7.1138205595342026</v>
      </c>
      <c r="R514" s="24">
        <v>3.48</v>
      </c>
      <c r="S514" s="24">
        <v>5.7420021741219056</v>
      </c>
      <c r="T514" s="24">
        <v>0.56810448364359756</v>
      </c>
      <c r="U514" s="24" t="s">
        <v>2846</v>
      </c>
      <c r="V514">
        <v>0</v>
      </c>
      <c r="W514" s="21">
        <v>1</v>
      </c>
      <c r="X514" s="56" t="str">
        <f>IFERROR(VLOOKUP(A514,Output!A:F,6,0),"-")</f>
        <v>-</v>
      </c>
    </row>
    <row r="515" spans="1:24" hidden="1" x14ac:dyDescent="0.25">
      <c r="A515" s="21" t="s">
        <v>1484</v>
      </c>
      <c r="B515" s="40" t="s">
        <v>1485</v>
      </c>
      <c r="C515" s="21" t="s">
        <v>244</v>
      </c>
      <c r="D515" s="21" t="s">
        <v>73</v>
      </c>
      <c r="E515" s="21" t="s">
        <v>99</v>
      </c>
      <c r="F515" s="55">
        <v>3.9722045237243985E-4</v>
      </c>
      <c r="G515" s="24">
        <v>3.9834390000000002</v>
      </c>
      <c r="H515" s="24">
        <v>5.6783710000000003</v>
      </c>
      <c r="I515" s="24">
        <v>3.534033</v>
      </c>
      <c r="J515" s="24">
        <v>4.3570970000000004</v>
      </c>
      <c r="K515" s="24">
        <v>3.4781780000000002</v>
      </c>
      <c r="L515" s="24">
        <v>6.2874119999999998</v>
      </c>
      <c r="M515" s="24">
        <v>277.77769999999998</v>
      </c>
      <c r="N515" s="24">
        <v>3.2636154904195336</v>
      </c>
      <c r="O515" s="24">
        <v>1.0416666666666667</v>
      </c>
      <c r="P515" s="24">
        <v>2.477611940298508</v>
      </c>
      <c r="Q515" s="24">
        <v>7.4886066749969036</v>
      </c>
      <c r="R515" s="24">
        <v>7.74</v>
      </c>
      <c r="S515" s="24">
        <v>6.2636508320401445</v>
      </c>
      <c r="T515" s="24">
        <v>0.90774107609292676</v>
      </c>
      <c r="U515" s="24" t="s">
        <v>3342</v>
      </c>
      <c r="V515">
        <v>0</v>
      </c>
      <c r="W515" s="21">
        <v>1</v>
      </c>
      <c r="X515" s="56" t="str">
        <f>IFERROR(VLOOKUP(A515,Output!A:F,6,0),"-")</f>
        <v>-</v>
      </c>
    </row>
    <row r="516" spans="1:24" x14ac:dyDescent="0.25">
      <c r="A516" s="21" t="s">
        <v>2494</v>
      </c>
      <c r="B516" s="40" t="s">
        <v>2495</v>
      </c>
      <c r="C516" s="21" t="s">
        <v>248</v>
      </c>
      <c r="D516" s="21" t="s">
        <v>75</v>
      </c>
      <c r="E516" s="21" t="s">
        <v>92</v>
      </c>
      <c r="F516" s="55">
        <v>3.967143980454545E-4</v>
      </c>
      <c r="G516" s="21">
        <v>6.82728</v>
      </c>
      <c r="H516" s="21">
        <v>5.5266650000000004</v>
      </c>
      <c r="I516" s="21">
        <v>3.9075630000000001</v>
      </c>
      <c r="J516" s="21">
        <v>5.5611810000000004</v>
      </c>
      <c r="K516" s="24">
        <v>1.9313670000000001</v>
      </c>
      <c r="L516" s="24">
        <v>2.4764390000000001</v>
      </c>
      <c r="M516" s="24">
        <v>40.291699999999999</v>
      </c>
      <c r="N516" s="24">
        <v>4.4678054631070125</v>
      </c>
      <c r="O516" s="24">
        <v>3.7894736842105265</v>
      </c>
      <c r="P516" s="24">
        <v>6.9485715680653009</v>
      </c>
      <c r="Q516" s="24">
        <v>1.6154371554894644</v>
      </c>
      <c r="R516" s="24">
        <v>4.01</v>
      </c>
      <c r="S516" s="24">
        <v>4.1363146988346804</v>
      </c>
      <c r="T516" s="24">
        <v>0.24342405550882304</v>
      </c>
      <c r="U516" s="24" t="s">
        <v>3950</v>
      </c>
      <c r="V516">
        <v>0</v>
      </c>
      <c r="W516" s="21">
        <v>0</v>
      </c>
      <c r="X516" s="56" t="str">
        <f>IFERROR(VLOOKUP(A516,Output!A:F,6,0),"-")</f>
        <v>-</v>
      </c>
    </row>
    <row r="517" spans="1:24" hidden="1" x14ac:dyDescent="0.25">
      <c r="A517" s="21" t="s">
        <v>4445</v>
      </c>
      <c r="B517" s="40" t="s">
        <v>2216</v>
      </c>
      <c r="C517" s="21" t="s">
        <v>245</v>
      </c>
      <c r="D517" s="21" t="s">
        <v>73</v>
      </c>
      <c r="E517" s="21" t="s">
        <v>89</v>
      </c>
      <c r="F517" s="55">
        <v>3.9544885979910286E-4</v>
      </c>
      <c r="G517" s="24">
        <v>7.1051770000000003</v>
      </c>
      <c r="H517" s="24">
        <v>4.9943600000000004</v>
      </c>
      <c r="I517" s="24">
        <v>2.187192</v>
      </c>
      <c r="J517" s="24">
        <v>4.9965359999999999</v>
      </c>
      <c r="K517" s="24">
        <v>1.4033770000000001</v>
      </c>
      <c r="L517" s="24">
        <v>2.4915389999999999</v>
      </c>
      <c r="M517" s="24">
        <v>10.227499999999999</v>
      </c>
      <c r="N517" s="24">
        <v>3.28125</v>
      </c>
      <c r="O517" s="24">
        <v>1.8556701030927834</v>
      </c>
      <c r="P517" s="24">
        <v>8.2383419689119179</v>
      </c>
      <c r="Q517" s="24">
        <v>0.9676187725505786</v>
      </c>
      <c r="R517" s="24">
        <v>4.43</v>
      </c>
      <c r="S517" s="24">
        <v>4.0910521783607283</v>
      </c>
      <c r="T517" s="24">
        <v>0.63081187684596896</v>
      </c>
      <c r="U517" s="24" t="s">
        <v>3750</v>
      </c>
      <c r="V517">
        <v>0</v>
      </c>
      <c r="W517" s="21">
        <v>0</v>
      </c>
      <c r="X517" s="56" t="str">
        <f>IFERROR(VLOOKUP(A517,Output!A:F,6,0),"-")</f>
        <v>-</v>
      </c>
    </row>
    <row r="518" spans="1:24" hidden="1" x14ac:dyDescent="0.25">
      <c r="A518" s="21" t="s">
        <v>4298</v>
      </c>
      <c r="B518" s="40" t="s">
        <v>4299</v>
      </c>
      <c r="C518" s="21" t="s">
        <v>257</v>
      </c>
      <c r="D518" s="21" t="s">
        <v>74</v>
      </c>
      <c r="E518" s="21" t="s">
        <v>92</v>
      </c>
      <c r="F518" s="55">
        <v>3.9355573370151173E-4</v>
      </c>
      <c r="G518" s="24">
        <v>4.5157530000000001</v>
      </c>
      <c r="H518" s="24">
        <v>5.5018739999999999</v>
      </c>
      <c r="I518" s="24">
        <v>5.1012950000000004</v>
      </c>
      <c r="J518" s="24">
        <v>4.9872519999999998</v>
      </c>
      <c r="K518" s="24">
        <v>1.4894270000000001</v>
      </c>
      <c r="L518" s="24">
        <v>7.5140589999999996</v>
      </c>
      <c r="M518" s="24">
        <v>79.689099999999996</v>
      </c>
      <c r="N518" s="24">
        <v>9.0444444444444443</v>
      </c>
      <c r="O518" s="24">
        <v>9.2857142857142847</v>
      </c>
      <c r="P518" s="24">
        <v>5.3424657534246576</v>
      </c>
      <c r="Q518" s="24">
        <v>3.1011419444983379</v>
      </c>
      <c r="R518" s="24">
        <v>4.55</v>
      </c>
      <c r="S518" s="24">
        <v>5.0059273389899257</v>
      </c>
      <c r="T518" s="24">
        <v>0.57312117349677394</v>
      </c>
      <c r="U518" s="24" t="s">
        <v>4300</v>
      </c>
      <c r="V518">
        <v>1</v>
      </c>
      <c r="W518" s="21">
        <v>0</v>
      </c>
      <c r="X518" s="56" t="str">
        <f>IFERROR(VLOOKUP(A518,Output!A:F,6,0),"-")</f>
        <v>-</v>
      </c>
    </row>
    <row r="519" spans="1:24" x14ac:dyDescent="0.25">
      <c r="A519" s="21" t="s">
        <v>2220</v>
      </c>
      <c r="B519" s="40" t="s">
        <v>2221</v>
      </c>
      <c r="C519" s="21" t="s">
        <v>248</v>
      </c>
      <c r="D519" s="21" t="s">
        <v>75</v>
      </c>
      <c r="E519" s="21" t="s">
        <v>99</v>
      </c>
      <c r="F519" s="55">
        <v>3.9317825540432507E-4</v>
      </c>
      <c r="G519" s="24">
        <v>3.9327220000000001</v>
      </c>
      <c r="H519" s="24">
        <v>5.2816289999999997</v>
      </c>
      <c r="I519" s="24">
        <v>3.2498930000000001</v>
      </c>
      <c r="J519" s="24">
        <v>4.1325450000000004</v>
      </c>
      <c r="K519" s="24">
        <v>1.4892620000000001</v>
      </c>
      <c r="L519" s="24">
        <v>7.4622570000000001</v>
      </c>
      <c r="M519" s="24">
        <v>66.7256</v>
      </c>
      <c r="N519" s="57">
        <v>3.8175272399476134</v>
      </c>
      <c r="O519" s="24">
        <v>4.666666666666667</v>
      </c>
      <c r="P519" s="24">
        <v>3.2286995515695063</v>
      </c>
      <c r="Q519" s="24">
        <v>6.7092708694227818</v>
      </c>
      <c r="R519" s="24">
        <v>4.88</v>
      </c>
      <c r="S519" s="24">
        <v>5.8261880623063806</v>
      </c>
      <c r="T519" s="24">
        <v>0.23115631797753194</v>
      </c>
      <c r="U519" s="24" t="s">
        <v>3782</v>
      </c>
      <c r="V519">
        <v>0</v>
      </c>
      <c r="W519" s="21">
        <v>1</v>
      </c>
      <c r="X519" s="56" t="str">
        <f>IFERROR(VLOOKUP(A519,Output!A:F,6,0),"-")</f>
        <v>-</v>
      </c>
    </row>
    <row r="520" spans="1:24" x14ac:dyDescent="0.25">
      <c r="A520" s="21" t="s">
        <v>133</v>
      </c>
      <c r="B520" s="40" t="s">
        <v>201</v>
      </c>
      <c r="C520" s="21" t="s">
        <v>248</v>
      </c>
      <c r="D520" s="21" t="s">
        <v>75</v>
      </c>
      <c r="E520" s="21" t="s">
        <v>103</v>
      </c>
      <c r="F520" s="55">
        <v>3.9125474592567041E-4</v>
      </c>
      <c r="G520" s="24">
        <v>4.5435730000000003</v>
      </c>
      <c r="H520" s="24">
        <v>6.1090980000000004</v>
      </c>
      <c r="I520" s="24">
        <v>7.0860510000000003</v>
      </c>
      <c r="J520" s="24">
        <v>5.7759739999999997</v>
      </c>
      <c r="K520" s="24">
        <v>3.3442280000000002</v>
      </c>
      <c r="L520" s="24">
        <v>9.0357079999999996</v>
      </c>
      <c r="M520" s="24">
        <v>152.65809999999999</v>
      </c>
      <c r="N520" s="24">
        <v>3.1950639640359131</v>
      </c>
      <c r="O520" s="24">
        <v>5.268817204301075</v>
      </c>
      <c r="P520" s="24">
        <v>5.3409090909090908</v>
      </c>
      <c r="Q520" s="24">
        <v>6.9317383060357205</v>
      </c>
      <c r="R520" s="24">
        <v>6.69</v>
      </c>
      <c r="S520" s="24">
        <v>6.3336310658414483</v>
      </c>
      <c r="T520" s="24">
        <v>0.24666742074796644</v>
      </c>
      <c r="U520" s="24" t="s">
        <v>2847</v>
      </c>
      <c r="V520">
        <v>0</v>
      </c>
      <c r="W520" s="21">
        <v>0</v>
      </c>
      <c r="X520" s="56" t="str">
        <f>IFERROR(VLOOKUP(A520,Output!A:F,6,0),"-")</f>
        <v>-</v>
      </c>
    </row>
    <row r="521" spans="1:24" hidden="1" x14ac:dyDescent="0.25">
      <c r="A521" s="21" t="s">
        <v>1079</v>
      </c>
      <c r="B521" s="40" t="s">
        <v>1080</v>
      </c>
      <c r="C521" s="21" t="s">
        <v>244</v>
      </c>
      <c r="D521" s="21" t="s">
        <v>73</v>
      </c>
      <c r="E521" s="21" t="s">
        <v>96</v>
      </c>
      <c r="F521" s="55">
        <v>3.8997401598878703E-4</v>
      </c>
      <c r="G521" s="21">
        <v>3.0461740000000002</v>
      </c>
      <c r="H521" s="21">
        <v>3.562659</v>
      </c>
      <c r="I521" s="21">
        <v>5.3962950000000003</v>
      </c>
      <c r="J521" s="21">
        <v>4.001709</v>
      </c>
      <c r="K521" s="21">
        <v>0</v>
      </c>
      <c r="L521" s="21">
        <v>7.1125679999999996</v>
      </c>
      <c r="M521" s="21">
        <v>1.7067000000000001</v>
      </c>
      <c r="N521" s="21">
        <v>6.0684131872319567</v>
      </c>
      <c r="O521" s="21">
        <v>9.1836734693877542</v>
      </c>
      <c r="P521" s="21">
        <v>8.9605389757864842</v>
      </c>
      <c r="Q521" s="21">
        <v>5.838708710289561</v>
      </c>
      <c r="R521" s="21" t="e">
        <v>#N/A</v>
      </c>
      <c r="S521" s="21">
        <v>6.4950428382053094</v>
      </c>
      <c r="T521" s="21">
        <v>1.1503449279034781</v>
      </c>
      <c r="U521" s="21" t="s">
        <v>3201</v>
      </c>
      <c r="V521">
        <v>0</v>
      </c>
      <c r="W521" s="21">
        <v>1</v>
      </c>
      <c r="X521" s="56" t="str">
        <f>IFERROR(VLOOKUP(A521,Output!A:F,6,0),"-")</f>
        <v>-</v>
      </c>
    </row>
    <row r="522" spans="1:24" hidden="1" x14ac:dyDescent="0.25">
      <c r="A522" s="21" t="s">
        <v>606</v>
      </c>
      <c r="B522" s="40" t="s">
        <v>1007</v>
      </c>
      <c r="C522" s="21" t="s">
        <v>244</v>
      </c>
      <c r="D522" s="21" t="s">
        <v>73</v>
      </c>
      <c r="E522" s="21" t="s">
        <v>99</v>
      </c>
      <c r="F522" s="55">
        <v>3.8982501669290921E-4</v>
      </c>
      <c r="G522" s="24">
        <v>2.7297250000000002</v>
      </c>
      <c r="H522" s="24">
        <v>4.2723129999999996</v>
      </c>
      <c r="I522" s="24">
        <v>3.189889</v>
      </c>
      <c r="J522" s="24">
        <v>3.3973089999999999</v>
      </c>
      <c r="K522" s="24">
        <v>0</v>
      </c>
      <c r="L522" s="24">
        <v>0.62875559999999997</v>
      </c>
      <c r="M522" s="24">
        <v>22.915099999999999</v>
      </c>
      <c r="N522" s="24">
        <v>3.4096293140986038</v>
      </c>
      <c r="O522" s="24">
        <v>3.958333333333333</v>
      </c>
      <c r="P522" s="24">
        <v>2.109453134328358</v>
      </c>
      <c r="Q522" s="24">
        <v>1.0469427225170795</v>
      </c>
      <c r="R522" s="24" t="e">
        <v>#N/A</v>
      </c>
      <c r="S522" s="24">
        <v>1.4560153507223805</v>
      </c>
      <c r="T522" s="24">
        <v>2.5921552911918617</v>
      </c>
      <c r="U522" s="24" t="s">
        <v>3132</v>
      </c>
      <c r="V522">
        <v>0</v>
      </c>
      <c r="W522" s="21">
        <v>1</v>
      </c>
      <c r="X522" s="56" t="str">
        <f>IFERROR(VLOOKUP(A522,Output!A:F,6,0),"-")</f>
        <v>-</v>
      </c>
    </row>
    <row r="523" spans="1:24" hidden="1" x14ac:dyDescent="0.25">
      <c r="A523" s="21" t="s">
        <v>1202</v>
      </c>
      <c r="B523" s="40" t="s">
        <v>1203</v>
      </c>
      <c r="C523" s="21" t="s">
        <v>244</v>
      </c>
      <c r="D523" s="21" t="s">
        <v>73</v>
      </c>
      <c r="E523" s="21" t="s">
        <v>96</v>
      </c>
      <c r="F523" s="55">
        <v>3.888904762071504E-4</v>
      </c>
      <c r="G523" s="24">
        <v>4.204034</v>
      </c>
      <c r="H523" s="24">
        <v>4.3491629999999999</v>
      </c>
      <c r="I523" s="24">
        <v>6.0651840000000004</v>
      </c>
      <c r="J523" s="24">
        <v>4.8059180000000001</v>
      </c>
      <c r="K523" s="24">
        <v>1.08771</v>
      </c>
      <c r="L523" s="24">
        <v>3.7336260000000001</v>
      </c>
      <c r="M523" s="24">
        <v>33.828099999999999</v>
      </c>
      <c r="N523" s="24">
        <v>5.0180245133381387</v>
      </c>
      <c r="O523" s="24">
        <v>9.3814432989690708</v>
      </c>
      <c r="P523" s="24">
        <v>4.605809128630705</v>
      </c>
      <c r="Q523" s="24">
        <v>0.94974044360547405</v>
      </c>
      <c r="R523" s="24">
        <v>2.5299999999999998</v>
      </c>
      <c r="S523" s="24">
        <v>3.51248856170458</v>
      </c>
      <c r="T523" s="24">
        <v>0.39506856969075754</v>
      </c>
      <c r="U523" s="24" t="s">
        <v>3262</v>
      </c>
      <c r="V523">
        <v>0</v>
      </c>
      <c r="W523" s="21">
        <v>0</v>
      </c>
      <c r="X523" s="56" t="str">
        <f>IFERROR(VLOOKUP(A523,Output!A:F,6,0),"-")</f>
        <v>-</v>
      </c>
    </row>
    <row r="524" spans="1:24" hidden="1" x14ac:dyDescent="0.25">
      <c r="A524" s="21" t="s">
        <v>1501</v>
      </c>
      <c r="B524" s="40" t="s">
        <v>1502</v>
      </c>
      <c r="C524" s="21" t="s">
        <v>244</v>
      </c>
      <c r="D524" s="21" t="s">
        <v>73</v>
      </c>
      <c r="E524" s="21" t="s">
        <v>102</v>
      </c>
      <c r="F524" s="55">
        <v>3.8788983677649503E-4</v>
      </c>
      <c r="G524" s="21">
        <v>3.208116</v>
      </c>
      <c r="H524" s="21">
        <v>6.1516580000000003</v>
      </c>
      <c r="I524" s="21">
        <v>5.235716</v>
      </c>
      <c r="J524" s="21">
        <v>4.2023440000000001</v>
      </c>
      <c r="K524" s="24">
        <v>4.0761229999999999</v>
      </c>
      <c r="L524" s="24">
        <v>5.9408500000000002</v>
      </c>
      <c r="M524" s="24">
        <v>2975.5509999999999</v>
      </c>
      <c r="N524" s="24">
        <v>7.5921039376732704</v>
      </c>
      <c r="O524" s="24">
        <v>0.51546391752577314</v>
      </c>
      <c r="P524" s="24">
        <v>6.0317460317460316</v>
      </c>
      <c r="Q524" s="24">
        <v>3.5534116434068563</v>
      </c>
      <c r="R524" s="24">
        <v>6.92</v>
      </c>
      <c r="S524" s="24">
        <v>5.4178511460188696</v>
      </c>
      <c r="T524" s="24">
        <v>0.44513380553074178</v>
      </c>
      <c r="U524" s="24" t="s">
        <v>3372</v>
      </c>
      <c r="V524">
        <v>1</v>
      </c>
      <c r="W524" s="21">
        <v>1</v>
      </c>
      <c r="X524" s="56" t="str">
        <f>IFERROR(VLOOKUP(A524,Output!A:F,6,0),"-")</f>
        <v>-</v>
      </c>
    </row>
    <row r="525" spans="1:24" hidden="1" x14ac:dyDescent="0.25">
      <c r="A525" s="21" t="s">
        <v>1363</v>
      </c>
      <c r="B525" s="40" t="s">
        <v>1364</v>
      </c>
      <c r="C525" s="21" t="s">
        <v>244</v>
      </c>
      <c r="D525" s="21" t="s">
        <v>73</v>
      </c>
      <c r="E525" s="21" t="s">
        <v>89</v>
      </c>
      <c r="F525" s="55">
        <v>3.8641081000492219E-4</v>
      </c>
      <c r="G525" s="24">
        <v>4.5051990000000002</v>
      </c>
      <c r="H525" s="24">
        <v>5.4513829999999999</v>
      </c>
      <c r="I525" s="24">
        <v>7.2602419999999999</v>
      </c>
      <c r="J525" s="24">
        <v>5.8006279999999997</v>
      </c>
      <c r="K525" s="24">
        <v>3.6982020000000002</v>
      </c>
      <c r="L525" s="24">
        <v>10.31954</v>
      </c>
      <c r="M525" s="24">
        <v>6.0065999999999997</v>
      </c>
      <c r="N525" s="24">
        <v>5.0358072916666661</v>
      </c>
      <c r="O525" s="24">
        <v>3.7113402061855663</v>
      </c>
      <c r="P525" s="24">
        <v>4.0155440414507773</v>
      </c>
      <c r="Q525" s="24">
        <v>6.3409377137680902</v>
      </c>
      <c r="R525" s="24">
        <v>6.56</v>
      </c>
      <c r="S525" s="24">
        <v>5.7635902623647706</v>
      </c>
      <c r="T525" s="24">
        <v>1.1603896743485571</v>
      </c>
      <c r="U525" s="24" t="s">
        <v>3290</v>
      </c>
      <c r="V525">
        <v>0</v>
      </c>
      <c r="W525" s="21">
        <v>0</v>
      </c>
      <c r="X525" s="56">
        <f>IFERROR(VLOOKUP(A525,Output!A:F,6,0),"-")</f>
        <v>7.4999999999999416E-3</v>
      </c>
    </row>
    <row r="526" spans="1:24" hidden="1" x14ac:dyDescent="0.25">
      <c r="A526" s="21" t="s">
        <v>2525</v>
      </c>
      <c r="B526" s="40" t="s">
        <v>2526</v>
      </c>
      <c r="C526" s="21" t="s">
        <v>247</v>
      </c>
      <c r="D526" s="21" t="s">
        <v>74</v>
      </c>
      <c r="E526" s="21" t="s">
        <v>93</v>
      </c>
      <c r="F526" s="55">
        <v>3.8553260956351951E-4</v>
      </c>
      <c r="G526" s="24">
        <v>8.240164</v>
      </c>
      <c r="H526" s="24">
        <v>5.7487550000000001</v>
      </c>
      <c r="I526" s="24">
        <v>3.9901879999999998</v>
      </c>
      <c r="J526" s="24">
        <v>5.8806789999999998</v>
      </c>
      <c r="K526" s="24">
        <v>2.3400319999999999</v>
      </c>
      <c r="L526" s="24">
        <v>8.6114660000000001</v>
      </c>
      <c r="M526" s="24">
        <v>0.98941999999999997</v>
      </c>
      <c r="N526" s="24">
        <v>5.3287946651453222</v>
      </c>
      <c r="O526" s="24">
        <v>1.5151515151515151</v>
      </c>
      <c r="P526" s="24">
        <v>6.4035094736842098</v>
      </c>
      <c r="Q526" s="24">
        <v>4.9614112458654898</v>
      </c>
      <c r="R526" s="24">
        <v>2.89</v>
      </c>
      <c r="S526" s="24">
        <v>4.187810423550701</v>
      </c>
      <c r="T526" s="24">
        <v>0.94174740185185823</v>
      </c>
      <c r="U526" s="24" t="s">
        <v>4002</v>
      </c>
      <c r="V526">
        <v>0</v>
      </c>
      <c r="W526" s="21">
        <v>0</v>
      </c>
      <c r="X526" s="56" t="str">
        <f>IFERROR(VLOOKUP(A526,Output!A:F,6,0),"-")</f>
        <v>-</v>
      </c>
    </row>
    <row r="527" spans="1:24" hidden="1" x14ac:dyDescent="0.25">
      <c r="A527" s="21" t="s">
        <v>1206</v>
      </c>
      <c r="B527" s="40" t="s">
        <v>1207</v>
      </c>
      <c r="C527" s="21" t="s">
        <v>244</v>
      </c>
      <c r="D527" s="21" t="s">
        <v>73</v>
      </c>
      <c r="E527" s="21" t="s">
        <v>92</v>
      </c>
      <c r="F527" s="55">
        <v>3.8384220701838878E-4</v>
      </c>
      <c r="G527" s="24">
        <v>5.5375639999999997</v>
      </c>
      <c r="H527" s="24">
        <v>3.8226209999999998</v>
      </c>
      <c r="I527" s="24">
        <v>3.9760949999999999</v>
      </c>
      <c r="J527" s="24">
        <v>4.55464</v>
      </c>
      <c r="K527" s="24">
        <v>1.204372</v>
      </c>
      <c r="L527" s="24">
        <v>6.0386449999999998</v>
      </c>
      <c r="M527" s="24">
        <v>19.532599999999999</v>
      </c>
      <c r="N527" s="24">
        <v>3.5511363636363633</v>
      </c>
      <c r="O527" s="24">
        <v>1.4141414141414141</v>
      </c>
      <c r="P527" s="24">
        <v>6.2924819926159348</v>
      </c>
      <c r="Q527" s="24">
        <v>6.4058051499867261</v>
      </c>
      <c r="R527" s="24">
        <v>4.55</v>
      </c>
      <c r="S527" s="24">
        <v>6.0597776171263131</v>
      </c>
      <c r="T527" s="24">
        <v>1.0194658496525679</v>
      </c>
      <c r="U527" s="24" t="s">
        <v>3212</v>
      </c>
      <c r="V527">
        <v>0</v>
      </c>
      <c r="W527" s="21">
        <v>1</v>
      </c>
      <c r="X527" s="56" t="str">
        <f>IFERROR(VLOOKUP(A527,Output!A:F,6,0),"-")</f>
        <v>-</v>
      </c>
    </row>
    <row r="528" spans="1:24" hidden="1" x14ac:dyDescent="0.25">
      <c r="A528" s="21" t="s">
        <v>2313</v>
      </c>
      <c r="B528" s="40" t="s">
        <v>2314</v>
      </c>
      <c r="C528" s="21" t="s">
        <v>249</v>
      </c>
      <c r="D528" s="21" t="s">
        <v>74</v>
      </c>
      <c r="E528" s="21" t="s">
        <v>103</v>
      </c>
      <c r="F528" s="55">
        <v>3.8380900663510743E-4</v>
      </c>
      <c r="G528" s="21">
        <v>6.1269119999999999</v>
      </c>
      <c r="H528" s="21">
        <v>6.4289550000000002</v>
      </c>
      <c r="I528" s="21">
        <v>6.5230779999999999</v>
      </c>
      <c r="J528" s="21">
        <v>6.3363750000000003</v>
      </c>
      <c r="K528" s="24">
        <v>4.5184160000000002</v>
      </c>
      <c r="L528" s="24">
        <v>10.464589999999999</v>
      </c>
      <c r="M528" s="24">
        <v>97.852099999999993</v>
      </c>
      <c r="N528" s="24">
        <v>5.9972759157371867</v>
      </c>
      <c r="O528" s="24">
        <v>6.9696969696969706</v>
      </c>
      <c r="P528" s="24">
        <v>5.4005934718100885</v>
      </c>
      <c r="Q528" s="24">
        <v>7.6072893466887814</v>
      </c>
      <c r="R528" s="24">
        <v>7.3</v>
      </c>
      <c r="S528" s="24">
        <v>6.9726346180185796</v>
      </c>
      <c r="T528" s="24">
        <v>0.4346613538065458</v>
      </c>
      <c r="U528" s="24" t="s">
        <v>3832</v>
      </c>
      <c r="V528">
        <v>0</v>
      </c>
      <c r="W528" s="21">
        <v>0</v>
      </c>
      <c r="X528" s="56">
        <f>IFERROR(VLOOKUP(A528,Output!A:F,6,0),"-")</f>
        <v>4.9999999999999602E-3</v>
      </c>
    </row>
    <row r="529" spans="1:24" hidden="1" x14ac:dyDescent="0.25">
      <c r="A529" s="21" t="s">
        <v>1044</v>
      </c>
      <c r="B529" s="40" t="s">
        <v>1045</v>
      </c>
      <c r="C529" s="21" t="s">
        <v>244</v>
      </c>
      <c r="D529" s="21" t="s">
        <v>73</v>
      </c>
      <c r="E529" s="21" t="s">
        <v>92</v>
      </c>
      <c r="F529" s="55">
        <v>3.8202664908900947E-4</v>
      </c>
      <c r="G529" s="21">
        <v>4.425967</v>
      </c>
      <c r="H529" s="21">
        <v>5.1642479999999997</v>
      </c>
      <c r="I529" s="21">
        <v>8.21251</v>
      </c>
      <c r="J529" s="21">
        <v>6.0096550000000004</v>
      </c>
      <c r="K529" s="24">
        <v>0.32556950000000001</v>
      </c>
      <c r="L529" s="24">
        <v>4.1818</v>
      </c>
      <c r="M529" s="24">
        <v>13.1694</v>
      </c>
      <c r="N529" s="24">
        <v>4.2163821022727275</v>
      </c>
      <c r="O529" s="24">
        <v>9.3939393939393945</v>
      </c>
      <c r="P529" s="24">
        <v>5.8599382250877934</v>
      </c>
      <c r="Q529" s="24">
        <v>3.0894611096363152</v>
      </c>
      <c r="R529" s="24">
        <v>3.64</v>
      </c>
      <c r="S529" s="24">
        <v>4.3282816643134607</v>
      </c>
      <c r="T529" s="24">
        <v>1.015061044821739</v>
      </c>
      <c r="U529" s="24" t="s">
        <v>3186</v>
      </c>
      <c r="V529">
        <v>0</v>
      </c>
      <c r="W529" s="21">
        <v>0</v>
      </c>
      <c r="X529" s="56" t="str">
        <f>IFERROR(VLOOKUP(A529,Output!A:F,6,0),"-")</f>
        <v>-</v>
      </c>
    </row>
    <row r="530" spans="1:24" hidden="1" x14ac:dyDescent="0.25">
      <c r="A530" s="21" t="s">
        <v>2732</v>
      </c>
      <c r="B530" s="40" t="s">
        <v>2733</v>
      </c>
      <c r="C530" s="21" t="s">
        <v>251</v>
      </c>
      <c r="D530" s="21" t="s">
        <v>74</v>
      </c>
      <c r="E530" s="21" t="s">
        <v>95</v>
      </c>
      <c r="F530" s="55">
        <v>3.7928298953608354E-4</v>
      </c>
      <c r="G530" s="24">
        <v>7.8550310000000003</v>
      </c>
      <c r="H530" s="24">
        <v>5.4767549999999998</v>
      </c>
      <c r="I530" s="24">
        <v>7.2314980000000002</v>
      </c>
      <c r="J530" s="24">
        <v>7.1923159999999999</v>
      </c>
      <c r="K530" s="24">
        <v>9.2977930000000004</v>
      </c>
      <c r="L530" s="24">
        <v>9.9848440000000007</v>
      </c>
      <c r="M530" s="24">
        <v>155.14869999999999</v>
      </c>
      <c r="N530" s="24">
        <v>10</v>
      </c>
      <c r="O530" s="24">
        <v>0.67415730337078661</v>
      </c>
      <c r="P530" s="24">
        <v>9.7735849056603765</v>
      </c>
      <c r="Q530" s="24">
        <v>7.5712597214395938</v>
      </c>
      <c r="R530" s="24">
        <v>6.29</v>
      </c>
      <c r="S530" s="24">
        <v>7.5943752633779642</v>
      </c>
      <c r="T530" s="24">
        <v>0.13901248973439259</v>
      </c>
      <c r="U530" s="24" t="s">
        <v>4095</v>
      </c>
      <c r="V530">
        <v>1</v>
      </c>
      <c r="W530" s="21">
        <v>0</v>
      </c>
      <c r="X530" s="56" t="str">
        <f>IFERROR(VLOOKUP(A530,Output!A:F,6,0),"-")</f>
        <v>-</v>
      </c>
    </row>
    <row r="531" spans="1:24" hidden="1" x14ac:dyDescent="0.25">
      <c r="A531" s="21" t="s">
        <v>113</v>
      </c>
      <c r="B531" s="40" t="s">
        <v>182</v>
      </c>
      <c r="C531" s="21" t="s">
        <v>244</v>
      </c>
      <c r="D531" s="21" t="s">
        <v>73</v>
      </c>
      <c r="E531" s="21" t="s">
        <v>85</v>
      </c>
      <c r="F531" s="55">
        <v>3.7917916288291283E-4</v>
      </c>
      <c r="G531" s="21">
        <v>3.3823219999999998</v>
      </c>
      <c r="H531" s="21">
        <v>6.5642480000000001</v>
      </c>
      <c r="I531" s="21">
        <v>4.1336259999999996</v>
      </c>
      <c r="J531" s="21">
        <v>4.758953</v>
      </c>
      <c r="K531" s="24">
        <v>3.7868819999999999</v>
      </c>
      <c r="L531" s="24">
        <v>10.488519999999999</v>
      </c>
      <c r="M531" s="24">
        <v>13.2552</v>
      </c>
      <c r="N531" s="24">
        <v>1.2228736979166668</v>
      </c>
      <c r="O531" s="24">
        <v>1.7525773195876289</v>
      </c>
      <c r="P531" s="24">
        <v>4.4300518134715032</v>
      </c>
      <c r="Q531" s="24">
        <v>7.8935275771528115</v>
      </c>
      <c r="R531" s="24">
        <v>5.51</v>
      </c>
      <c r="S531" s="24">
        <v>5.0883947373051077</v>
      </c>
      <c r="T531" s="24">
        <v>1.3055299009539187</v>
      </c>
      <c r="U531" s="24" t="s">
        <v>3220</v>
      </c>
      <c r="V531">
        <v>0</v>
      </c>
      <c r="W531" s="21">
        <v>0</v>
      </c>
      <c r="X531" s="56" t="str">
        <f>IFERROR(VLOOKUP(A531,Output!A:F,6,0),"-")</f>
        <v>-</v>
      </c>
    </row>
    <row r="532" spans="1:24" hidden="1" x14ac:dyDescent="0.25">
      <c r="A532" s="21" t="s">
        <v>4359</v>
      </c>
      <c r="B532" s="40" t="s">
        <v>4360</v>
      </c>
      <c r="C532" s="21" t="s">
        <v>247</v>
      </c>
      <c r="D532" s="21" t="s">
        <v>74</v>
      </c>
      <c r="E532" s="21" t="s">
        <v>91</v>
      </c>
      <c r="F532" s="55">
        <v>3.7784078500778631E-4</v>
      </c>
      <c r="G532" s="24">
        <v>0</v>
      </c>
      <c r="H532" s="24">
        <v>5.4138419999999998</v>
      </c>
      <c r="I532" s="24">
        <v>0</v>
      </c>
      <c r="J532" s="24">
        <v>1.624153</v>
      </c>
      <c r="K532" s="24">
        <v>1.930326</v>
      </c>
      <c r="L532" s="24">
        <v>5.7253340000000001</v>
      </c>
      <c r="M532" s="24">
        <v>25.479600000000001</v>
      </c>
      <c r="N532" s="24">
        <v>3.1240040955631398</v>
      </c>
      <c r="O532" s="24">
        <v>3.4020618556701026</v>
      </c>
      <c r="P532" s="24">
        <v>3.0484330484330489</v>
      </c>
      <c r="Q532" s="24">
        <v>6.8492988229713303</v>
      </c>
      <c r="R532" s="24">
        <v>6.13</v>
      </c>
      <c r="S532" s="24">
        <v>5.5889002166599209</v>
      </c>
      <c r="T532" s="24">
        <v>0.32038134987676753</v>
      </c>
      <c r="U532" s="24" t="s">
        <v>4361</v>
      </c>
      <c r="V532">
        <v>0</v>
      </c>
      <c r="W532" s="21">
        <v>1</v>
      </c>
      <c r="X532" s="56" t="str">
        <f>IFERROR(VLOOKUP(A532,Output!A:F,6,0),"-")</f>
        <v>-</v>
      </c>
    </row>
    <row r="533" spans="1:24" hidden="1" x14ac:dyDescent="0.25">
      <c r="A533" s="21" t="s">
        <v>1132</v>
      </c>
      <c r="B533" s="40" t="s">
        <v>1133</v>
      </c>
      <c r="C533" s="21" t="s">
        <v>244</v>
      </c>
      <c r="D533" s="21" t="s">
        <v>73</v>
      </c>
      <c r="E533" s="21" t="s">
        <v>100</v>
      </c>
      <c r="F533" s="55">
        <v>3.7508947930598347E-4</v>
      </c>
      <c r="G533" s="24">
        <v>3.2373210000000001</v>
      </c>
      <c r="H533" s="24">
        <v>3.272332</v>
      </c>
      <c r="I533" s="24">
        <v>5.5202939999999998</v>
      </c>
      <c r="J533" s="24">
        <v>4.0099830000000001</v>
      </c>
      <c r="K533" s="24">
        <v>2.0630350000000002</v>
      </c>
      <c r="L533" s="24">
        <v>4.332605</v>
      </c>
      <c r="M533" s="24">
        <v>15.1677</v>
      </c>
      <c r="N533" s="24">
        <v>4.3074331600393858</v>
      </c>
      <c r="O533" s="24">
        <v>4.8979591836734695</v>
      </c>
      <c r="P533" s="24">
        <v>7.0259865140557709</v>
      </c>
      <c r="Q533" s="24">
        <v>3.4203595805675202</v>
      </c>
      <c r="R533" s="24">
        <v>6.54</v>
      </c>
      <c r="S533" s="24">
        <v>5.1342171642134815</v>
      </c>
      <c r="T533" s="24">
        <v>0.99656579371995235</v>
      </c>
      <c r="U533" s="24" t="s">
        <v>3183</v>
      </c>
      <c r="V533">
        <v>0</v>
      </c>
      <c r="W533" s="21">
        <v>1</v>
      </c>
      <c r="X533" s="56" t="str">
        <f>IFERROR(VLOOKUP(A533,Output!A:F,6,0),"-")</f>
        <v>-</v>
      </c>
    </row>
    <row r="534" spans="1:24" hidden="1" x14ac:dyDescent="0.25">
      <c r="A534" s="21" t="s">
        <v>2413</v>
      </c>
      <c r="B534" s="40" t="s">
        <v>2414</v>
      </c>
      <c r="C534" s="21" t="s">
        <v>246</v>
      </c>
      <c r="D534" s="21" t="s">
        <v>74</v>
      </c>
      <c r="E534" s="21" t="s">
        <v>99</v>
      </c>
      <c r="F534" s="55">
        <v>3.7501895364331608E-4</v>
      </c>
      <c r="G534" s="24">
        <v>4.5495970000000003</v>
      </c>
      <c r="H534" s="24">
        <v>3.7542589999999998</v>
      </c>
      <c r="I534" s="24">
        <v>4.8561290000000001</v>
      </c>
      <c r="J534" s="24">
        <v>4.4029550000000004</v>
      </c>
      <c r="K534" s="24">
        <v>1.2794859999999999</v>
      </c>
      <c r="L534" s="24">
        <v>4.1907480000000001</v>
      </c>
      <c r="M534" s="24">
        <v>6.5380000000000003</v>
      </c>
      <c r="N534" s="24">
        <v>6.1534411252635053</v>
      </c>
      <c r="O534" s="24">
        <v>2.5274725274725274</v>
      </c>
      <c r="P534" s="24">
        <v>1.1260498235999878</v>
      </c>
      <c r="Q534" s="24">
        <v>5.7733272344439648</v>
      </c>
      <c r="R534" s="24">
        <v>6.32</v>
      </c>
      <c r="S534" s="24">
        <v>4.8944881842426753</v>
      </c>
      <c r="T534" s="24">
        <v>0.77645558497202427</v>
      </c>
      <c r="U534" s="24" t="s">
        <v>3893</v>
      </c>
      <c r="V534">
        <v>0</v>
      </c>
      <c r="W534" s="21">
        <v>1</v>
      </c>
      <c r="X534" s="56" t="str">
        <f>IFERROR(VLOOKUP(A534,Output!A:F,6,0),"-")</f>
        <v>-</v>
      </c>
    </row>
    <row r="535" spans="1:24" hidden="1" x14ac:dyDescent="0.25">
      <c r="A535" s="21" t="s">
        <v>730</v>
      </c>
      <c r="B535" s="40" t="s">
        <v>731</v>
      </c>
      <c r="C535" s="21" t="s">
        <v>244</v>
      </c>
      <c r="D535" s="21" t="s">
        <v>73</v>
      </c>
      <c r="E535" s="21" t="s">
        <v>85</v>
      </c>
      <c r="F535" s="55">
        <v>3.7493112353845367E-4</v>
      </c>
      <c r="G535" s="24">
        <v>5.5857590000000004</v>
      </c>
      <c r="H535" s="24">
        <v>5.2594700000000003</v>
      </c>
      <c r="I535" s="24">
        <v>4.4256799999999998</v>
      </c>
      <c r="J535" s="24">
        <v>5.0655299999999999</v>
      </c>
      <c r="K535" s="24">
        <v>3.9732599999999998</v>
      </c>
      <c r="L535" s="24">
        <v>9.4948789999999992</v>
      </c>
      <c r="M535" s="24">
        <v>10.61</v>
      </c>
      <c r="N535" s="24">
        <v>2.796223958333333</v>
      </c>
      <c r="O535" s="24">
        <v>5.5670103092783494</v>
      </c>
      <c r="P535" s="24">
        <v>5.2849740932642497</v>
      </c>
      <c r="Q535" s="24">
        <v>5.4627630405782135</v>
      </c>
      <c r="R535" s="24">
        <v>6.04</v>
      </c>
      <c r="S535" s="24">
        <v>4.6954733108413009</v>
      </c>
      <c r="T535" s="24">
        <v>1.3113082963392757</v>
      </c>
      <c r="U535" s="24" t="s">
        <v>3162</v>
      </c>
      <c r="V535">
        <v>0</v>
      </c>
      <c r="W535" s="21">
        <v>0</v>
      </c>
      <c r="X535" s="56" t="str">
        <f>IFERROR(VLOOKUP(A535,Output!A:F,6,0),"-")</f>
        <v>-</v>
      </c>
    </row>
    <row r="536" spans="1:24" hidden="1" x14ac:dyDescent="0.25">
      <c r="A536" s="21" t="s">
        <v>2361</v>
      </c>
      <c r="B536" s="40" t="s">
        <v>2362</v>
      </c>
      <c r="C536" s="21" t="s">
        <v>246</v>
      </c>
      <c r="D536" s="21" t="s">
        <v>74</v>
      </c>
      <c r="E536" s="21" t="s">
        <v>92</v>
      </c>
      <c r="F536" s="55">
        <v>3.722592975420819E-4</v>
      </c>
      <c r="G536" s="24">
        <v>6.1571870000000004</v>
      </c>
      <c r="H536" s="24">
        <v>6.5982750000000001</v>
      </c>
      <c r="I536" s="24">
        <v>6.6409010000000004</v>
      </c>
      <c r="J536" s="24">
        <v>6.434628</v>
      </c>
      <c r="K536" s="24">
        <v>2.420836</v>
      </c>
      <c r="L536" s="24">
        <v>5.2996439999999998</v>
      </c>
      <c r="M536" s="24">
        <v>44.200800000000001</v>
      </c>
      <c r="N536" s="24">
        <v>2.3777777777777778</v>
      </c>
      <c r="O536" s="24">
        <v>2.2448979591836733</v>
      </c>
      <c r="P536" s="24">
        <v>5.7534246575342465</v>
      </c>
      <c r="Q536" s="24">
        <v>5.024446377920281</v>
      </c>
      <c r="R536" s="24">
        <v>5.12</v>
      </c>
      <c r="S536" s="24">
        <v>5.1478396460006355</v>
      </c>
      <c r="T536" s="24">
        <v>0.66323978668616612</v>
      </c>
      <c r="U536" s="24" t="s">
        <v>3861</v>
      </c>
      <c r="V536">
        <v>0</v>
      </c>
      <c r="W536" s="21">
        <v>0</v>
      </c>
      <c r="X536" s="56" t="str">
        <f>IFERROR(VLOOKUP(A536,Output!A:F,6,0),"-")</f>
        <v>-</v>
      </c>
    </row>
    <row r="537" spans="1:24" hidden="1" x14ac:dyDescent="0.25">
      <c r="A537" s="21" t="s">
        <v>2238</v>
      </c>
      <c r="B537" s="40" t="s">
        <v>2239</v>
      </c>
      <c r="C537" s="21" t="s">
        <v>256</v>
      </c>
      <c r="D537" s="21" t="s">
        <v>74</v>
      </c>
      <c r="E537" s="21" t="s">
        <v>95</v>
      </c>
      <c r="F537" s="55">
        <v>3.703718054489264E-4</v>
      </c>
      <c r="G537" s="24">
        <v>4.2655469999999998</v>
      </c>
      <c r="H537" s="24">
        <v>5.0475989999999999</v>
      </c>
      <c r="I537" s="24">
        <v>7.5061309999999999</v>
      </c>
      <c r="J537" s="24">
        <v>5.3941330000000001</v>
      </c>
      <c r="K537" s="24">
        <v>5.6830619999999996</v>
      </c>
      <c r="L537" s="24">
        <v>21.836099999999998</v>
      </c>
      <c r="M537" s="24">
        <v>446.49700000000001</v>
      </c>
      <c r="N537" s="24">
        <v>5.3642380876437041</v>
      </c>
      <c r="O537" s="24">
        <v>8.7640449438202239</v>
      </c>
      <c r="P537" s="24">
        <v>5.5849056603773581</v>
      </c>
      <c r="Q537" s="24">
        <v>9.9608929776218282</v>
      </c>
      <c r="R537" s="24">
        <v>4.6399999999999997</v>
      </c>
      <c r="S537" s="24">
        <v>7.1711856454388805</v>
      </c>
      <c r="T537" s="24">
        <v>0.2185039561179416</v>
      </c>
      <c r="U537" s="24" t="s">
        <v>3792</v>
      </c>
      <c r="V537">
        <v>1</v>
      </c>
      <c r="W537" s="21">
        <v>0</v>
      </c>
      <c r="X537" s="56" t="str">
        <f>IFERROR(VLOOKUP(A537,Output!A:F,6,0),"-")</f>
        <v>-</v>
      </c>
    </row>
    <row r="538" spans="1:24" hidden="1" x14ac:dyDescent="0.25">
      <c r="A538" s="21" t="s">
        <v>2254</v>
      </c>
      <c r="B538" s="40" t="s">
        <v>2255</v>
      </c>
      <c r="C538" s="21" t="s">
        <v>249</v>
      </c>
      <c r="D538" s="21" t="s">
        <v>74</v>
      </c>
      <c r="E538" s="21" t="s">
        <v>94</v>
      </c>
      <c r="F538" s="55">
        <v>3.696723840411327E-4</v>
      </c>
      <c r="G538" s="24">
        <v>8.3552330000000001</v>
      </c>
      <c r="H538" s="24">
        <v>6.3738729999999997</v>
      </c>
      <c r="I538" s="24">
        <v>5.5533320000000002</v>
      </c>
      <c r="J538" s="24">
        <v>6.441929</v>
      </c>
      <c r="K538" s="24">
        <v>3.5108809999999999</v>
      </c>
      <c r="L538" s="24">
        <v>8.6556519999999999</v>
      </c>
      <c r="M538" s="24">
        <v>3.8748999999999998</v>
      </c>
      <c r="N538" s="24">
        <v>6.6258218311329165</v>
      </c>
      <c r="O538" s="24">
        <v>9.1919191919191903</v>
      </c>
      <c r="P538" s="24">
        <v>4.6884272997032648</v>
      </c>
      <c r="Q538" s="24">
        <v>5.4631534218989906</v>
      </c>
      <c r="R538" s="24">
        <v>4.68</v>
      </c>
      <c r="S538" s="24">
        <v>6.3766207417178142</v>
      </c>
      <c r="T538" s="24">
        <v>0.42692458409733081</v>
      </c>
      <c r="U538" s="24" t="s">
        <v>3802</v>
      </c>
      <c r="V538">
        <v>0</v>
      </c>
      <c r="W538" s="21">
        <v>0</v>
      </c>
      <c r="X538" s="56">
        <f>IFERROR(VLOOKUP(A538,Output!A:F,6,0),"-")</f>
        <v>5.0000000000000001E-3</v>
      </c>
    </row>
    <row r="539" spans="1:24" x14ac:dyDescent="0.25">
      <c r="A539" s="21" t="s">
        <v>2280</v>
      </c>
      <c r="B539" s="40" t="s">
        <v>2281</v>
      </c>
      <c r="C539" s="21" t="s">
        <v>248</v>
      </c>
      <c r="D539" s="21" t="s">
        <v>75</v>
      </c>
      <c r="E539" s="21" t="s">
        <v>92</v>
      </c>
      <c r="F539" s="55">
        <v>3.6954451226188853E-4</v>
      </c>
      <c r="G539" s="24">
        <v>6.9172729999999998</v>
      </c>
      <c r="H539" s="24">
        <v>5.2241900000000001</v>
      </c>
      <c r="I539" s="24">
        <v>4.2995219999999996</v>
      </c>
      <c r="J539" s="24">
        <v>5.6240220000000001</v>
      </c>
      <c r="K539" s="24">
        <v>3.52277</v>
      </c>
      <c r="L539" s="24">
        <v>15.582649999999999</v>
      </c>
      <c r="M539" s="24">
        <v>59.448099999999997</v>
      </c>
      <c r="N539" s="24">
        <v>5.537451830481138</v>
      </c>
      <c r="O539" s="24">
        <v>7.7894736842105274</v>
      </c>
      <c r="P539" s="24">
        <v>3.6914288598203955</v>
      </c>
      <c r="Q539" s="24">
        <v>7.0280222022668282</v>
      </c>
      <c r="R539" s="24">
        <v>6.36</v>
      </c>
      <c r="S539" s="24">
        <v>6.5649002432586618</v>
      </c>
      <c r="T539" s="24">
        <v>0.3880650235938829</v>
      </c>
      <c r="U539" s="24" t="s">
        <v>3815</v>
      </c>
      <c r="V539">
        <v>1</v>
      </c>
      <c r="W539" s="21">
        <v>0</v>
      </c>
      <c r="X539" s="56" t="str">
        <f>IFERROR(VLOOKUP(A539,Output!A:F,6,0),"-")</f>
        <v>-</v>
      </c>
    </row>
    <row r="540" spans="1:24" hidden="1" x14ac:dyDescent="0.25">
      <c r="A540" s="21" t="s">
        <v>278</v>
      </c>
      <c r="B540" s="40" t="s">
        <v>1000</v>
      </c>
      <c r="C540" s="21" t="s">
        <v>245</v>
      </c>
      <c r="D540" s="21" t="s">
        <v>73</v>
      </c>
      <c r="E540" s="21" t="s">
        <v>93</v>
      </c>
      <c r="F540" s="55">
        <v>3.6953243939524073E-4</v>
      </c>
      <c r="G540" s="24">
        <v>2.9898210000000001</v>
      </c>
      <c r="H540" s="24">
        <v>3.4174929999999999</v>
      </c>
      <c r="I540" s="24">
        <v>2.0916039999999998</v>
      </c>
      <c r="J540" s="24">
        <v>2.8251300000000001</v>
      </c>
      <c r="K540" s="24">
        <v>1.401437</v>
      </c>
      <c r="L540" s="24">
        <v>16.507930000000002</v>
      </c>
      <c r="M540" s="24">
        <v>1.8886000000000001</v>
      </c>
      <c r="N540" s="24">
        <v>5.2994791666666661</v>
      </c>
      <c r="O540" s="24">
        <v>8.9690721649484537</v>
      </c>
      <c r="P540" s="24">
        <v>4.5423139896373064</v>
      </c>
      <c r="Q540" s="24">
        <v>9.2107895869376257</v>
      </c>
      <c r="R540" s="24" t="e">
        <v>#N/A</v>
      </c>
      <c r="S540" s="24">
        <v>5.7966072986277597</v>
      </c>
      <c r="T540" s="24">
        <v>0.47382550777652022</v>
      </c>
      <c r="U540" s="24" t="s">
        <v>3138</v>
      </c>
      <c r="V540">
        <v>0</v>
      </c>
      <c r="W540" s="21">
        <v>1</v>
      </c>
      <c r="X540" s="56" t="str">
        <f>IFERROR(VLOOKUP(A540,Output!A:F,6,0),"-")</f>
        <v>-</v>
      </c>
    </row>
    <row r="541" spans="1:24" hidden="1" x14ac:dyDescent="0.25">
      <c r="A541" s="21" t="s">
        <v>2563</v>
      </c>
      <c r="B541" s="40" t="s">
        <v>2564</v>
      </c>
      <c r="C541" s="21" t="s">
        <v>298</v>
      </c>
      <c r="D541" s="21" t="s">
        <v>74</v>
      </c>
      <c r="E541" s="21" t="s">
        <v>94</v>
      </c>
      <c r="F541" s="55">
        <v>3.6854135765068159E-4</v>
      </c>
      <c r="G541" s="24">
        <v>7</v>
      </c>
      <c r="H541" s="24">
        <v>5.9770070000000004</v>
      </c>
      <c r="I541" s="24">
        <v>6</v>
      </c>
      <c r="J541" s="24">
        <v>6.1908029999999998</v>
      </c>
      <c r="K541" s="24">
        <v>2.0030890000000001</v>
      </c>
      <c r="L541" s="24">
        <v>3.5708880000000001</v>
      </c>
      <c r="M541" s="24">
        <v>6.2565</v>
      </c>
      <c r="N541" s="24">
        <v>6.0358518156105214</v>
      </c>
      <c r="O541" s="24">
        <v>4.6464646464646462</v>
      </c>
      <c r="P541" s="24">
        <v>6.0830860534124644</v>
      </c>
      <c r="Q541" s="24">
        <v>0.78264329071895089</v>
      </c>
      <c r="R541" s="24">
        <v>4.6500000000000004</v>
      </c>
      <c r="S541" s="24">
        <v>4.2089683729790517</v>
      </c>
      <c r="T541" s="24">
        <v>0.34850529578479417</v>
      </c>
      <c r="U541" s="24" t="s">
        <v>3961</v>
      </c>
      <c r="V541">
        <v>0</v>
      </c>
      <c r="W541" s="21">
        <v>0</v>
      </c>
      <c r="X541" s="56" t="str">
        <f>IFERROR(VLOOKUP(A541,Output!A:F,6,0),"-")</f>
        <v>-</v>
      </c>
    </row>
    <row r="542" spans="1:24" hidden="1" x14ac:dyDescent="0.25">
      <c r="A542" s="21" t="s">
        <v>4409</v>
      </c>
      <c r="B542" s="40" t="s">
        <v>4432</v>
      </c>
      <c r="C542" s="21" t="s">
        <v>244</v>
      </c>
      <c r="D542" s="21" t="s">
        <v>73</v>
      </c>
      <c r="E542" s="21" t="s">
        <v>96</v>
      </c>
      <c r="F542" s="55">
        <v>3.658458889571246E-4</v>
      </c>
      <c r="G542" s="24">
        <v>3.5767009999999999</v>
      </c>
      <c r="H542" s="24">
        <v>3.5411480000000002</v>
      </c>
      <c r="I542" s="24">
        <v>6.3482250000000002</v>
      </c>
      <c r="J542" s="24">
        <v>4.4886920000000003</v>
      </c>
      <c r="K542" s="24">
        <v>0</v>
      </c>
      <c r="L542" s="24">
        <v>6.0689349999999997</v>
      </c>
      <c r="M542" s="24">
        <v>15.3698</v>
      </c>
      <c r="N542" s="24">
        <v>9.7128399008175528</v>
      </c>
      <c r="O542" s="24">
        <v>9.7959183673469372</v>
      </c>
      <c r="P542" s="24">
        <v>10</v>
      </c>
      <c r="Q542" s="24">
        <v>1.9921252564108347</v>
      </c>
      <c r="R542" s="24" t="e">
        <v>#N/A</v>
      </c>
      <c r="S542" s="24">
        <v>6.2395195552975053</v>
      </c>
      <c r="T542" s="24">
        <v>1.0821903477258996</v>
      </c>
      <c r="U542" s="24" t="s">
        <v>4433</v>
      </c>
      <c r="V542">
        <v>0</v>
      </c>
      <c r="W542" s="21">
        <v>1</v>
      </c>
      <c r="X542" s="56" t="str">
        <f>IFERROR(VLOOKUP(A542,Output!A:F,6,0),"-")</f>
        <v>-</v>
      </c>
    </row>
    <row r="543" spans="1:24" hidden="1" x14ac:dyDescent="0.25">
      <c r="A543" s="21" t="s">
        <v>4349</v>
      </c>
      <c r="B543" s="40" t="s">
        <v>4350</v>
      </c>
      <c r="C543" s="21" t="s">
        <v>244</v>
      </c>
      <c r="D543" s="21" t="s">
        <v>73</v>
      </c>
      <c r="E543" s="21" t="s">
        <v>92</v>
      </c>
      <c r="F543" s="55">
        <v>3.6551066569320508E-4</v>
      </c>
      <c r="G543" s="24">
        <v>5.7423780000000004</v>
      </c>
      <c r="H543" s="24">
        <v>3.8569969999999998</v>
      </c>
      <c r="I543" s="24">
        <v>4.4854919999999998</v>
      </c>
      <c r="J543" s="24">
        <v>4.7996980000000002</v>
      </c>
      <c r="K543" s="24">
        <v>1.2456119999999999</v>
      </c>
      <c r="L543" s="24">
        <v>5.1152850000000001</v>
      </c>
      <c r="M543" s="24">
        <v>42.2498</v>
      </c>
      <c r="N543" s="24">
        <v>4.9715909090909092</v>
      </c>
      <c r="O543" s="24">
        <v>6.4646464646464654</v>
      </c>
      <c r="P543" s="24">
        <v>7.5283213284106232</v>
      </c>
      <c r="Q543" s="69">
        <v>4.1521985664985399</v>
      </c>
      <c r="R543" s="24">
        <v>6.04</v>
      </c>
      <c r="S543" s="24">
        <v>5.420197934598197</v>
      </c>
      <c r="T543" s="24">
        <v>1.1944678681500742</v>
      </c>
      <c r="U543" s="24" t="s">
        <v>4351</v>
      </c>
      <c r="V543">
        <v>0</v>
      </c>
      <c r="W543" s="21">
        <v>0</v>
      </c>
      <c r="X543" s="56">
        <f>IFERROR(VLOOKUP(A543,Output!A:F,6,0),"-")</f>
        <v>7.4999999999999832E-3</v>
      </c>
    </row>
    <row r="544" spans="1:24" hidden="1" x14ac:dyDescent="0.25">
      <c r="A544" s="21" t="s">
        <v>424</v>
      </c>
      <c r="B544" s="40" t="s">
        <v>847</v>
      </c>
      <c r="C544" s="21" t="s">
        <v>244</v>
      </c>
      <c r="D544" s="21" t="s">
        <v>73</v>
      </c>
      <c r="E544" s="21" t="s">
        <v>102</v>
      </c>
      <c r="F544" s="55">
        <v>3.6333744908938589E-4</v>
      </c>
      <c r="G544" s="21">
        <v>3.0985299999999998</v>
      </c>
      <c r="H544" s="21">
        <v>5.3465999999999996</v>
      </c>
      <c r="I544" s="21">
        <v>6.7323789999999999</v>
      </c>
      <c r="J544" s="21">
        <v>4.2749139999999999</v>
      </c>
      <c r="K544" s="24">
        <v>1.235457</v>
      </c>
      <c r="L544" s="24">
        <v>12.078379999999999</v>
      </c>
      <c r="M544" s="24">
        <v>9321.9419999999991</v>
      </c>
      <c r="N544" s="57">
        <v>4.4026305891967796</v>
      </c>
      <c r="O544" s="24">
        <v>9.6907216494845354</v>
      </c>
      <c r="P544" s="24">
        <v>10</v>
      </c>
      <c r="Q544" s="24">
        <v>9.3751150716205753</v>
      </c>
      <c r="R544" s="24">
        <v>1.42</v>
      </c>
      <c r="S544" s="24">
        <v>6.7760426027036313</v>
      </c>
      <c r="T544" s="24">
        <v>0.90154954189273484</v>
      </c>
      <c r="U544" s="24" t="s">
        <v>2947</v>
      </c>
      <c r="V544">
        <v>1</v>
      </c>
      <c r="W544" s="21">
        <v>1</v>
      </c>
      <c r="X544" s="56" t="str">
        <f>IFERROR(VLOOKUP(A544,Output!A:F,6,0),"-")</f>
        <v>-</v>
      </c>
    </row>
    <row r="545" spans="1:24" hidden="1" x14ac:dyDescent="0.25">
      <c r="A545" s="21" t="s">
        <v>109</v>
      </c>
      <c r="B545" s="40" t="s">
        <v>178</v>
      </c>
      <c r="C545" s="21" t="s">
        <v>244</v>
      </c>
      <c r="D545" s="21" t="s">
        <v>73</v>
      </c>
      <c r="E545" s="21" t="s">
        <v>99</v>
      </c>
      <c r="F545" s="55">
        <v>3.6253198766953603E-4</v>
      </c>
      <c r="G545" s="24">
        <v>5.3187340000000001</v>
      </c>
      <c r="H545" s="24">
        <v>2.7964470000000001</v>
      </c>
      <c r="I545" s="24">
        <v>6.0146009999999999</v>
      </c>
      <c r="J545" s="24">
        <v>4.7708079999999997</v>
      </c>
      <c r="K545" s="24">
        <v>1.908982</v>
      </c>
      <c r="L545" s="24">
        <v>10.542439999999999</v>
      </c>
      <c r="M545" s="24">
        <v>9.8774999999999995</v>
      </c>
      <c r="N545" s="24">
        <v>3.0248621171951151</v>
      </c>
      <c r="O545" s="24">
        <v>7.6041666666666661</v>
      </c>
      <c r="P545" s="24">
        <v>7.0149253731343286</v>
      </c>
      <c r="Q545" s="24">
        <v>7.1237904243211272</v>
      </c>
      <c r="R545" s="24">
        <v>6.99</v>
      </c>
      <c r="S545" s="24">
        <v>6.4542816723636847</v>
      </c>
      <c r="T545" s="24">
        <v>1.160508045623603</v>
      </c>
      <c r="U545" s="24" t="s">
        <v>2795</v>
      </c>
      <c r="V545">
        <v>0</v>
      </c>
      <c r="W545" s="21">
        <v>0</v>
      </c>
      <c r="X545" s="56">
        <f>IFERROR(VLOOKUP(A545,Output!A:F,6,0),"-")</f>
        <v>7.4999999999999997E-3</v>
      </c>
    </row>
    <row r="546" spans="1:24" x14ac:dyDescent="0.25">
      <c r="A546" s="21" t="s">
        <v>2440</v>
      </c>
      <c r="B546" s="40" t="s">
        <v>2441</v>
      </c>
      <c r="C546" s="21" t="s">
        <v>248</v>
      </c>
      <c r="D546" s="21" t="s">
        <v>75</v>
      </c>
      <c r="E546" s="21" t="s">
        <v>93</v>
      </c>
      <c r="F546" s="55">
        <v>3.6239043330809105E-4</v>
      </c>
      <c r="G546" s="24">
        <v>5.5901680000000002</v>
      </c>
      <c r="H546" s="24">
        <v>8.2131310000000006</v>
      </c>
      <c r="I546" s="24">
        <v>8.799728</v>
      </c>
      <c r="J546" s="24">
        <v>7.339925</v>
      </c>
      <c r="K546" s="24">
        <v>3.397894</v>
      </c>
      <c r="L546" s="24">
        <v>6.5300390000000004</v>
      </c>
      <c r="M546" s="24">
        <v>310.7697</v>
      </c>
      <c r="N546" s="24">
        <v>0</v>
      </c>
      <c r="O546" s="24">
        <v>6.6666666666666661</v>
      </c>
      <c r="P546" s="24">
        <v>0</v>
      </c>
      <c r="Q546" s="24">
        <v>6.5890926187118017</v>
      </c>
      <c r="R546" s="24">
        <v>4.7699999999999996</v>
      </c>
      <c r="S546" s="24">
        <v>3.24214409825478</v>
      </c>
      <c r="T546" s="24">
        <v>0.33934442650433394</v>
      </c>
      <c r="U546" s="24" t="s">
        <v>3878</v>
      </c>
      <c r="V546">
        <v>0</v>
      </c>
      <c r="W546" s="21">
        <v>0</v>
      </c>
      <c r="X546" s="56" t="str">
        <f>IFERROR(VLOOKUP(A546,Output!A:F,6,0),"-")</f>
        <v>-</v>
      </c>
    </row>
    <row r="547" spans="1:24" hidden="1" x14ac:dyDescent="0.25">
      <c r="A547" s="21" t="s">
        <v>1371</v>
      </c>
      <c r="B547" s="40" t="s">
        <v>1372</v>
      </c>
      <c r="C547" s="21" t="s">
        <v>245</v>
      </c>
      <c r="D547" s="21" t="s">
        <v>73</v>
      </c>
      <c r="E547" s="21" t="s">
        <v>86</v>
      </c>
      <c r="F547" s="55">
        <v>3.6222020588835759E-4</v>
      </c>
      <c r="G547" s="24">
        <v>3.9764189999999999</v>
      </c>
      <c r="H547" s="24">
        <v>7.5234730000000001</v>
      </c>
      <c r="I547" s="24">
        <v>6.6909270000000003</v>
      </c>
      <c r="J547" s="24">
        <v>6.0636060000000001</v>
      </c>
      <c r="K547" s="24">
        <v>1.179805</v>
      </c>
      <c r="L547" s="24">
        <v>2.7368399999999999</v>
      </c>
      <c r="M547" s="24">
        <v>591.2038</v>
      </c>
      <c r="N547" s="24">
        <v>0</v>
      </c>
      <c r="O547" s="24">
        <v>1.34020618556701</v>
      </c>
      <c r="P547" s="24">
        <v>5.4444444444444446</v>
      </c>
      <c r="Q547" s="24">
        <v>0.43272269352496029</v>
      </c>
      <c r="R547" s="24">
        <v>2.78</v>
      </c>
      <c r="S547" s="24">
        <v>2.9073883259518345</v>
      </c>
      <c r="T547" s="24">
        <v>0.36040526394832267</v>
      </c>
      <c r="U547" s="24" t="s">
        <v>3348</v>
      </c>
      <c r="V547">
        <v>0</v>
      </c>
      <c r="W547" s="21">
        <v>0</v>
      </c>
      <c r="X547" s="56" t="str">
        <f>IFERROR(VLOOKUP(A547,Output!A:F,6,0),"-")</f>
        <v>-</v>
      </c>
    </row>
    <row r="548" spans="1:24" hidden="1" x14ac:dyDescent="0.25">
      <c r="A548" s="21" t="s">
        <v>1143</v>
      </c>
      <c r="B548" s="40" t="s">
        <v>1144</v>
      </c>
      <c r="C548" s="21" t="s">
        <v>244</v>
      </c>
      <c r="D548" s="21" t="s">
        <v>73</v>
      </c>
      <c r="E548" s="21" t="s">
        <v>86</v>
      </c>
      <c r="F548" s="55">
        <v>3.6142933251570711E-4</v>
      </c>
      <c r="G548" s="24">
        <v>6.7006569999999996</v>
      </c>
      <c r="H548" s="24">
        <v>4.0862629999999998</v>
      </c>
      <c r="I548" s="24">
        <v>3.816173</v>
      </c>
      <c r="J548" s="24">
        <v>4.8676979999999999</v>
      </c>
      <c r="K548" s="24">
        <v>1.217039</v>
      </c>
      <c r="L548" s="24">
        <v>9.6006409999999995</v>
      </c>
      <c r="M548" s="24">
        <v>329.36009999999999</v>
      </c>
      <c r="N548" s="24">
        <v>4.3233473307514112</v>
      </c>
      <c r="O548" s="24">
        <v>8.9690721649484537</v>
      </c>
      <c r="P548" s="24">
        <v>9.0000000000000018</v>
      </c>
      <c r="Q548" s="24">
        <v>7.1004573107309419</v>
      </c>
      <c r="R548" s="24">
        <v>3.93</v>
      </c>
      <c r="S548" s="24">
        <v>6.7411603550886037</v>
      </c>
      <c r="T548" s="24">
        <v>1.3858596197237598</v>
      </c>
      <c r="U548" s="24" t="s">
        <v>3167</v>
      </c>
      <c r="V548">
        <v>0</v>
      </c>
      <c r="W548" s="21">
        <v>0</v>
      </c>
      <c r="X548" s="56">
        <f>IFERROR(VLOOKUP(A548,Output!A:F,6,0),"-")</f>
        <v>2E-3</v>
      </c>
    </row>
    <row r="549" spans="1:24" x14ac:dyDescent="0.25">
      <c r="A549" s="21" t="s">
        <v>2166</v>
      </c>
      <c r="B549" s="40" t="s">
        <v>2167</v>
      </c>
      <c r="C549" s="21" t="s">
        <v>248</v>
      </c>
      <c r="D549" s="21" t="s">
        <v>75</v>
      </c>
      <c r="E549" s="21" t="s">
        <v>91</v>
      </c>
      <c r="F549" s="55">
        <v>3.614095128929604E-4</v>
      </c>
      <c r="G549" s="24">
        <v>4.9983000000000004</v>
      </c>
      <c r="H549" s="24">
        <v>5.4926630000000003</v>
      </c>
      <c r="I549" s="24">
        <v>6.1916919999999998</v>
      </c>
      <c r="J549" s="24">
        <v>5.6734020000000003</v>
      </c>
      <c r="K549" s="24">
        <v>0.81244000000000005</v>
      </c>
      <c r="L549" s="24">
        <v>3.5826340000000001</v>
      </c>
      <c r="M549" s="24">
        <v>64.495900000000006</v>
      </c>
      <c r="N549" s="24">
        <v>5.9772143401634708</v>
      </c>
      <c r="O549" s="24">
        <v>10</v>
      </c>
      <c r="P549" s="24">
        <v>4.7637795275590555</v>
      </c>
      <c r="Q549" s="24">
        <v>2.4463704407008562</v>
      </c>
      <c r="R549" s="24">
        <v>5.43</v>
      </c>
      <c r="S549" s="24">
        <v>4.2196581491157001</v>
      </c>
      <c r="T549" s="24">
        <v>0.37273627737077275</v>
      </c>
      <c r="U549" s="24" t="s">
        <v>3811</v>
      </c>
      <c r="V549">
        <v>0</v>
      </c>
      <c r="W549" s="21">
        <v>0</v>
      </c>
      <c r="X549" s="56" t="str">
        <f>IFERROR(VLOOKUP(A549,Output!A:F,6,0),"-")</f>
        <v>-</v>
      </c>
    </row>
    <row r="550" spans="1:24" hidden="1" x14ac:dyDescent="0.25">
      <c r="A550" s="21" t="s">
        <v>819</v>
      </c>
      <c r="B550" s="40" t="s">
        <v>729</v>
      </c>
      <c r="C550" s="21" t="s">
        <v>244</v>
      </c>
      <c r="D550" s="21" t="s">
        <v>73</v>
      </c>
      <c r="E550" s="21" t="s">
        <v>89</v>
      </c>
      <c r="F550" s="55">
        <v>3.6107911877569999E-4</v>
      </c>
      <c r="G550" s="24">
        <v>3.4254570000000002</v>
      </c>
      <c r="H550" s="24">
        <v>4.9936590000000001</v>
      </c>
      <c r="I550" s="24">
        <v>7.6152150000000001</v>
      </c>
      <c r="J550" s="24">
        <v>5.1528450000000001</v>
      </c>
      <c r="K550" s="24">
        <v>1.562346</v>
      </c>
      <c r="L550" s="24">
        <v>4.7355700000000001</v>
      </c>
      <c r="M550" s="24">
        <v>11.7202</v>
      </c>
      <c r="N550" s="24">
        <v>6.0655377604166656</v>
      </c>
      <c r="O550" s="24">
        <v>7.0103092783505154</v>
      </c>
      <c r="P550" s="24">
        <v>6.9430051813471518</v>
      </c>
      <c r="Q550" s="24">
        <v>2.2877506342085656</v>
      </c>
      <c r="R550" s="24">
        <v>5.79</v>
      </c>
      <c r="S550" s="24">
        <v>4.6803768731426389</v>
      </c>
      <c r="T550" s="24">
        <v>0.88012079837561297</v>
      </c>
      <c r="U550" s="24" t="s">
        <v>3144</v>
      </c>
      <c r="V550">
        <v>0</v>
      </c>
      <c r="W550" s="21">
        <v>0</v>
      </c>
      <c r="X550" s="56" t="str">
        <f>IFERROR(VLOOKUP(A550,Output!A:F,6,0),"-")</f>
        <v>-</v>
      </c>
    </row>
    <row r="551" spans="1:24" x14ac:dyDescent="0.25">
      <c r="A551" s="21" t="s">
        <v>1986</v>
      </c>
      <c r="B551" s="40" t="s">
        <v>1987</v>
      </c>
      <c r="C551" s="21" t="s">
        <v>248</v>
      </c>
      <c r="D551" s="21" t="s">
        <v>75</v>
      </c>
      <c r="E551" s="21" t="s">
        <v>93</v>
      </c>
      <c r="F551" s="55">
        <v>3.6035786560071828E-4</v>
      </c>
      <c r="G551" s="24">
        <v>6.9522110000000001</v>
      </c>
      <c r="H551" s="24">
        <v>6.9197439999999997</v>
      </c>
      <c r="I551" s="24">
        <v>6.4666249999999996</v>
      </c>
      <c r="J551" s="24">
        <v>6.7708930000000001</v>
      </c>
      <c r="K551" s="24">
        <v>2.9940120000000001</v>
      </c>
      <c r="L551" s="24">
        <v>12.587859999999999</v>
      </c>
      <c r="M551" s="24">
        <v>2.0594999999999999</v>
      </c>
      <c r="N551" s="24">
        <v>6.2990435583777815</v>
      </c>
      <c r="O551" s="24">
        <v>9.5698924731182782</v>
      </c>
      <c r="P551" s="24">
        <v>2.4309392265193366</v>
      </c>
      <c r="Q551" s="24">
        <v>9.4593323930418443</v>
      </c>
      <c r="R551" s="24">
        <v>5.34</v>
      </c>
      <c r="S551" s="24">
        <v>5.1858371293396974</v>
      </c>
      <c r="T551" s="24">
        <v>0.18176659025333872</v>
      </c>
      <c r="U551" s="24" t="s">
        <v>3688</v>
      </c>
      <c r="V551">
        <v>0</v>
      </c>
      <c r="W551" s="21">
        <v>0</v>
      </c>
      <c r="X551" s="56" t="str">
        <f>IFERROR(VLOOKUP(A551,Output!A:F,6,0),"-")</f>
        <v>-</v>
      </c>
    </row>
    <row r="552" spans="1:24" hidden="1" x14ac:dyDescent="0.25">
      <c r="A552" s="21" t="s">
        <v>2411</v>
      </c>
      <c r="B552" s="40" t="s">
        <v>2412</v>
      </c>
      <c r="C552" s="21" t="s">
        <v>246</v>
      </c>
      <c r="D552" s="21" t="s">
        <v>74</v>
      </c>
      <c r="E552" s="21" t="s">
        <v>101</v>
      </c>
      <c r="F552" s="55">
        <v>3.6005161721675341E-4</v>
      </c>
      <c r="G552" s="24">
        <v>5.2577579999999999</v>
      </c>
      <c r="H552" s="24">
        <v>4.7466650000000001</v>
      </c>
      <c r="I552" s="24">
        <v>6.4027630000000002</v>
      </c>
      <c r="J552" s="24">
        <v>5.511323</v>
      </c>
      <c r="K552" s="24">
        <v>2.4477220000000002</v>
      </c>
      <c r="L552" s="24">
        <v>4.9361300000000004</v>
      </c>
      <c r="M552" s="24">
        <v>26.6981</v>
      </c>
      <c r="N552" s="24">
        <v>9.9046970780287484</v>
      </c>
      <c r="O552" s="24">
        <v>4.141414141414141</v>
      </c>
      <c r="P552" s="24">
        <v>7.0326409495548967</v>
      </c>
      <c r="Q552" s="24">
        <v>2.0631671761033736</v>
      </c>
      <c r="R552" s="24">
        <v>4.13</v>
      </c>
      <c r="S552" s="24">
        <v>4.9891867108474255</v>
      </c>
      <c r="T552" s="24">
        <v>0.80151375339442477</v>
      </c>
      <c r="U552" s="24" t="s">
        <v>3891</v>
      </c>
      <c r="V552">
        <v>0</v>
      </c>
      <c r="W552" s="21">
        <v>0</v>
      </c>
      <c r="X552" s="56" t="str">
        <f>IFERROR(VLOOKUP(A552,Output!A:F,6,0),"-")</f>
        <v>-</v>
      </c>
    </row>
    <row r="553" spans="1:24" x14ac:dyDescent="0.25">
      <c r="A553" s="21" t="s">
        <v>2172</v>
      </c>
      <c r="B553" s="40" t="s">
        <v>2173</v>
      </c>
      <c r="C553" s="21" t="s">
        <v>248</v>
      </c>
      <c r="D553" s="21" t="s">
        <v>75</v>
      </c>
      <c r="E553" s="21" t="s">
        <v>93</v>
      </c>
      <c r="F553" s="55">
        <v>3.5856011514964444E-4</v>
      </c>
      <c r="G553" s="24">
        <v>6.5385609999999996</v>
      </c>
      <c r="H553" s="24">
        <v>5.9505840000000001</v>
      </c>
      <c r="I553" s="24">
        <v>2.9492780000000001</v>
      </c>
      <c r="J553" s="24">
        <v>5.0765200000000004</v>
      </c>
      <c r="K553" s="24">
        <v>2.3512209999999998</v>
      </c>
      <c r="L553" s="24">
        <v>10.57183</v>
      </c>
      <c r="M553" s="24">
        <v>1.8996999999999999</v>
      </c>
      <c r="N553" s="24">
        <v>8.9019138808520868</v>
      </c>
      <c r="O553" s="24">
        <v>7.849462365591398</v>
      </c>
      <c r="P553" s="24">
        <v>2.2651933701657452</v>
      </c>
      <c r="Q553" s="24">
        <v>6.2200282087447114</v>
      </c>
      <c r="R553" s="24">
        <v>3.65</v>
      </c>
      <c r="S553" s="24">
        <v>4.5584463290458022</v>
      </c>
      <c r="T553" s="24">
        <v>0.49958249164152874</v>
      </c>
      <c r="U553" s="24" t="s">
        <v>3718</v>
      </c>
      <c r="V553">
        <v>0</v>
      </c>
      <c r="W553" s="21">
        <v>0</v>
      </c>
      <c r="X553" s="56" t="str">
        <f>IFERROR(VLOOKUP(A553,Output!A:F,6,0),"-")</f>
        <v>-</v>
      </c>
    </row>
    <row r="554" spans="1:24" hidden="1" x14ac:dyDescent="0.25">
      <c r="A554" s="21" t="s">
        <v>1142</v>
      </c>
      <c r="B554" s="40" t="s">
        <v>4362</v>
      </c>
      <c r="C554" s="21" t="s">
        <v>244</v>
      </c>
      <c r="D554" s="21" t="s">
        <v>73</v>
      </c>
      <c r="E554" s="21" t="s">
        <v>91</v>
      </c>
      <c r="F554" s="55">
        <v>3.5782648728634886E-4</v>
      </c>
      <c r="G554" s="24">
        <v>3.8983940000000001</v>
      </c>
      <c r="H554" s="24">
        <v>4.8594970000000002</v>
      </c>
      <c r="I554" s="24">
        <v>6.3958269999999997</v>
      </c>
      <c r="J554" s="24">
        <v>5.2818079999999998</v>
      </c>
      <c r="K554" s="24">
        <v>0.93864150000000002</v>
      </c>
      <c r="L554" s="24">
        <v>4.5695699999999997</v>
      </c>
      <c r="M554" s="24">
        <v>51.776600000000002</v>
      </c>
      <c r="N554" s="24">
        <v>5.2399545129777714</v>
      </c>
      <c r="O554" s="24">
        <v>6.5656565656565657</v>
      </c>
      <c r="P554" s="24">
        <v>4.5114345342559901</v>
      </c>
      <c r="Q554" s="24">
        <v>4.6152074396107441</v>
      </c>
      <c r="R554" s="24">
        <v>6.99</v>
      </c>
      <c r="S554" s="24">
        <v>5.2820371926280014</v>
      </c>
      <c r="T554" s="24">
        <v>0.83207522261112066</v>
      </c>
      <c r="U554" s="24" t="s">
        <v>3190</v>
      </c>
      <c r="V554">
        <v>0</v>
      </c>
      <c r="W554" s="21">
        <v>0</v>
      </c>
      <c r="X554" s="56" t="str">
        <f>IFERROR(VLOOKUP(A554,Output!A:F,6,0),"-")</f>
        <v>-</v>
      </c>
    </row>
    <row r="555" spans="1:24" hidden="1" x14ac:dyDescent="0.25">
      <c r="A555" s="21" t="s">
        <v>2236</v>
      </c>
      <c r="B555" s="40" t="s">
        <v>2237</v>
      </c>
      <c r="C555" s="21" t="s">
        <v>252</v>
      </c>
      <c r="D555" s="21" t="s">
        <v>74</v>
      </c>
      <c r="E555" s="21" t="s">
        <v>91</v>
      </c>
      <c r="F555" s="55">
        <v>3.5777829642697981E-4</v>
      </c>
      <c r="G555" s="24">
        <v>4.5726680000000002</v>
      </c>
      <c r="H555" s="24">
        <v>5.0352629999999996</v>
      </c>
      <c r="I555" s="24">
        <v>4.7090949999999996</v>
      </c>
      <c r="J555" s="24">
        <v>4.8122769999999999</v>
      </c>
      <c r="K555" s="24">
        <v>0</v>
      </c>
      <c r="L555" s="24">
        <v>-0.56736889999999995</v>
      </c>
      <c r="M555" s="24">
        <v>5.0831999999999997</v>
      </c>
      <c r="N555" s="24">
        <v>6.769055290102389</v>
      </c>
      <c r="O555" s="24">
        <v>4.1237113402061851</v>
      </c>
      <c r="P555" s="24">
        <v>0</v>
      </c>
      <c r="Q555" s="24">
        <v>4.2408609801654356</v>
      </c>
      <c r="R555" s="24" t="e">
        <v>#N/A</v>
      </c>
      <c r="S555" s="24">
        <v>2.1161620684958136</v>
      </c>
      <c r="T555" s="24">
        <v>1.0521192076365766</v>
      </c>
      <c r="U555" s="24" t="s">
        <v>3789</v>
      </c>
      <c r="V555">
        <v>0</v>
      </c>
      <c r="W555" s="21">
        <v>0</v>
      </c>
      <c r="X555" s="56" t="str">
        <f>IFERROR(VLOOKUP(A555,Output!A:F,6,0),"-")</f>
        <v>-</v>
      </c>
    </row>
    <row r="556" spans="1:24" hidden="1" x14ac:dyDescent="0.25">
      <c r="A556" s="21" t="s">
        <v>1149</v>
      </c>
      <c r="B556" s="40" t="s">
        <v>1150</v>
      </c>
      <c r="C556" s="21" t="s">
        <v>245</v>
      </c>
      <c r="D556" s="21" t="s">
        <v>73</v>
      </c>
      <c r="E556" s="21" t="s">
        <v>99</v>
      </c>
      <c r="F556" s="55">
        <v>3.5756510972342475E-4</v>
      </c>
      <c r="G556" s="21">
        <v>4.7022069999999996</v>
      </c>
      <c r="H556" s="21">
        <v>5.0364259999999996</v>
      </c>
      <c r="I556" s="21">
        <v>3.9388879999999999</v>
      </c>
      <c r="J556" s="21">
        <v>4.5591739999999996</v>
      </c>
      <c r="K556" s="24">
        <v>0</v>
      </c>
      <c r="L556" s="24">
        <v>5.6216179999999998</v>
      </c>
      <c r="M556" s="24">
        <v>5.3224999999999998</v>
      </c>
      <c r="N556" s="24">
        <v>4.2442781566123244</v>
      </c>
      <c r="O556" s="24">
        <v>2.3958333333333339</v>
      </c>
      <c r="P556" s="24">
        <v>6.08955223880597</v>
      </c>
      <c r="Q556" s="24">
        <v>7.9389984184964915</v>
      </c>
      <c r="R556" s="24" t="e">
        <v>#N/A</v>
      </c>
      <c r="S556" s="24">
        <v>6.1911704533901437</v>
      </c>
      <c r="T556" s="24">
        <v>0.83693969134890489</v>
      </c>
      <c r="U556" s="24" t="s">
        <v>3226</v>
      </c>
      <c r="V556">
        <v>0</v>
      </c>
      <c r="W556" s="21">
        <v>1</v>
      </c>
      <c r="X556" s="56" t="str">
        <f>IFERROR(VLOOKUP(A556,Output!A:F,6,0),"-")</f>
        <v>-</v>
      </c>
    </row>
    <row r="557" spans="1:24" hidden="1" x14ac:dyDescent="0.25">
      <c r="A557" s="21" t="s">
        <v>1240</v>
      </c>
      <c r="B557" s="40" t="s">
        <v>1241</v>
      </c>
      <c r="C557" s="21" t="s">
        <v>244</v>
      </c>
      <c r="D557" s="21" t="s">
        <v>73</v>
      </c>
      <c r="E557" s="21" t="s">
        <v>102</v>
      </c>
      <c r="F557" s="55">
        <v>3.5535798848576979E-4</v>
      </c>
      <c r="G557" s="24">
        <v>3.1029249999999999</v>
      </c>
      <c r="H557" s="24">
        <v>3.9235470000000001</v>
      </c>
      <c r="I557" s="24">
        <v>3.7950900000000001</v>
      </c>
      <c r="J557" s="24">
        <v>3.4054829999999998</v>
      </c>
      <c r="K557" s="24">
        <v>4.3194800000000004</v>
      </c>
      <c r="L557" s="24">
        <v>7.3063359999999999</v>
      </c>
      <c r="M557" s="24">
        <v>3454.7820000000002</v>
      </c>
      <c r="N557" s="24">
        <v>5.3973673265929119</v>
      </c>
      <c r="O557" s="24">
        <v>6.3917525773195871</v>
      </c>
      <c r="P557" s="24">
        <v>5.3174603174603172</v>
      </c>
      <c r="Q557" s="24">
        <v>9.7772213425636103</v>
      </c>
      <c r="R557" s="24">
        <v>5.61</v>
      </c>
      <c r="S557" s="24">
        <v>6.8933727281167387</v>
      </c>
      <c r="T557" s="24">
        <v>0.61485377147400855</v>
      </c>
      <c r="U557" s="24" t="s">
        <v>3249</v>
      </c>
      <c r="V557">
        <v>0</v>
      </c>
      <c r="W557" s="21">
        <v>1</v>
      </c>
      <c r="X557" s="56" t="str">
        <f>IFERROR(VLOOKUP(A557,Output!A:F,6,0),"-")</f>
        <v>-</v>
      </c>
    </row>
    <row r="558" spans="1:24" hidden="1" x14ac:dyDescent="0.25">
      <c r="A558" s="21" t="s">
        <v>575</v>
      </c>
      <c r="B558" s="40" t="s">
        <v>977</v>
      </c>
      <c r="C558" s="21" t="s">
        <v>244</v>
      </c>
      <c r="D558" s="21" t="s">
        <v>73</v>
      </c>
      <c r="E558" s="21" t="s">
        <v>99</v>
      </c>
      <c r="F558" s="55">
        <v>3.5492155435645317E-4</v>
      </c>
      <c r="G558" s="24">
        <v>2.0948060000000002</v>
      </c>
      <c r="H558" s="24">
        <v>1.634037</v>
      </c>
      <c r="I558" s="24">
        <v>5.9191330000000004</v>
      </c>
      <c r="J558" s="24">
        <v>3.215992</v>
      </c>
      <c r="K558" s="24">
        <v>0</v>
      </c>
      <c r="L558" s="24">
        <v>3.4280119999999998</v>
      </c>
      <c r="M558" s="24">
        <v>6.1521999999999997</v>
      </c>
      <c r="N558" s="24">
        <v>5.0670880084520906</v>
      </c>
      <c r="O558" s="24">
        <v>7.3958333333333339</v>
      </c>
      <c r="P558" s="24">
        <v>3.2537313432835822</v>
      </c>
      <c r="Q558" s="24">
        <v>3.277755648505805</v>
      </c>
      <c r="R558" s="24" t="e">
        <v>#N/A</v>
      </c>
      <c r="S558" s="24">
        <v>4.2450346476710363</v>
      </c>
      <c r="T558" s="24">
        <v>1.2329189595622965</v>
      </c>
      <c r="U558" s="24" t="s">
        <v>3081</v>
      </c>
      <c r="V558">
        <v>0</v>
      </c>
      <c r="W558" s="21">
        <v>1</v>
      </c>
      <c r="X558" s="56" t="str">
        <f>IFERROR(VLOOKUP(A558,Output!A:F,6,0),"-")</f>
        <v>-</v>
      </c>
    </row>
    <row r="559" spans="1:24" hidden="1" x14ac:dyDescent="0.25">
      <c r="A559" s="21" t="s">
        <v>1234</v>
      </c>
      <c r="B559" s="40" t="s">
        <v>1235</v>
      </c>
      <c r="C559" s="21" t="s">
        <v>244</v>
      </c>
      <c r="D559" s="21" t="s">
        <v>73</v>
      </c>
      <c r="E559" s="21" t="s">
        <v>102</v>
      </c>
      <c r="F559" s="55">
        <v>3.545232503642991E-4</v>
      </c>
      <c r="G559" s="24">
        <v>3.6304630000000002</v>
      </c>
      <c r="H559" s="24">
        <v>4.2291080000000001</v>
      </c>
      <c r="I559" s="24">
        <v>4.8370110000000004</v>
      </c>
      <c r="J559" s="24">
        <v>3.991501</v>
      </c>
      <c r="K559" s="24">
        <v>3.676037</v>
      </c>
      <c r="L559" s="24">
        <v>6.2229729999999996</v>
      </c>
      <c r="M559" s="24">
        <v>718.22119999999995</v>
      </c>
      <c r="N559" s="24">
        <v>2.9000002210526081</v>
      </c>
      <c r="O559" s="24">
        <v>7.216494845360824</v>
      </c>
      <c r="P559" s="24">
        <v>3.9682539682539684</v>
      </c>
      <c r="Q559" s="24">
        <v>6.471259712044775</v>
      </c>
      <c r="R559" s="24">
        <v>4.2</v>
      </c>
      <c r="S559" s="24">
        <v>4.5796487488803379</v>
      </c>
      <c r="T559" s="24">
        <v>0.4570848287302014</v>
      </c>
      <c r="U559" s="24" t="s">
        <v>3263</v>
      </c>
      <c r="V559">
        <v>1</v>
      </c>
      <c r="W559" s="21">
        <v>1</v>
      </c>
      <c r="X559" s="56" t="str">
        <f>IFERROR(VLOOKUP(A559,Output!A:F,6,0),"-")</f>
        <v>-</v>
      </c>
    </row>
    <row r="560" spans="1:24" hidden="1" x14ac:dyDescent="0.25">
      <c r="A560" s="21" t="s">
        <v>4324</v>
      </c>
      <c r="B560" s="40" t="s">
        <v>4325</v>
      </c>
      <c r="C560" s="21" t="s">
        <v>244</v>
      </c>
      <c r="D560" s="21" t="s">
        <v>73</v>
      </c>
      <c r="E560" s="21" t="s">
        <v>95</v>
      </c>
      <c r="F560" s="55">
        <v>3.5372845330998811E-4</v>
      </c>
      <c r="G560" s="24">
        <v>5.1442579999999998</v>
      </c>
      <c r="H560" s="24">
        <v>4.2528420000000002</v>
      </c>
      <c r="I560" s="24">
        <v>6.3894719999999996</v>
      </c>
      <c r="J560" s="24">
        <v>5.3395390000000003</v>
      </c>
      <c r="K560" s="24">
        <v>2.64859</v>
      </c>
      <c r="L560" s="24">
        <v>6.5174200000000004</v>
      </c>
      <c r="M560" s="24">
        <v>389.60160000000002</v>
      </c>
      <c r="N560" s="24">
        <v>8.2155677715228865</v>
      </c>
      <c r="O560" s="24">
        <v>7.6288659793814428</v>
      </c>
      <c r="P560" s="24">
        <v>4.9163879598662206</v>
      </c>
      <c r="Q560" s="24">
        <v>2.5770542821234059</v>
      </c>
      <c r="R560" s="24">
        <v>6.19</v>
      </c>
      <c r="S560" s="24">
        <v>4.616125185868726</v>
      </c>
      <c r="T560" s="24">
        <v>0.75643219388791694</v>
      </c>
      <c r="U560" s="24" t="s">
        <v>4326</v>
      </c>
      <c r="V560">
        <v>0</v>
      </c>
      <c r="W560" s="21">
        <v>0</v>
      </c>
      <c r="X560" s="56" t="str">
        <f>IFERROR(VLOOKUP(A560,Output!A:F,6,0),"-")</f>
        <v>-</v>
      </c>
    </row>
    <row r="561" spans="1:24" hidden="1" x14ac:dyDescent="0.25">
      <c r="A561" s="21" t="s">
        <v>1421</v>
      </c>
      <c r="B561" s="40" t="s">
        <v>1422</v>
      </c>
      <c r="C561" s="21" t="s">
        <v>244</v>
      </c>
      <c r="D561" s="21" t="s">
        <v>73</v>
      </c>
      <c r="E561" s="21" t="s">
        <v>102</v>
      </c>
      <c r="F561" s="55">
        <v>3.5275578268706675E-4</v>
      </c>
      <c r="G561" s="24">
        <v>4.1395489999999997</v>
      </c>
      <c r="H561" s="24">
        <v>4.3367120000000003</v>
      </c>
      <c r="I561" s="24">
        <v>6.0728609999999996</v>
      </c>
      <c r="J561" s="24">
        <v>4.5656439999999998</v>
      </c>
      <c r="K561" s="24">
        <v>2.5164949999999999</v>
      </c>
      <c r="L561" s="24">
        <v>4.0666399999999996</v>
      </c>
      <c r="M561" s="24">
        <v>154.7978</v>
      </c>
      <c r="N561" s="24">
        <v>4.4526311102493574</v>
      </c>
      <c r="O561" s="24">
        <v>6.7010309278350508</v>
      </c>
      <c r="P561" s="24">
        <v>4.246031746031746</v>
      </c>
      <c r="Q561" s="24">
        <v>7.8432816585042558E-2</v>
      </c>
      <c r="R561" s="24">
        <v>4.3899999999999997</v>
      </c>
      <c r="S561" s="24">
        <v>2.6846724476123489</v>
      </c>
      <c r="T561" s="24">
        <v>0.73265574932125654</v>
      </c>
      <c r="U561" s="24" t="s">
        <v>3338</v>
      </c>
      <c r="V561">
        <v>0</v>
      </c>
      <c r="W561" s="21">
        <v>1</v>
      </c>
      <c r="X561" s="56" t="str">
        <f>IFERROR(VLOOKUP(A561,Output!A:F,6,0),"-")</f>
        <v>-</v>
      </c>
    </row>
    <row r="562" spans="1:24" hidden="1" x14ac:dyDescent="0.25">
      <c r="A562" s="21" t="s">
        <v>2463</v>
      </c>
      <c r="B562" s="40" t="s">
        <v>2464</v>
      </c>
      <c r="C562" s="21" t="s">
        <v>249</v>
      </c>
      <c r="D562" s="21" t="s">
        <v>74</v>
      </c>
      <c r="E562" s="21" t="s">
        <v>100</v>
      </c>
      <c r="F562" s="55">
        <v>3.5243927236645124E-4</v>
      </c>
      <c r="G562" s="21">
        <v>5.1567749999999997</v>
      </c>
      <c r="H562" s="21">
        <v>5.3460660000000004</v>
      </c>
      <c r="I562" s="21">
        <v>5.1606259999999997</v>
      </c>
      <c r="J562" s="21">
        <v>5.2211559999999997</v>
      </c>
      <c r="K562" s="24">
        <v>6.8693770000000001</v>
      </c>
      <c r="L562" s="24">
        <v>10.87157</v>
      </c>
      <c r="M562" s="24">
        <v>34.255099999999999</v>
      </c>
      <c r="N562" s="24">
        <v>4.279265981297983</v>
      </c>
      <c r="O562" s="24">
        <v>8.8888888888888893</v>
      </c>
      <c r="P562" s="24">
        <v>4.3173431734317349</v>
      </c>
      <c r="Q562" s="24">
        <v>9.2333594887363617</v>
      </c>
      <c r="R562" s="24">
        <v>6.82</v>
      </c>
      <c r="S562" s="24">
        <v>6.5512309216332376</v>
      </c>
      <c r="T562" s="24">
        <v>-0.16972671163295908</v>
      </c>
      <c r="U562" s="24" t="s">
        <v>3928</v>
      </c>
      <c r="V562">
        <v>0</v>
      </c>
      <c r="W562" s="21">
        <v>0</v>
      </c>
      <c r="X562" s="56">
        <f>IFERROR(VLOOKUP(A562,Output!A:F,6,0),"-")</f>
        <v>5.0000000000000001E-3</v>
      </c>
    </row>
    <row r="563" spans="1:24" hidden="1" x14ac:dyDescent="0.25">
      <c r="A563" s="21" t="s">
        <v>4316</v>
      </c>
      <c r="B563" s="40" t="s">
        <v>4317</v>
      </c>
      <c r="C563" s="21" t="s">
        <v>244</v>
      </c>
      <c r="D563" s="21" t="s">
        <v>73</v>
      </c>
      <c r="E563" s="21" t="s">
        <v>92</v>
      </c>
      <c r="F563" s="55">
        <v>3.5242387946147536E-4</v>
      </c>
      <c r="G563" s="24">
        <v>3.742378</v>
      </c>
      <c r="H563" s="24">
        <v>5.5874740000000003</v>
      </c>
      <c r="I563" s="24">
        <v>5.6056039999999996</v>
      </c>
      <c r="J563" s="24">
        <v>4.8548749999999998</v>
      </c>
      <c r="K563" s="24">
        <v>0</v>
      </c>
      <c r="L563" s="24">
        <v>1.750084</v>
      </c>
      <c r="M563" s="24">
        <v>30.945599999999999</v>
      </c>
      <c r="N563" s="24">
        <v>5.9138252840909091</v>
      </c>
      <c r="O563" s="24">
        <v>9.0909090909090899</v>
      </c>
      <c r="P563" s="24">
        <v>5.2111225737955822</v>
      </c>
      <c r="Q563" s="24">
        <v>9.1850278736395036E-2</v>
      </c>
      <c r="R563" s="24" t="e">
        <v>#N/A</v>
      </c>
      <c r="S563" s="24">
        <v>2.3928116845758369</v>
      </c>
      <c r="T563" s="24">
        <v>1.0406891455221103</v>
      </c>
      <c r="U563" s="24" t="s">
        <v>4318</v>
      </c>
      <c r="V563">
        <v>0</v>
      </c>
      <c r="W563" s="21">
        <v>0</v>
      </c>
      <c r="X563" s="56" t="str">
        <f>IFERROR(VLOOKUP(A563,Output!A:F,6,0),"-")</f>
        <v>-</v>
      </c>
    </row>
    <row r="564" spans="1:24" hidden="1" x14ac:dyDescent="0.25">
      <c r="A564" s="21" t="s">
        <v>1170</v>
      </c>
      <c r="B564" s="40" t="s">
        <v>1171</v>
      </c>
      <c r="C564" s="21" t="s">
        <v>244</v>
      </c>
      <c r="D564" s="21" t="s">
        <v>73</v>
      </c>
      <c r="E564" s="21" t="s">
        <v>99</v>
      </c>
      <c r="F564" s="55">
        <v>3.5126548790662262E-4</v>
      </c>
      <c r="G564" s="21">
        <v>6.8146950000000004</v>
      </c>
      <c r="H564" s="21">
        <v>5.6444070000000002</v>
      </c>
      <c r="I564" s="21">
        <v>6.3308419999999996</v>
      </c>
      <c r="J564" s="21">
        <v>6.3184529999999999</v>
      </c>
      <c r="K564" s="24">
        <v>2.8855919999999999</v>
      </c>
      <c r="L564" s="24">
        <v>11.98626</v>
      </c>
      <c r="M564" s="53">
        <v>12.749700000000001</v>
      </c>
      <c r="N564" s="24">
        <v>1.3950273397811632</v>
      </c>
      <c r="O564" s="24">
        <v>0.9375</v>
      </c>
      <c r="P564" s="24">
        <v>3.2537313432835822</v>
      </c>
      <c r="Q564" s="24">
        <v>9.9924998556799167</v>
      </c>
      <c r="R564" s="24">
        <v>7.43</v>
      </c>
      <c r="S564" s="24">
        <v>5.9916855178788531</v>
      </c>
      <c r="T564" s="24">
        <v>1.3012177419561028</v>
      </c>
      <c r="U564" s="24" t="s">
        <v>3185</v>
      </c>
      <c r="V564">
        <v>0</v>
      </c>
      <c r="W564" s="21">
        <v>0</v>
      </c>
      <c r="X564" s="56" t="str">
        <f>IFERROR(VLOOKUP(A564,Output!A:F,6,0),"-")</f>
        <v>-</v>
      </c>
    </row>
    <row r="565" spans="1:24" hidden="1" x14ac:dyDescent="0.25">
      <c r="A565" s="21" t="s">
        <v>1321</v>
      </c>
      <c r="B565" s="40" t="s">
        <v>1322</v>
      </c>
      <c r="C565" s="21" t="s">
        <v>244</v>
      </c>
      <c r="D565" s="21" t="s">
        <v>73</v>
      </c>
      <c r="E565" s="21" t="s">
        <v>91</v>
      </c>
      <c r="F565" s="55">
        <v>3.5022168797770156E-4</v>
      </c>
      <c r="G565" s="24">
        <v>4.1639619999999997</v>
      </c>
      <c r="H565" s="24">
        <v>3.2428940000000002</v>
      </c>
      <c r="I565" s="24">
        <v>3.2447569999999999</v>
      </c>
      <c r="J565" s="24">
        <v>3.4278529999999998</v>
      </c>
      <c r="K565" s="24">
        <v>0</v>
      </c>
      <c r="L565" s="24">
        <v>3.500864</v>
      </c>
      <c r="M565" s="24">
        <v>39.196100000000001</v>
      </c>
      <c r="N565" s="24">
        <v>3.4695758007278252</v>
      </c>
      <c r="O565" s="24">
        <v>6.262626262626263</v>
      </c>
      <c r="P565" s="24">
        <v>6.8191268323529028</v>
      </c>
      <c r="Q565" s="24">
        <v>2.9972452710678601</v>
      </c>
      <c r="R565" s="24" t="e">
        <v>#N/A</v>
      </c>
      <c r="S565" s="24">
        <v>3.402235435602011</v>
      </c>
      <c r="T565" s="24">
        <v>1.5909495328101744</v>
      </c>
      <c r="U565" s="24" t="s">
        <v>3280</v>
      </c>
      <c r="V565">
        <v>0</v>
      </c>
      <c r="W565" s="21">
        <v>1</v>
      </c>
      <c r="X565" s="56" t="str">
        <f>IFERROR(VLOOKUP(A565,Output!A:F,6,0),"-")</f>
        <v>-</v>
      </c>
    </row>
    <row r="566" spans="1:24" hidden="1" x14ac:dyDescent="0.25">
      <c r="A566" s="62" t="s">
        <v>127</v>
      </c>
      <c r="B566" s="66" t="s">
        <v>195</v>
      </c>
      <c r="C566" s="62" t="s">
        <v>249</v>
      </c>
      <c r="D566" s="62" t="s">
        <v>74</v>
      </c>
      <c r="E566" s="62" t="s">
        <v>102</v>
      </c>
      <c r="F566" s="67">
        <v>3.4952065685435484E-4</v>
      </c>
      <c r="G566" s="68">
        <v>4.9319290000000002</v>
      </c>
      <c r="H566" s="68">
        <v>5.6637170000000001</v>
      </c>
      <c r="I566" s="68">
        <v>4.785863</v>
      </c>
      <c r="J566" s="68">
        <v>5.0490729999999999</v>
      </c>
      <c r="K566" s="68">
        <v>4.8101430000000001</v>
      </c>
      <c r="L566" s="68">
        <v>7.3516170000000001</v>
      </c>
      <c r="M566" s="68">
        <v>1074.3489999999999</v>
      </c>
      <c r="N566" s="68">
        <v>8.5947100160280208</v>
      </c>
      <c r="O566" s="68">
        <v>3.9560439560439562</v>
      </c>
      <c r="P566" s="68">
        <v>4.8780487804878057</v>
      </c>
      <c r="Q566" s="70">
        <v>5.5180797794571967</v>
      </c>
      <c r="R566" s="68">
        <v>7.12</v>
      </c>
      <c r="S566" s="24">
        <v>6.4075727124453747</v>
      </c>
      <c r="T566" s="24">
        <v>0.3030611959095979</v>
      </c>
      <c r="U566" s="24" t="s">
        <v>3819</v>
      </c>
      <c r="V566">
        <v>0</v>
      </c>
      <c r="W566" s="21">
        <v>0</v>
      </c>
      <c r="X566" s="56">
        <f>IFERROR(VLOOKUP(A566,Output!A:F,6,0),"-")</f>
        <v>2.0000000000000729E-3</v>
      </c>
    </row>
    <row r="567" spans="1:24" hidden="1" x14ac:dyDescent="0.25">
      <c r="A567" s="21" t="s">
        <v>1401</v>
      </c>
      <c r="B567" s="40" t="s">
        <v>1402</v>
      </c>
      <c r="C567" s="21" t="s">
        <v>244</v>
      </c>
      <c r="D567" s="21" t="s">
        <v>73</v>
      </c>
      <c r="E567" s="21" t="s">
        <v>97</v>
      </c>
      <c r="F567" s="55">
        <v>3.4948383461107918E-4</v>
      </c>
      <c r="G567" s="21">
        <v>3.1548189999999998</v>
      </c>
      <c r="H567" s="21">
        <v>6.5944520000000004</v>
      </c>
      <c r="I567" s="21">
        <v>5.7326569999999997</v>
      </c>
      <c r="J567" s="21">
        <v>4.8738809999999999</v>
      </c>
      <c r="K567" s="24">
        <v>1.8600810000000001</v>
      </c>
      <c r="L567" s="24">
        <v>2.0048599999999999</v>
      </c>
      <c r="M567" s="24">
        <v>60.826500000000003</v>
      </c>
      <c r="N567" s="24">
        <v>4.6452137549152219</v>
      </c>
      <c r="O567" s="24">
        <v>0</v>
      </c>
      <c r="P567" s="24">
        <v>6.6060600000000003</v>
      </c>
      <c r="Q567" s="24">
        <v>2.4469728894507652</v>
      </c>
      <c r="R567" s="24">
        <v>4.12</v>
      </c>
      <c r="S567" s="24">
        <v>3.6146951490925092</v>
      </c>
      <c r="T567" s="24">
        <v>0.92975865196325813</v>
      </c>
      <c r="U567" s="24" t="s">
        <v>3346</v>
      </c>
      <c r="V567">
        <v>0</v>
      </c>
      <c r="W567" s="21">
        <v>0</v>
      </c>
      <c r="X567" s="56" t="str">
        <f>IFERROR(VLOOKUP(A567,Output!A:F,6,0),"-")</f>
        <v>-</v>
      </c>
    </row>
    <row r="568" spans="1:24" hidden="1" x14ac:dyDescent="0.25">
      <c r="A568" s="21" t="s">
        <v>534</v>
      </c>
      <c r="B568" s="40" t="s">
        <v>817</v>
      </c>
      <c r="C568" s="21" t="s">
        <v>244</v>
      </c>
      <c r="D568" s="21" t="s">
        <v>73</v>
      </c>
      <c r="E568" s="21" t="s">
        <v>97</v>
      </c>
      <c r="F568" s="55">
        <v>3.4814726766594983E-4</v>
      </c>
      <c r="G568" s="24">
        <v>7.1453540000000002</v>
      </c>
      <c r="H568" s="24">
        <v>6.199084</v>
      </c>
      <c r="I568" s="24">
        <v>6.1130269999999998</v>
      </c>
      <c r="J568" s="24">
        <v>6.5431689999999998</v>
      </c>
      <c r="K568" s="24">
        <v>3.3447619999999998</v>
      </c>
      <c r="L568" s="24">
        <v>2.876887</v>
      </c>
      <c r="M568" s="24">
        <v>84.536699999999996</v>
      </c>
      <c r="N568" s="24">
        <v>8.2728253675205661</v>
      </c>
      <c r="O568" s="24">
        <v>10</v>
      </c>
      <c r="P568" s="24">
        <v>7.9545454545454568</v>
      </c>
      <c r="Q568" s="24">
        <v>5.179800533782835</v>
      </c>
      <c r="R568" s="24">
        <v>5.52</v>
      </c>
      <c r="S568" s="24">
        <v>6.1216431982882265</v>
      </c>
      <c r="T568" s="24">
        <v>1.0877169709309855</v>
      </c>
      <c r="U568" s="24" t="s">
        <v>2800</v>
      </c>
      <c r="V568">
        <v>0</v>
      </c>
      <c r="W568" s="21">
        <v>0</v>
      </c>
      <c r="X568" s="56" t="str">
        <f>IFERROR(VLOOKUP(A568,Output!A:F,6,0),"-")</f>
        <v>-</v>
      </c>
    </row>
    <row r="569" spans="1:24" hidden="1" x14ac:dyDescent="0.25">
      <c r="A569" s="21" t="s">
        <v>831</v>
      </c>
      <c r="B569" s="40" t="s">
        <v>832</v>
      </c>
      <c r="C569" s="21" t="s">
        <v>247</v>
      </c>
      <c r="D569" s="21" t="s">
        <v>74</v>
      </c>
      <c r="E569" s="21" t="s">
        <v>102</v>
      </c>
      <c r="F569" s="55">
        <v>3.4789041742801875E-4</v>
      </c>
      <c r="G569" s="24">
        <v>3.544387</v>
      </c>
      <c r="H569" s="24">
        <v>6.0137349999999996</v>
      </c>
      <c r="I569" s="24">
        <v>4.0764639999999996</v>
      </c>
      <c r="J569" s="24">
        <v>4.1446719999999999</v>
      </c>
      <c r="K569" s="24">
        <v>3.6977709999999999</v>
      </c>
      <c r="L569" s="24">
        <v>8.9138769999999994</v>
      </c>
      <c r="M569" s="24">
        <v>778.54740000000004</v>
      </c>
      <c r="N569" s="24">
        <v>3.4739097370173138</v>
      </c>
      <c r="O569" s="24">
        <v>1.7582417582417584</v>
      </c>
      <c r="P569" s="24">
        <v>5.3963414634146343</v>
      </c>
      <c r="Q569" s="24">
        <v>4.2630452520116764</v>
      </c>
      <c r="R569" s="24">
        <v>3.81</v>
      </c>
      <c r="S569" s="24">
        <v>5.148971288018914</v>
      </c>
      <c r="T569" s="24">
        <v>0.14123954707177394</v>
      </c>
      <c r="U569" s="24" t="s">
        <v>3872</v>
      </c>
      <c r="V569">
        <v>0</v>
      </c>
      <c r="W569" s="21">
        <v>1</v>
      </c>
      <c r="X569" s="56" t="str">
        <f>IFERROR(VLOOKUP(A569,Output!A:F,6,0),"-")</f>
        <v>-</v>
      </c>
    </row>
    <row r="570" spans="1:24" hidden="1" x14ac:dyDescent="0.25">
      <c r="A570" s="21" t="s">
        <v>500</v>
      </c>
      <c r="B570" s="40" t="s">
        <v>885</v>
      </c>
      <c r="C570" s="21" t="s">
        <v>245</v>
      </c>
      <c r="D570" s="21" t="s">
        <v>73</v>
      </c>
      <c r="E570" s="21" t="s">
        <v>95</v>
      </c>
      <c r="F570" s="55">
        <v>3.4534012495590112E-4</v>
      </c>
      <c r="G570" s="24">
        <v>4.064343</v>
      </c>
      <c r="H570" s="24">
        <v>4.5427489999999997</v>
      </c>
      <c r="I570" s="24">
        <v>5.4615299999999998</v>
      </c>
      <c r="J570" s="24">
        <v>4.5791810000000002</v>
      </c>
      <c r="K570" s="24">
        <v>0.17316239999999999</v>
      </c>
      <c r="L570" s="24">
        <v>2.5538180000000001</v>
      </c>
      <c r="M570" s="24">
        <v>267.06020000000001</v>
      </c>
      <c r="N570" s="24">
        <v>7.3083839935099393</v>
      </c>
      <c r="O570" s="24">
        <v>8.5567010309278349</v>
      </c>
      <c r="P570" s="24">
        <v>0</v>
      </c>
      <c r="Q570" s="24">
        <v>0.21664982943323946</v>
      </c>
      <c r="R570" s="24">
        <v>1.26</v>
      </c>
      <c r="S570" s="24">
        <v>1.2669071525420048</v>
      </c>
      <c r="T570" s="24">
        <v>0.85951528475339134</v>
      </c>
      <c r="U570" s="24" t="s">
        <v>3007</v>
      </c>
      <c r="V570">
        <v>0</v>
      </c>
      <c r="W570" s="21">
        <v>1</v>
      </c>
      <c r="X570" s="56" t="str">
        <f>IFERROR(VLOOKUP(A570,Output!A:F,6,0),"-")</f>
        <v>-</v>
      </c>
    </row>
    <row r="571" spans="1:24" hidden="1" x14ac:dyDescent="0.25">
      <c r="A571" s="21" t="s">
        <v>2621</v>
      </c>
      <c r="B571" s="40" t="s">
        <v>2622</v>
      </c>
      <c r="C571" s="21" t="s">
        <v>246</v>
      </c>
      <c r="D571" s="21" t="s">
        <v>74</v>
      </c>
      <c r="E571" s="21" t="s">
        <v>92</v>
      </c>
      <c r="F571" s="55">
        <v>3.4459895155095061E-4</v>
      </c>
      <c r="G571" s="21">
        <v>8.0369050000000009</v>
      </c>
      <c r="H571" s="21">
        <v>6.1263139999999998</v>
      </c>
      <c r="I571" s="21">
        <v>5.3078690000000002</v>
      </c>
      <c r="J571" s="21">
        <v>6.6450170000000002</v>
      </c>
      <c r="K571" s="21">
        <v>1.8561129999999999</v>
      </c>
      <c r="L571" s="21">
        <v>3.8797290000000002</v>
      </c>
      <c r="M571" s="21">
        <v>30.402000000000001</v>
      </c>
      <c r="N571" s="21">
        <v>4.585186666666667</v>
      </c>
      <c r="O571" s="21">
        <v>4.795918367346939</v>
      </c>
      <c r="P571" s="21">
        <v>7.9999999999999991</v>
      </c>
      <c r="Q571" s="21">
        <v>1.8450751995019732</v>
      </c>
      <c r="R571" s="21">
        <v>3.57</v>
      </c>
      <c r="S571" s="21">
        <v>4.7415096911380967</v>
      </c>
      <c r="T571" s="21">
        <v>0.81562389557968795</v>
      </c>
      <c r="U571" s="21" t="s">
        <v>4064</v>
      </c>
      <c r="V571">
        <v>0</v>
      </c>
      <c r="W571" s="21">
        <v>0</v>
      </c>
      <c r="X571" s="56" t="str">
        <f>IFERROR(VLOOKUP(A571,Output!A:F,6,0),"-")</f>
        <v>-</v>
      </c>
    </row>
    <row r="572" spans="1:24" hidden="1" x14ac:dyDescent="0.25">
      <c r="A572" s="21" t="s">
        <v>1136</v>
      </c>
      <c r="B572" s="40" t="s">
        <v>1137</v>
      </c>
      <c r="C572" s="21" t="s">
        <v>244</v>
      </c>
      <c r="D572" s="21" t="s">
        <v>73</v>
      </c>
      <c r="E572" s="21" t="s">
        <v>97</v>
      </c>
      <c r="F572" s="55">
        <v>3.390985535062303E-4</v>
      </c>
      <c r="G572" s="24">
        <v>2.6104310000000002</v>
      </c>
      <c r="H572" s="24">
        <v>4.0515489999999996</v>
      </c>
      <c r="I572" s="24">
        <v>4.4784540000000002</v>
      </c>
      <c r="J572" s="24">
        <v>3.645864</v>
      </c>
      <c r="K572" s="24">
        <v>3.1653660000000001</v>
      </c>
      <c r="L572" s="24">
        <v>2.1561059999999999</v>
      </c>
      <c r="M572" s="24">
        <v>75.587400000000002</v>
      </c>
      <c r="N572" s="24">
        <v>5.3410337721066394</v>
      </c>
      <c r="O572" s="24">
        <v>6.5979381443298966</v>
      </c>
      <c r="P572" s="24">
        <v>3.0454545454545459</v>
      </c>
      <c r="Q572" s="24">
        <v>3.7987554431802222</v>
      </c>
      <c r="R572" s="24">
        <v>5.49</v>
      </c>
      <c r="S572" s="24">
        <v>4.1636676822345855</v>
      </c>
      <c r="T572" s="24">
        <v>0.97154059786883884</v>
      </c>
      <c r="U572" s="24" t="s">
        <v>3217</v>
      </c>
      <c r="V572">
        <v>0</v>
      </c>
      <c r="W572" s="21">
        <v>1</v>
      </c>
      <c r="X572" s="56" t="str">
        <f>IFERROR(VLOOKUP(A572,Output!A:F,6,0),"-")</f>
        <v>-</v>
      </c>
    </row>
    <row r="573" spans="1:24" hidden="1" x14ac:dyDescent="0.25">
      <c r="A573" s="21" t="s">
        <v>4346</v>
      </c>
      <c r="B573" s="40" t="s">
        <v>4347</v>
      </c>
      <c r="C573" s="21" t="s">
        <v>244</v>
      </c>
      <c r="D573" s="21" t="s">
        <v>73</v>
      </c>
      <c r="E573" s="21" t="s">
        <v>89</v>
      </c>
      <c r="F573" s="55">
        <v>3.3803875702900093E-4</v>
      </c>
      <c r="G573" s="21">
        <v>5.7649020000000002</v>
      </c>
      <c r="H573" s="21">
        <v>4.9577020000000003</v>
      </c>
      <c r="I573" s="21">
        <v>3.8683139999999998</v>
      </c>
      <c r="J573" s="21">
        <v>4.8185760000000002</v>
      </c>
      <c r="K573" s="24">
        <v>2.8707950000000002</v>
      </c>
      <c r="L573" s="24">
        <v>3.9691399999999999</v>
      </c>
      <c r="M573" s="24">
        <v>5.2253999999999996</v>
      </c>
      <c r="N573" s="24">
        <v>7.36328125</v>
      </c>
      <c r="O573" s="24">
        <v>7.3195876288659782</v>
      </c>
      <c r="P573" s="24">
        <v>8.652849740932643</v>
      </c>
      <c r="Q573" s="24">
        <v>0.57062183146829326</v>
      </c>
      <c r="R573" s="24">
        <v>7.55</v>
      </c>
      <c r="S573" s="24">
        <v>4.7321143188433936</v>
      </c>
      <c r="T573" s="24">
        <v>1.3400985296945394</v>
      </c>
      <c r="U573" s="24" t="s">
        <v>4348</v>
      </c>
      <c r="V573">
        <v>0</v>
      </c>
      <c r="W573" s="21">
        <v>0</v>
      </c>
      <c r="X573" s="56" t="str">
        <f>IFERROR(VLOOKUP(A573,Output!A:F,6,0),"-")</f>
        <v>-</v>
      </c>
    </row>
    <row r="574" spans="1:24" hidden="1" x14ac:dyDescent="0.25">
      <c r="A574" s="21" t="s">
        <v>1036</v>
      </c>
      <c r="B574" s="40" t="s">
        <v>1037</v>
      </c>
      <c r="C574" s="21" t="s">
        <v>244</v>
      </c>
      <c r="D574" s="21" t="s">
        <v>73</v>
      </c>
      <c r="E574" s="21" t="s">
        <v>92</v>
      </c>
      <c r="F574" s="55">
        <v>3.3769377486454115E-4</v>
      </c>
      <c r="G574" s="24">
        <v>6.8555900000000003</v>
      </c>
      <c r="H574" s="24">
        <v>6.8118040000000004</v>
      </c>
      <c r="I574" s="24">
        <v>6.4197420000000003</v>
      </c>
      <c r="J574" s="24">
        <v>6.6957120000000003</v>
      </c>
      <c r="K574" s="24">
        <v>1.2337769999999999</v>
      </c>
      <c r="L574" s="24">
        <v>5.3590590000000002</v>
      </c>
      <c r="M574" s="24">
        <v>107.2315</v>
      </c>
      <c r="N574" s="24">
        <v>2.504734375</v>
      </c>
      <c r="O574" s="24">
        <v>2.3232323232323231</v>
      </c>
      <c r="P574" s="24">
        <v>4.5623069225033701</v>
      </c>
      <c r="Q574" s="24">
        <v>5.5869392089195644</v>
      </c>
      <c r="R574" s="24">
        <v>5.27</v>
      </c>
      <c r="S574" s="24">
        <v>4.6839280861104147</v>
      </c>
      <c r="T574" s="24">
        <v>0.99715903097780589</v>
      </c>
      <c r="U574" s="24" t="s">
        <v>3129</v>
      </c>
      <c r="V574">
        <v>0</v>
      </c>
      <c r="W574" s="21">
        <v>0</v>
      </c>
      <c r="X574" s="56" t="str">
        <f>IFERROR(VLOOKUP(A574,Output!A:F,6,0),"-")</f>
        <v>-</v>
      </c>
    </row>
    <row r="575" spans="1:24" hidden="1" x14ac:dyDescent="0.25">
      <c r="A575" s="21" t="s">
        <v>1470</v>
      </c>
      <c r="B575" s="40" t="s">
        <v>1471</v>
      </c>
      <c r="C575" s="21" t="s">
        <v>244</v>
      </c>
      <c r="D575" s="21" t="s">
        <v>73</v>
      </c>
      <c r="E575" s="21" t="s">
        <v>103</v>
      </c>
      <c r="F575" s="55">
        <v>3.3753863852811739E-4</v>
      </c>
      <c r="G575" s="24">
        <v>4.9962600000000004</v>
      </c>
      <c r="H575" s="24">
        <v>4.5417180000000004</v>
      </c>
      <c r="I575" s="24">
        <v>5.7088469999999996</v>
      </c>
      <c r="J575" s="24">
        <v>5.0736739999999996</v>
      </c>
      <c r="K575" s="24">
        <v>8.5536539999999994E-2</v>
      </c>
      <c r="L575" s="24">
        <v>6.5668930000000003</v>
      </c>
      <c r="M575" s="24">
        <v>23.664000000000001</v>
      </c>
      <c r="N575" s="24">
        <v>6.0409634359735538</v>
      </c>
      <c r="O575" s="24">
        <v>1.6326530612244896</v>
      </c>
      <c r="P575" s="24">
        <v>4.9759383829680015</v>
      </c>
      <c r="Q575" s="24">
        <v>7.3179311697790919</v>
      </c>
      <c r="R575" s="24">
        <v>4.3899999999999997</v>
      </c>
      <c r="S575" s="24">
        <v>5.3729100800944511</v>
      </c>
      <c r="T575" s="24">
        <v>1.3344035984226101</v>
      </c>
      <c r="U575" s="24" t="s">
        <v>3337</v>
      </c>
      <c r="V575">
        <v>0</v>
      </c>
      <c r="W575" s="21">
        <v>0</v>
      </c>
      <c r="X575" s="56" t="str">
        <f>IFERROR(VLOOKUP(A575,Output!A:F,6,0),"-")</f>
        <v>-</v>
      </c>
    </row>
    <row r="576" spans="1:24" hidden="1" x14ac:dyDescent="0.25">
      <c r="A576" s="21" t="s">
        <v>2343</v>
      </c>
      <c r="B576" s="40" t="s">
        <v>2344</v>
      </c>
      <c r="C576" s="21" t="s">
        <v>256</v>
      </c>
      <c r="D576" s="21" t="s">
        <v>74</v>
      </c>
      <c r="E576" s="21" t="s">
        <v>100</v>
      </c>
      <c r="F576" s="55">
        <v>3.372548255546729E-4</v>
      </c>
      <c r="G576" s="24">
        <v>6.2644099999999998</v>
      </c>
      <c r="H576" s="24">
        <v>5.4068360000000002</v>
      </c>
      <c r="I576" s="24">
        <v>3.043612</v>
      </c>
      <c r="J576" s="24">
        <v>4.9049529999999999</v>
      </c>
      <c r="K576" s="24">
        <v>7.4263830000000004</v>
      </c>
      <c r="L576" s="24">
        <v>10.10787</v>
      </c>
      <c r="M576" s="24">
        <v>34.843299999999999</v>
      </c>
      <c r="N576" s="24">
        <v>3.8865485336472183</v>
      </c>
      <c r="O576" s="24">
        <v>7.2222222222222223</v>
      </c>
      <c r="P576" s="24">
        <v>1.4760147601476015</v>
      </c>
      <c r="Q576" s="24">
        <v>8.5693639598819455</v>
      </c>
      <c r="R576" s="24">
        <v>5.07</v>
      </c>
      <c r="S576" s="24">
        <v>5.2936365953937052</v>
      </c>
      <c r="T576" s="24">
        <v>7.09753716663407E-2</v>
      </c>
      <c r="U576" s="24" t="s">
        <v>3851</v>
      </c>
      <c r="V576">
        <v>0</v>
      </c>
      <c r="W576" s="21">
        <v>0</v>
      </c>
      <c r="X576" s="56" t="str">
        <f>IFERROR(VLOOKUP(A576,Output!A:F,6,0),"-")</f>
        <v>-</v>
      </c>
    </row>
    <row r="577" spans="1:24" hidden="1" x14ac:dyDescent="0.25">
      <c r="A577" s="21" t="s">
        <v>541</v>
      </c>
      <c r="B577" s="40" t="s">
        <v>988</v>
      </c>
      <c r="C577" s="21" t="s">
        <v>244</v>
      </c>
      <c r="D577" s="21" t="s">
        <v>73</v>
      </c>
      <c r="E577" s="21" t="s">
        <v>91</v>
      </c>
      <c r="F577" s="55">
        <v>3.3551190603962438E-4</v>
      </c>
      <c r="G577" s="24">
        <v>3.314387</v>
      </c>
      <c r="H577" s="24">
        <v>5.7205349999999999</v>
      </c>
      <c r="I577" s="24">
        <v>3.0752290000000002</v>
      </c>
      <c r="J577" s="24">
        <v>4.1811829999999999</v>
      </c>
      <c r="K577" s="24">
        <v>0</v>
      </c>
      <c r="L577" s="24">
        <v>6.7104609999999996</v>
      </c>
      <c r="M577" s="24">
        <v>1.3768</v>
      </c>
      <c r="N577" s="24">
        <v>9.6429387239551119</v>
      </c>
      <c r="O577" s="24">
        <v>7.9797979797979801</v>
      </c>
      <c r="P577" s="24">
        <v>7.8586274517312793</v>
      </c>
      <c r="Q577" s="24">
        <v>7.8593844470676295</v>
      </c>
      <c r="R577" s="24" t="e">
        <v>#N/A</v>
      </c>
      <c r="S577" s="24">
        <v>6.6516779606925205</v>
      </c>
      <c r="T577" s="24">
        <v>0.62320486722872792</v>
      </c>
      <c r="U577" s="24" t="s">
        <v>3148</v>
      </c>
      <c r="V577">
        <v>0</v>
      </c>
      <c r="W577" s="21">
        <v>1</v>
      </c>
      <c r="X577" s="56" t="str">
        <f>IFERROR(VLOOKUP(A577,Output!A:F,6,0),"-")</f>
        <v>-</v>
      </c>
    </row>
    <row r="578" spans="1:24" hidden="1" x14ac:dyDescent="0.25">
      <c r="A578" s="21" t="s">
        <v>1151</v>
      </c>
      <c r="B578" s="40" t="s">
        <v>4363</v>
      </c>
      <c r="C578" s="21" t="s">
        <v>245</v>
      </c>
      <c r="D578" s="21" t="s">
        <v>73</v>
      </c>
      <c r="E578" s="21" t="s">
        <v>101</v>
      </c>
      <c r="F578" s="55">
        <v>3.3361576172537131E-4</v>
      </c>
      <c r="G578" s="21">
        <v>7.6426730000000003</v>
      </c>
      <c r="H578" s="21">
        <v>4.9452499999999997</v>
      </c>
      <c r="I578" s="21">
        <v>4.943905</v>
      </c>
      <c r="J578" s="21">
        <v>5.484197</v>
      </c>
      <c r="K578" s="24">
        <v>2.9834179999999999</v>
      </c>
      <c r="L578" s="24">
        <v>4.4437959999999999</v>
      </c>
      <c r="M578" s="24">
        <v>12.505000000000001</v>
      </c>
      <c r="N578" s="24">
        <v>3.8534626441659876</v>
      </c>
      <c r="O578" s="24">
        <v>2.8571428571428568</v>
      </c>
      <c r="P578" s="24">
        <v>5.5822906470925542</v>
      </c>
      <c r="Q578" s="24">
        <v>2.78225213143436</v>
      </c>
      <c r="R578" s="24">
        <v>7.73</v>
      </c>
      <c r="S578" s="24">
        <v>5.4326523992264057</v>
      </c>
      <c r="T578" s="24">
        <v>0.7423384864190905</v>
      </c>
      <c r="U578" s="24" t="s">
        <v>3227</v>
      </c>
      <c r="V578">
        <v>0</v>
      </c>
      <c r="W578" s="21">
        <v>0</v>
      </c>
      <c r="X578" s="56" t="str">
        <f>IFERROR(VLOOKUP(A578,Output!A:F,6,0),"-")</f>
        <v>-</v>
      </c>
    </row>
    <row r="579" spans="1:24" hidden="1" x14ac:dyDescent="0.25">
      <c r="A579" s="21" t="s">
        <v>115</v>
      </c>
      <c r="B579" s="40" t="s">
        <v>184</v>
      </c>
      <c r="C579" s="21" t="s">
        <v>244</v>
      </c>
      <c r="D579" s="21" t="s">
        <v>73</v>
      </c>
      <c r="E579" s="21" t="s">
        <v>103</v>
      </c>
      <c r="F579" s="55">
        <v>3.332010587560207E-4</v>
      </c>
      <c r="G579" s="24">
        <v>3.0386820000000001</v>
      </c>
      <c r="H579" s="24">
        <v>5.6363130000000004</v>
      </c>
      <c r="I579" s="24">
        <v>5.3631250000000001</v>
      </c>
      <c r="J579" s="24">
        <v>5.0075120000000002</v>
      </c>
      <c r="K579" s="24">
        <v>2.5987819999999999</v>
      </c>
      <c r="L579" s="24">
        <v>7.2445060000000003</v>
      </c>
      <c r="M579" s="53">
        <v>12.622299999999999</v>
      </c>
      <c r="N579" s="24">
        <v>4.727618197232804</v>
      </c>
      <c r="O579" s="24">
        <v>2.0408163265306118</v>
      </c>
      <c r="P579" s="24">
        <v>6.0731472418600472</v>
      </c>
      <c r="Q579" s="24">
        <v>6.373516463377725</v>
      </c>
      <c r="R579" s="24">
        <v>7.33</v>
      </c>
      <c r="S579" s="24">
        <v>6.6417989428148552</v>
      </c>
      <c r="T579" s="24">
        <v>0.96832883531578895</v>
      </c>
      <c r="U579" s="24" t="s">
        <v>3264</v>
      </c>
      <c r="V579">
        <v>0</v>
      </c>
      <c r="W579" s="21">
        <v>0</v>
      </c>
      <c r="X579" s="56" t="str">
        <f>IFERROR(VLOOKUP(A579,Output!A:F,6,0),"-")</f>
        <v>-</v>
      </c>
    </row>
    <row r="580" spans="1:24" hidden="1" x14ac:dyDescent="0.25">
      <c r="A580" s="21" t="s">
        <v>1184</v>
      </c>
      <c r="B580" s="40" t="s">
        <v>1185</v>
      </c>
      <c r="C580" s="21" t="s">
        <v>245</v>
      </c>
      <c r="D580" s="21" t="s">
        <v>73</v>
      </c>
      <c r="E580" s="21" t="s">
        <v>86</v>
      </c>
      <c r="F580" s="55">
        <v>3.3178209449602041E-4</v>
      </c>
      <c r="G580" s="24">
        <v>5.3461109999999996</v>
      </c>
      <c r="H580" s="24">
        <v>6.5709379999999999</v>
      </c>
      <c r="I580" s="24">
        <v>7.4431919999999998</v>
      </c>
      <c r="J580" s="24">
        <v>6.4534140000000004</v>
      </c>
      <c r="K580" s="24">
        <v>1.260942</v>
      </c>
      <c r="L580" s="24">
        <v>2.393208</v>
      </c>
      <c r="M580" s="24">
        <v>950.82680000000005</v>
      </c>
      <c r="N580" s="24">
        <v>5.3331619490269588</v>
      </c>
      <c r="O580" s="24">
        <v>3.7113402061855667</v>
      </c>
      <c r="P580" s="24">
        <v>5.8148148148148149</v>
      </c>
      <c r="Q580" s="24">
        <v>0</v>
      </c>
      <c r="R580" s="24">
        <v>4.1500000000000004</v>
      </c>
      <c r="S580" s="24">
        <v>3.2938918482109805</v>
      </c>
      <c r="T580" s="24">
        <v>0.4972461070360864</v>
      </c>
      <c r="U580" s="24" t="s">
        <v>3243</v>
      </c>
      <c r="V580">
        <v>0</v>
      </c>
      <c r="W580" s="21">
        <v>0</v>
      </c>
      <c r="X580" s="56" t="str">
        <f>IFERROR(VLOOKUP(A580,Output!A:F,6,0),"-")</f>
        <v>-</v>
      </c>
    </row>
    <row r="581" spans="1:24" hidden="1" x14ac:dyDescent="0.25">
      <c r="A581" s="21" t="s">
        <v>1081</v>
      </c>
      <c r="B581" s="40" t="s">
        <v>1082</v>
      </c>
      <c r="C581" s="21" t="s">
        <v>244</v>
      </c>
      <c r="D581" s="21" t="s">
        <v>73</v>
      </c>
      <c r="E581" s="21" t="s">
        <v>93</v>
      </c>
      <c r="F581" s="55">
        <v>3.3147544368316727E-4</v>
      </c>
      <c r="G581" s="24">
        <v>5.0913539999999999</v>
      </c>
      <c r="H581" s="24">
        <v>3.808786</v>
      </c>
      <c r="I581" s="24">
        <v>4.0853859999999997</v>
      </c>
      <c r="J581" s="24">
        <v>4.2903669999999998</v>
      </c>
      <c r="K581" s="24">
        <v>3.3245170000000002</v>
      </c>
      <c r="L581" s="24">
        <v>9.902412</v>
      </c>
      <c r="M581" s="24">
        <v>2.2134999999999998</v>
      </c>
      <c r="N581" s="24">
        <v>5.6163203124999992</v>
      </c>
      <c r="O581" s="24">
        <v>5.4639175257731951</v>
      </c>
      <c r="P581" s="24">
        <v>0.62176165803108818</v>
      </c>
      <c r="Q581" s="24">
        <v>5.3393594100319222</v>
      </c>
      <c r="R581" s="24">
        <v>6.97</v>
      </c>
      <c r="S581" s="24">
        <v>4.688378758134272</v>
      </c>
      <c r="T581" s="24">
        <v>0.89661565518674569</v>
      </c>
      <c r="U581" s="24" t="s">
        <v>3166</v>
      </c>
      <c r="V581">
        <v>0</v>
      </c>
      <c r="W581" s="21">
        <v>1</v>
      </c>
      <c r="X581" s="56" t="str">
        <f>IFERROR(VLOOKUP(A581,Output!A:F,6,0),"-")</f>
        <v>-</v>
      </c>
    </row>
    <row r="582" spans="1:24" hidden="1" x14ac:dyDescent="0.25">
      <c r="A582" s="21" t="s">
        <v>129</v>
      </c>
      <c r="B582" s="40" t="s">
        <v>197</v>
      </c>
      <c r="C582" s="21" t="s">
        <v>246</v>
      </c>
      <c r="D582" s="21" t="s">
        <v>74</v>
      </c>
      <c r="E582" s="21" t="s">
        <v>85</v>
      </c>
      <c r="F582" s="55">
        <v>3.3079473521867758E-4</v>
      </c>
      <c r="G582" s="24">
        <v>6.401357</v>
      </c>
      <c r="H582" s="24">
        <v>5.9594529999999999</v>
      </c>
      <c r="I582" s="24">
        <v>5.809558</v>
      </c>
      <c r="J582" s="24">
        <v>6.039561</v>
      </c>
      <c r="K582" s="24">
        <v>7.9768090000000003</v>
      </c>
      <c r="L582" s="24">
        <v>11.28284</v>
      </c>
      <c r="M582" s="24">
        <v>0.96677999999999997</v>
      </c>
      <c r="N582" s="24">
        <v>4.647797799344354</v>
      </c>
      <c r="O582" s="24">
        <v>6.8686868686868685</v>
      </c>
      <c r="P582" s="24">
        <v>7.3421052631578938</v>
      </c>
      <c r="Q582" s="24">
        <v>4.6802646085997797</v>
      </c>
      <c r="R582" s="24">
        <v>7.03</v>
      </c>
      <c r="S582" s="24">
        <v>5.7675052397405171</v>
      </c>
      <c r="T582" s="24">
        <v>0.3953398883469082</v>
      </c>
      <c r="U582" s="24" t="s">
        <v>3866</v>
      </c>
      <c r="V582">
        <v>0</v>
      </c>
      <c r="W582" s="21">
        <v>0</v>
      </c>
      <c r="X582" s="56" t="str">
        <f>IFERROR(VLOOKUP(A582,Output!A:F,6,0),"-")</f>
        <v>-</v>
      </c>
    </row>
    <row r="583" spans="1:24" x14ac:dyDescent="0.25">
      <c r="A583" s="21" t="s">
        <v>2274</v>
      </c>
      <c r="B583" s="40" t="s">
        <v>2275</v>
      </c>
      <c r="C583" s="21" t="s">
        <v>248</v>
      </c>
      <c r="D583" s="21" t="s">
        <v>75</v>
      </c>
      <c r="E583" s="21" t="s">
        <v>96</v>
      </c>
      <c r="F583" s="55">
        <v>3.3061203250340815E-4</v>
      </c>
      <c r="G583" s="21">
        <v>5.0196019999999999</v>
      </c>
      <c r="H583" s="21">
        <v>6.0989579999999997</v>
      </c>
      <c r="I583" s="21">
        <v>7.1104830000000003</v>
      </c>
      <c r="J583" s="21">
        <v>6.0763480000000003</v>
      </c>
      <c r="K583" s="24">
        <v>2.6841789999999999</v>
      </c>
      <c r="L583" s="24">
        <v>14.21425</v>
      </c>
      <c r="M583" s="24">
        <v>41.678800000000003</v>
      </c>
      <c r="N583" s="24">
        <v>1.475451902097763</v>
      </c>
      <c r="O583" s="24">
        <v>5.268817204301075</v>
      </c>
      <c r="P583" s="24">
        <v>4.6590909090909092</v>
      </c>
      <c r="Q583" s="24">
        <v>8.5268165955701569</v>
      </c>
      <c r="R583" s="24">
        <v>5.08</v>
      </c>
      <c r="S583" s="24">
        <v>5.8823687170885277</v>
      </c>
      <c r="T583" s="24">
        <v>0.40673048160622216</v>
      </c>
      <c r="U583" s="24" t="s">
        <v>3812</v>
      </c>
      <c r="V583">
        <v>0</v>
      </c>
      <c r="W583" s="21">
        <v>0</v>
      </c>
      <c r="X583" s="56" t="str">
        <f>IFERROR(VLOOKUP(A583,Output!A:F,6,0),"-")</f>
        <v>-</v>
      </c>
    </row>
    <row r="584" spans="1:24" hidden="1" x14ac:dyDescent="0.25">
      <c r="A584" s="21" t="s">
        <v>1238</v>
      </c>
      <c r="B584" s="40" t="s">
        <v>1239</v>
      </c>
      <c r="C584" s="21" t="s">
        <v>244</v>
      </c>
      <c r="D584" s="21" t="s">
        <v>73</v>
      </c>
      <c r="E584" s="21" t="s">
        <v>97</v>
      </c>
      <c r="F584" s="55">
        <v>3.3015457146468009E-4</v>
      </c>
      <c r="G584" s="24">
        <v>6.6935830000000003</v>
      </c>
      <c r="H584" s="24">
        <v>5.2963579999999997</v>
      </c>
      <c r="I584" s="24">
        <v>5.2040899999999999</v>
      </c>
      <c r="J584" s="24">
        <v>5.8183410000000002</v>
      </c>
      <c r="K584" s="24">
        <v>4.4391850000000002</v>
      </c>
      <c r="L584" s="24">
        <v>2.615049</v>
      </c>
      <c r="M584" s="24">
        <v>52.3979</v>
      </c>
      <c r="N584" s="24">
        <v>0</v>
      </c>
      <c r="O584" s="24">
        <v>2.8865979381443294</v>
      </c>
      <c r="P584" s="24">
        <v>3.6363636363636371</v>
      </c>
      <c r="Q584" s="24">
        <v>5.4473942969518196</v>
      </c>
      <c r="R584" s="24">
        <v>5.82</v>
      </c>
      <c r="S584" s="24">
        <v>4.5934416655654369</v>
      </c>
      <c r="T584" s="24">
        <v>0.6959451781889564</v>
      </c>
      <c r="U584" s="24" t="s">
        <v>3285</v>
      </c>
      <c r="V584">
        <v>0</v>
      </c>
      <c r="W584" s="21">
        <v>0</v>
      </c>
      <c r="X584" s="56" t="str">
        <f>IFERROR(VLOOKUP(A584,Output!A:F,6,0),"-")</f>
        <v>-</v>
      </c>
    </row>
    <row r="585" spans="1:24" hidden="1" x14ac:dyDescent="0.25">
      <c r="A585" s="21" t="s">
        <v>520</v>
      </c>
      <c r="B585" s="40" t="s">
        <v>998</v>
      </c>
      <c r="C585" s="21" t="s">
        <v>244</v>
      </c>
      <c r="D585" s="21" t="s">
        <v>73</v>
      </c>
      <c r="E585" s="21" t="s">
        <v>99</v>
      </c>
      <c r="F585" s="55">
        <v>3.2917697108787757E-4</v>
      </c>
      <c r="G585" s="24">
        <v>4.7260520000000001</v>
      </c>
      <c r="H585" s="24">
        <v>6.1315379999999999</v>
      </c>
      <c r="I585" s="24">
        <v>4.1037109999999997</v>
      </c>
      <c r="J585" s="24">
        <v>5.0393100000000004</v>
      </c>
      <c r="K585" s="24">
        <v>0</v>
      </c>
      <c r="L585" s="24">
        <v>3.7416019999999999</v>
      </c>
      <c r="M585" s="24">
        <v>4.0755999999999997</v>
      </c>
      <c r="N585" s="24">
        <v>6.5035518155920924</v>
      </c>
      <c r="O585" s="24">
        <v>5.9375</v>
      </c>
      <c r="P585" s="24">
        <v>5.7910447761194028</v>
      </c>
      <c r="Q585" s="24">
        <v>4.531625160464146</v>
      </c>
      <c r="R585" s="24" t="e">
        <v>#N/A</v>
      </c>
      <c r="S585" s="24">
        <v>4.720674167150146</v>
      </c>
      <c r="T585" s="24">
        <v>1.5117755137897935</v>
      </c>
      <c r="U585" s="24" t="s">
        <v>3063</v>
      </c>
      <c r="V585">
        <v>0</v>
      </c>
      <c r="W585" s="21">
        <v>0</v>
      </c>
      <c r="X585" s="56" t="str">
        <f>IFERROR(VLOOKUP(A585,Output!A:F,6,0),"-")</f>
        <v>-</v>
      </c>
    </row>
    <row r="586" spans="1:24" hidden="1" x14ac:dyDescent="0.25">
      <c r="A586" s="21" t="s">
        <v>1200</v>
      </c>
      <c r="B586" s="40" t="s">
        <v>1201</v>
      </c>
      <c r="C586" s="21" t="s">
        <v>244</v>
      </c>
      <c r="D586" s="21" t="s">
        <v>73</v>
      </c>
      <c r="E586" s="21" t="s">
        <v>97</v>
      </c>
      <c r="F586" s="55">
        <v>3.2890301762219539E-4</v>
      </c>
      <c r="G586" s="21">
        <v>5.3727510000000001</v>
      </c>
      <c r="H586" s="21">
        <v>4.3515800000000002</v>
      </c>
      <c r="I586" s="21">
        <v>6.2457010000000004</v>
      </c>
      <c r="J586" s="21">
        <v>5.5176970000000001</v>
      </c>
      <c r="K586" s="24">
        <v>4.1524409999999996</v>
      </c>
      <c r="L586" s="24">
        <v>2.9758460000000002</v>
      </c>
      <c r="M586" s="24">
        <v>121.46559999999999</v>
      </c>
      <c r="N586" s="57">
        <v>5.4867977744558125</v>
      </c>
      <c r="O586" s="24">
        <v>4.4329896907216497</v>
      </c>
      <c r="P586" s="24">
        <v>0</v>
      </c>
      <c r="Q586" s="24">
        <v>5.224048321393453</v>
      </c>
      <c r="R586" s="24">
        <v>6.54</v>
      </c>
      <c r="S586" s="24">
        <v>3.5908687200662759</v>
      </c>
      <c r="T586" s="24">
        <v>1.2516316384250219</v>
      </c>
      <c r="U586" s="24" t="s">
        <v>3234</v>
      </c>
      <c r="V586">
        <v>0</v>
      </c>
      <c r="W586" s="21">
        <v>0</v>
      </c>
      <c r="X586" s="56" t="str">
        <f>IFERROR(VLOOKUP(A586,Output!A:F,6,0),"-")</f>
        <v>-</v>
      </c>
    </row>
    <row r="587" spans="1:24" hidden="1" x14ac:dyDescent="0.25">
      <c r="A587" s="21" t="s">
        <v>1124</v>
      </c>
      <c r="B587" s="40" t="s">
        <v>1125</v>
      </c>
      <c r="C587" s="21" t="s">
        <v>245</v>
      </c>
      <c r="D587" s="21" t="s">
        <v>73</v>
      </c>
      <c r="E587" s="21" t="s">
        <v>86</v>
      </c>
      <c r="F587" s="55">
        <v>3.2883017799342057E-4</v>
      </c>
      <c r="G587" s="24">
        <v>5.5689830000000002</v>
      </c>
      <c r="H587" s="24">
        <v>7.7519289999999996</v>
      </c>
      <c r="I587" s="24">
        <v>5.4772639999999999</v>
      </c>
      <c r="J587" s="24">
        <v>6.2660580000000001</v>
      </c>
      <c r="K587" s="24">
        <v>0.70417730000000001</v>
      </c>
      <c r="L587" s="24">
        <v>8.9573309999999999</v>
      </c>
      <c r="M587" s="24">
        <v>324.7955</v>
      </c>
      <c r="N587" s="24">
        <v>7.4509311699861138</v>
      </c>
      <c r="O587" s="24">
        <v>4.0206185567010309</v>
      </c>
      <c r="P587" s="24">
        <v>4.518518518518519</v>
      </c>
      <c r="Q587" s="24">
        <v>7.9866614832640481</v>
      </c>
      <c r="R587" s="24">
        <v>1</v>
      </c>
      <c r="S587" s="24">
        <v>5.6370080231769535</v>
      </c>
      <c r="T587" s="24">
        <v>1.1731340631653502</v>
      </c>
      <c r="U587" s="24" t="s">
        <v>3273</v>
      </c>
      <c r="V587">
        <v>1</v>
      </c>
      <c r="W587" s="21">
        <v>0</v>
      </c>
      <c r="X587" s="56" t="str">
        <f>IFERROR(VLOOKUP(A587,Output!A:F,6,0),"-")</f>
        <v>-</v>
      </c>
    </row>
    <row r="588" spans="1:24" hidden="1" x14ac:dyDescent="0.25">
      <c r="A588" s="21" t="s">
        <v>318</v>
      </c>
      <c r="B588" s="40" t="s">
        <v>319</v>
      </c>
      <c r="C588" s="21" t="s">
        <v>256</v>
      </c>
      <c r="D588" s="21" t="s">
        <v>74</v>
      </c>
      <c r="E588" s="21" t="s">
        <v>85</v>
      </c>
      <c r="F588" s="55">
        <v>3.2747731267831679E-4</v>
      </c>
      <c r="G588" s="24">
        <v>5.6956720000000001</v>
      </c>
      <c r="H588" s="24">
        <v>7.4075499999999996</v>
      </c>
      <c r="I588" s="24">
        <v>5.4523429999999999</v>
      </c>
      <c r="J588" s="24">
        <v>6.2096640000000001</v>
      </c>
      <c r="K588" s="24">
        <v>9.0263690000000008</v>
      </c>
      <c r="L588" s="24">
        <v>17.913650000000001</v>
      </c>
      <c r="M588" s="24">
        <v>4.1170999999999998</v>
      </c>
      <c r="N588" s="24">
        <v>5.7448402421655871</v>
      </c>
      <c r="O588" s="24">
        <v>7.6767676767676765</v>
      </c>
      <c r="P588" s="24">
        <v>4.8421052631578938</v>
      </c>
      <c r="Q588" s="24">
        <v>7.5854465270121274</v>
      </c>
      <c r="R588" s="24">
        <v>6.66</v>
      </c>
      <c r="S588" s="24">
        <v>6.5890714222875832</v>
      </c>
      <c r="T588" s="24">
        <v>-1.7581923289901769E-2</v>
      </c>
      <c r="U588" s="24" t="s">
        <v>3898</v>
      </c>
      <c r="V588">
        <v>0</v>
      </c>
      <c r="W588" s="21">
        <v>0</v>
      </c>
      <c r="X588" s="56" t="str">
        <f>IFERROR(VLOOKUP(A588,Output!A:F,6,0),"-")</f>
        <v>-</v>
      </c>
    </row>
    <row r="589" spans="1:24" hidden="1" x14ac:dyDescent="0.25">
      <c r="A589" s="21" t="s">
        <v>1030</v>
      </c>
      <c r="B589" s="40" t="s">
        <v>1031</v>
      </c>
      <c r="C589" s="21" t="s">
        <v>245</v>
      </c>
      <c r="D589" s="21" t="s">
        <v>73</v>
      </c>
      <c r="E589" s="21" t="s">
        <v>98</v>
      </c>
      <c r="F589" s="55">
        <v>3.2567091000614543E-4</v>
      </c>
      <c r="G589" s="24">
        <v>5.4145770000000004</v>
      </c>
      <c r="H589" s="24">
        <v>5.5843420000000004</v>
      </c>
      <c r="I589" s="24">
        <v>5.7984450000000001</v>
      </c>
      <c r="J589" s="24">
        <v>5.6360299999999999</v>
      </c>
      <c r="K589" s="24">
        <v>0.27507609999999999</v>
      </c>
      <c r="L589" s="24">
        <v>4.269838</v>
      </c>
      <c r="M589" s="24">
        <v>34.956000000000003</v>
      </c>
      <c r="N589" s="24">
        <v>7.2012250339907151</v>
      </c>
      <c r="O589" s="24">
        <v>6.4285714285714288</v>
      </c>
      <c r="P589" s="24">
        <v>7.7478344475373806</v>
      </c>
      <c r="Q589" s="24">
        <v>2.0969342012616821</v>
      </c>
      <c r="R589" s="24">
        <v>5.15</v>
      </c>
      <c r="S589" s="24">
        <v>5.5682779356846339</v>
      </c>
      <c r="T589" s="24">
        <v>0.49016613178771112</v>
      </c>
      <c r="U589" s="24" t="s">
        <v>3155</v>
      </c>
      <c r="V589">
        <v>0</v>
      </c>
      <c r="W589" s="21">
        <v>0</v>
      </c>
      <c r="X589" s="56" t="str">
        <f>IFERROR(VLOOKUP(A589,Output!A:F,6,0),"-")</f>
        <v>-</v>
      </c>
    </row>
    <row r="590" spans="1:24" hidden="1" x14ac:dyDescent="0.25">
      <c r="A590" s="21" t="s">
        <v>4565</v>
      </c>
      <c r="B590" s="40" t="s">
        <v>4566</v>
      </c>
      <c r="C590" s="21" t="s">
        <v>244</v>
      </c>
      <c r="D590" s="21" t="s">
        <v>73</v>
      </c>
      <c r="E590" s="21" t="s">
        <v>92</v>
      </c>
      <c r="F590" s="55">
        <v>3.2560974081513014E-4</v>
      </c>
      <c r="G590" s="24" t="e">
        <v>#N/A</v>
      </c>
      <c r="H590" s="24" t="e">
        <v>#N/A</v>
      </c>
      <c r="I590" s="24" t="e">
        <v>#N/A</v>
      </c>
      <c r="J590" s="24" t="e">
        <v>#N/A</v>
      </c>
      <c r="K590" s="24">
        <v>0</v>
      </c>
      <c r="L590" s="24">
        <v>7.0431309999999998</v>
      </c>
      <c r="M590" s="24" t="e">
        <v>#N/A</v>
      </c>
      <c r="N590" s="24">
        <v>6.7353224431818184</v>
      </c>
      <c r="O590" s="24">
        <v>7.0707070707070709</v>
      </c>
      <c r="P590" s="24">
        <v>6.4778578929851367</v>
      </c>
      <c r="Q590" s="24">
        <v>5.9146981683036906</v>
      </c>
      <c r="R590" s="24" t="e">
        <v>#N/A</v>
      </c>
      <c r="S590" s="24">
        <v>5.536907957205834</v>
      </c>
      <c r="T590" s="24">
        <v>1.199318274219684</v>
      </c>
      <c r="U590" s="24" t="s">
        <v>3108</v>
      </c>
      <c r="V590">
        <v>0</v>
      </c>
      <c r="W590" s="21">
        <v>0</v>
      </c>
      <c r="X590" s="56" t="str">
        <f>IFERROR(VLOOKUP(A590,Output!A:F,6,0),"-")</f>
        <v>-</v>
      </c>
    </row>
    <row r="591" spans="1:24" hidden="1" x14ac:dyDescent="0.25">
      <c r="A591" s="21" t="s">
        <v>1355</v>
      </c>
      <c r="B591" s="40" t="s">
        <v>1356</v>
      </c>
      <c r="C591" s="21" t="s">
        <v>244</v>
      </c>
      <c r="D591" s="21" t="s">
        <v>73</v>
      </c>
      <c r="E591" s="21" t="s">
        <v>89</v>
      </c>
      <c r="F591" s="55">
        <v>3.2542744052874888E-4</v>
      </c>
      <c r="G591" s="24">
        <v>7.881113</v>
      </c>
      <c r="H591" s="24">
        <v>4.4187380000000003</v>
      </c>
      <c r="I591" s="24">
        <v>6.3077819999999996</v>
      </c>
      <c r="J591" s="24">
        <v>6.1186160000000003</v>
      </c>
      <c r="K591" s="24">
        <v>1.5156369999999999</v>
      </c>
      <c r="L591" s="24">
        <v>4.8975030000000004</v>
      </c>
      <c r="M591" s="24">
        <v>4.8868999999999998</v>
      </c>
      <c r="N591" s="24">
        <v>6.0937499999999991</v>
      </c>
      <c r="O591" s="24">
        <v>2.9896907216494837</v>
      </c>
      <c r="P591" s="24">
        <v>6.5803108808290167</v>
      </c>
      <c r="Q591" s="24">
        <v>1.8984070141016485</v>
      </c>
      <c r="R591" s="24">
        <v>4.53</v>
      </c>
      <c r="S591" s="24">
        <v>4.2617215393111971</v>
      </c>
      <c r="T591" s="24">
        <v>0.81621824576177149</v>
      </c>
      <c r="U591" s="24" t="s">
        <v>3324</v>
      </c>
      <c r="V591">
        <v>0</v>
      </c>
      <c r="W591" s="21">
        <v>0</v>
      </c>
      <c r="X591" s="56" t="str">
        <f>IFERROR(VLOOKUP(A591,Output!A:F,6,0),"-")</f>
        <v>-</v>
      </c>
    </row>
    <row r="592" spans="1:24" hidden="1" x14ac:dyDescent="0.25">
      <c r="A592" s="21" t="s">
        <v>2355</v>
      </c>
      <c r="B592" s="40" t="s">
        <v>2356</v>
      </c>
      <c r="C592" s="21" t="s">
        <v>257</v>
      </c>
      <c r="D592" s="21" t="s">
        <v>74</v>
      </c>
      <c r="E592" s="21" t="s">
        <v>91</v>
      </c>
      <c r="F592" s="55">
        <v>3.2540248993767688E-4</v>
      </c>
      <c r="G592" s="21">
        <v>4.0143360000000001</v>
      </c>
      <c r="H592" s="21">
        <v>6.4013439999999999</v>
      </c>
      <c r="I592" s="21">
        <v>5.0306699999999998</v>
      </c>
      <c r="J592" s="21">
        <v>5.3756729999999999</v>
      </c>
      <c r="K592" s="24">
        <v>1.4609209999999999</v>
      </c>
      <c r="L592" s="24">
        <v>5.9260859999999997</v>
      </c>
      <c r="M592" s="24">
        <v>96.891099999999994</v>
      </c>
      <c r="N592" s="24">
        <v>4.252559726962458</v>
      </c>
      <c r="O592" s="24">
        <v>3.7113402061855667</v>
      </c>
      <c r="P592" s="24">
        <v>5.8119658119658135</v>
      </c>
      <c r="Q592" s="24">
        <v>6.2488268255803607</v>
      </c>
      <c r="R592" s="24">
        <v>5.07</v>
      </c>
      <c r="S592" s="24">
        <v>5.8222378279402154</v>
      </c>
      <c r="T592" s="24">
        <v>0.30734673435404791</v>
      </c>
      <c r="U592" s="24" t="s">
        <v>3827</v>
      </c>
      <c r="V592">
        <v>0</v>
      </c>
      <c r="W592" s="21">
        <v>0</v>
      </c>
      <c r="X592" s="56" t="str">
        <f>IFERROR(VLOOKUP(A592,Output!A:F,6,0),"-")</f>
        <v>-</v>
      </c>
    </row>
    <row r="593" spans="1:24" hidden="1" x14ac:dyDescent="0.25">
      <c r="A593" s="21" t="s">
        <v>1176</v>
      </c>
      <c r="B593" s="40" t="s">
        <v>1177</v>
      </c>
      <c r="C593" s="21" t="s">
        <v>244</v>
      </c>
      <c r="D593" s="21" t="s">
        <v>73</v>
      </c>
      <c r="E593" s="21" t="s">
        <v>102</v>
      </c>
      <c r="F593" s="55">
        <v>3.2450145165686554E-4</v>
      </c>
      <c r="G593" s="21">
        <v>3.644069</v>
      </c>
      <c r="H593" s="21">
        <v>4.713165</v>
      </c>
      <c r="I593" s="21">
        <v>4.76417</v>
      </c>
      <c r="J593" s="21">
        <v>4.0819089999999996</v>
      </c>
      <c r="K593" s="24">
        <v>3.7339199999999999</v>
      </c>
      <c r="L593" s="24">
        <v>6.4538760000000002</v>
      </c>
      <c r="M593" s="24">
        <v>5260.1030000000001</v>
      </c>
      <c r="N593" s="24">
        <v>1.7315792914127062</v>
      </c>
      <c r="O593" s="24">
        <v>3.0927835051546388</v>
      </c>
      <c r="P593" s="24">
        <v>2.0634920634920633</v>
      </c>
      <c r="Q593" s="24">
        <v>7.1580071436462047</v>
      </c>
      <c r="R593" s="24">
        <v>5.42</v>
      </c>
      <c r="S593" s="24">
        <v>4.3322113383141634</v>
      </c>
      <c r="T593" s="24">
        <v>0.52154442854102867</v>
      </c>
      <c r="U593" s="24" t="s">
        <v>3241</v>
      </c>
      <c r="V593">
        <v>1</v>
      </c>
      <c r="W593" s="21">
        <v>1</v>
      </c>
      <c r="X593" s="56" t="str">
        <f>IFERROR(VLOOKUP(A593,Output!A:F,6,0),"-")</f>
        <v>-</v>
      </c>
    </row>
    <row r="594" spans="1:24" x14ac:dyDescent="0.25">
      <c r="A594" s="21" t="s">
        <v>2272</v>
      </c>
      <c r="B594" s="40" t="s">
        <v>2273</v>
      </c>
      <c r="C594" s="21" t="s">
        <v>248</v>
      </c>
      <c r="D594" s="21" t="s">
        <v>75</v>
      </c>
      <c r="E594" s="21" t="s">
        <v>86</v>
      </c>
      <c r="F594" s="55">
        <v>3.2395092893772756E-4</v>
      </c>
      <c r="G594" s="24">
        <v>3.3961700000000001</v>
      </c>
      <c r="H594" s="24">
        <v>6.0657110000000003</v>
      </c>
      <c r="I594" s="24">
        <v>4.0988429999999996</v>
      </c>
      <c r="J594" s="24">
        <v>4.5202410000000004</v>
      </c>
      <c r="K594" s="24">
        <v>4.3336949999999996</v>
      </c>
      <c r="L594" s="24">
        <v>14.475300000000001</v>
      </c>
      <c r="M594" s="24">
        <v>2065.0810000000001</v>
      </c>
      <c r="N594" s="24">
        <v>10</v>
      </c>
      <c r="O594" s="24">
        <v>7.5999999999999988</v>
      </c>
      <c r="P594" s="24">
        <v>6.8780487804878057</v>
      </c>
      <c r="Q594" s="24">
        <v>9.5698354307841242</v>
      </c>
      <c r="R594" s="24">
        <v>6.44</v>
      </c>
      <c r="S594" s="24">
        <v>8.6829265358483081</v>
      </c>
      <c r="T594" s="24">
        <v>0.38386924012980195</v>
      </c>
      <c r="U594" s="24" t="s">
        <v>3783</v>
      </c>
      <c r="V594">
        <v>1</v>
      </c>
      <c r="W594" s="21">
        <v>1</v>
      </c>
      <c r="X594" s="56" t="str">
        <f>IFERROR(VLOOKUP(A594,Output!A:F,6,0),"-")</f>
        <v>-</v>
      </c>
    </row>
    <row r="595" spans="1:24" hidden="1" x14ac:dyDescent="0.25">
      <c r="A595" s="21" t="s">
        <v>1162</v>
      </c>
      <c r="B595" s="40" t="s">
        <v>1163</v>
      </c>
      <c r="C595" s="21" t="s">
        <v>244</v>
      </c>
      <c r="D595" s="21" t="s">
        <v>73</v>
      </c>
      <c r="E595" s="21" t="s">
        <v>91</v>
      </c>
      <c r="F595" s="55">
        <v>3.2392306073721565E-4</v>
      </c>
      <c r="G595" s="21">
        <v>5.0331149999999996</v>
      </c>
      <c r="H595" s="21">
        <v>5.8780599999999996</v>
      </c>
      <c r="I595" s="21">
        <v>5.6534430000000002</v>
      </c>
      <c r="J595" s="21">
        <v>5.619224</v>
      </c>
      <c r="K595" s="24">
        <v>2.8373550000000001</v>
      </c>
      <c r="L595" s="24">
        <v>7.6977690000000001</v>
      </c>
      <c r="M595" s="24">
        <v>64.318299999999994</v>
      </c>
      <c r="N595" s="57">
        <v>3.5315734988221816</v>
      </c>
      <c r="O595" s="24">
        <v>2.1212121212121211</v>
      </c>
      <c r="P595" s="24">
        <v>2.6091476398788038</v>
      </c>
      <c r="Q595" s="24">
        <v>8.2322287162064889</v>
      </c>
      <c r="R595" s="24">
        <v>5.69</v>
      </c>
      <c r="S595" s="24">
        <v>5.3671624135551506</v>
      </c>
      <c r="T595" s="24">
        <v>0.50769034593415707</v>
      </c>
      <c r="U595" s="24" t="s">
        <v>3282</v>
      </c>
      <c r="V595">
        <v>0</v>
      </c>
      <c r="W595" s="21">
        <v>0</v>
      </c>
      <c r="X595" s="56" t="str">
        <f>IFERROR(VLOOKUP(A595,Output!A:F,6,0),"-")</f>
        <v>-</v>
      </c>
    </row>
    <row r="596" spans="1:24" hidden="1" x14ac:dyDescent="0.25">
      <c r="A596" s="21" t="s">
        <v>1954</v>
      </c>
      <c r="B596" s="40" t="s">
        <v>4581</v>
      </c>
      <c r="C596" s="21" t="s">
        <v>305</v>
      </c>
      <c r="D596" s="21" t="s">
        <v>74</v>
      </c>
      <c r="E596" s="21" t="s">
        <v>91</v>
      </c>
      <c r="F596" s="55">
        <v>3.2324526988216593E-4</v>
      </c>
      <c r="G596" s="24">
        <v>8.0587470000000003</v>
      </c>
      <c r="H596" s="24">
        <v>6.3494830000000002</v>
      </c>
      <c r="I596" s="24">
        <v>3.9269660000000002</v>
      </c>
      <c r="J596" s="24">
        <v>6.1117319999999999</v>
      </c>
      <c r="K596" s="24">
        <v>1.471997</v>
      </c>
      <c r="L596" s="24">
        <v>3.4190330000000002</v>
      </c>
      <c r="M596" s="24">
        <v>195.9391</v>
      </c>
      <c r="N596" s="24">
        <v>6.862344027303755</v>
      </c>
      <c r="O596" s="24">
        <v>6.4948453608247423</v>
      </c>
      <c r="P596" s="24">
        <v>7.9487179487179507</v>
      </c>
      <c r="Q596" s="24">
        <v>2.5226564677280678</v>
      </c>
      <c r="R596" s="24">
        <v>4.79</v>
      </c>
      <c r="S596" s="24">
        <v>5.1329217706210004</v>
      </c>
      <c r="T596" s="24">
        <v>0.42660182223073706</v>
      </c>
      <c r="U596" s="24" t="s">
        <v>3638</v>
      </c>
      <c r="V596">
        <v>0</v>
      </c>
      <c r="W596" s="21">
        <v>0</v>
      </c>
      <c r="X596" s="56" t="str">
        <f>IFERROR(VLOOKUP(A596,Output!A:F,6,0),"-")</f>
        <v>-</v>
      </c>
    </row>
    <row r="597" spans="1:24" hidden="1" x14ac:dyDescent="0.25">
      <c r="A597" s="21" t="s">
        <v>1106</v>
      </c>
      <c r="B597" s="40" t="s">
        <v>1107</v>
      </c>
      <c r="C597" s="21" t="s">
        <v>244</v>
      </c>
      <c r="D597" s="21" t="s">
        <v>73</v>
      </c>
      <c r="E597" s="21" t="s">
        <v>95</v>
      </c>
      <c r="F597" s="55">
        <v>3.2317715879282813E-4</v>
      </c>
      <c r="G597" s="24">
        <v>5.677117</v>
      </c>
      <c r="H597" s="24">
        <v>2.6751520000000002</v>
      </c>
      <c r="I597" s="24">
        <v>4.7930869999999999</v>
      </c>
      <c r="J597" s="24">
        <v>4.811515</v>
      </c>
      <c r="K597" s="24">
        <v>3.0013969999999999</v>
      </c>
      <c r="L597" s="24">
        <v>7.7279119999999999</v>
      </c>
      <c r="M597" s="24">
        <v>1000.322</v>
      </c>
      <c r="N597" s="24">
        <v>4.2305386688300199</v>
      </c>
      <c r="O597" s="24">
        <v>1.7525773195876289</v>
      </c>
      <c r="P597" s="24">
        <v>4.2809364548494981</v>
      </c>
      <c r="Q597" s="24">
        <v>6.5044790232808651</v>
      </c>
      <c r="R597" s="24">
        <v>5.54</v>
      </c>
      <c r="S597" s="24">
        <v>5.2737834380795228</v>
      </c>
      <c r="T597" s="24">
        <v>0.78325976994482027</v>
      </c>
      <c r="U597" s="24" t="s">
        <v>3198</v>
      </c>
      <c r="V597">
        <v>1</v>
      </c>
      <c r="W597" s="21">
        <v>0</v>
      </c>
      <c r="X597" s="56" t="str">
        <f>IFERROR(VLOOKUP(A597,Output!A:F,6,0),"-")</f>
        <v>-</v>
      </c>
    </row>
    <row r="598" spans="1:24" hidden="1" x14ac:dyDescent="0.25">
      <c r="A598" s="21" t="s">
        <v>1268</v>
      </c>
      <c r="B598" s="40" t="s">
        <v>1269</v>
      </c>
      <c r="C598" s="21" t="s">
        <v>244</v>
      </c>
      <c r="D598" s="21" t="s">
        <v>73</v>
      </c>
      <c r="E598" s="21" t="s">
        <v>102</v>
      </c>
      <c r="F598" s="55">
        <v>3.2297453584758989E-4</v>
      </c>
      <c r="G598" s="24">
        <v>3.1633680000000002</v>
      </c>
      <c r="H598" s="24">
        <v>4.7800050000000001</v>
      </c>
      <c r="I598" s="24">
        <v>5.2589750000000004</v>
      </c>
      <c r="J598" s="24">
        <v>3.9058169999999999</v>
      </c>
      <c r="K598" s="24">
        <v>4.3393030000000001</v>
      </c>
      <c r="L598" s="24">
        <v>7.5310290000000002</v>
      </c>
      <c r="M598" s="24">
        <v>1785.1579999999999</v>
      </c>
      <c r="N598" s="24">
        <v>5.6078930939059903</v>
      </c>
      <c r="O598" s="24">
        <v>6.9072164948453612</v>
      </c>
      <c r="P598" s="24">
        <v>3.2539682539682535</v>
      </c>
      <c r="Q598" s="24">
        <v>7.3469087159848279</v>
      </c>
      <c r="R598" s="24">
        <v>6.73</v>
      </c>
      <c r="S598" s="24">
        <v>6.0084327707749274</v>
      </c>
      <c r="T598" s="24">
        <v>0.51332324906722537</v>
      </c>
      <c r="U598" s="24" t="s">
        <v>3250</v>
      </c>
      <c r="V598">
        <v>1</v>
      </c>
      <c r="W598" s="21">
        <v>1</v>
      </c>
      <c r="X598" s="56" t="str">
        <f>IFERROR(VLOOKUP(A598,Output!A:F,6,0),"-")</f>
        <v>-</v>
      </c>
    </row>
    <row r="599" spans="1:24" hidden="1" x14ac:dyDescent="0.25">
      <c r="A599" s="21" t="s">
        <v>2369</v>
      </c>
      <c r="B599" s="40" t="s">
        <v>2370</v>
      </c>
      <c r="C599" s="21" t="s">
        <v>305</v>
      </c>
      <c r="D599" s="21" t="s">
        <v>74</v>
      </c>
      <c r="E599" s="21" t="s">
        <v>91</v>
      </c>
      <c r="F599" s="55">
        <v>3.2150164611656289E-4</v>
      </c>
      <c r="G599" s="24">
        <v>6.3917929999999998</v>
      </c>
      <c r="H599" s="24">
        <v>5.107996</v>
      </c>
      <c r="I599" s="24">
        <v>3.117165</v>
      </c>
      <c r="J599" s="24">
        <v>4.5684230000000001</v>
      </c>
      <c r="K599" s="24">
        <v>0</v>
      </c>
      <c r="L599" s="24">
        <v>3.701038</v>
      </c>
      <c r="M599" s="24">
        <v>15.4208</v>
      </c>
      <c r="N599" s="24">
        <v>8.4618880546075097</v>
      </c>
      <c r="O599" s="24">
        <v>2.0618556701030926</v>
      </c>
      <c r="P599" s="24">
        <v>8.4330484330484339</v>
      </c>
      <c r="Q599" s="24">
        <v>3.6540270983426719</v>
      </c>
      <c r="R599" s="24" t="e">
        <v>#N/A</v>
      </c>
      <c r="S599" s="24">
        <v>5.4055266552488552</v>
      </c>
      <c r="T599" s="24">
        <v>0.53210868117598187</v>
      </c>
      <c r="U599" s="24" t="s">
        <v>3899</v>
      </c>
      <c r="V599">
        <v>0</v>
      </c>
      <c r="W599" s="21">
        <v>1</v>
      </c>
      <c r="X599" s="56" t="str">
        <f>IFERROR(VLOOKUP(A599,Output!A:F,6,0),"-")</f>
        <v>-</v>
      </c>
    </row>
    <row r="600" spans="1:24" hidden="1" x14ac:dyDescent="0.25">
      <c r="A600" s="21" t="s">
        <v>571</v>
      </c>
      <c r="B600" s="40" t="s">
        <v>912</v>
      </c>
      <c r="C600" s="21" t="s">
        <v>244</v>
      </c>
      <c r="D600" s="21" t="s">
        <v>73</v>
      </c>
      <c r="E600" s="21" t="s">
        <v>99</v>
      </c>
      <c r="F600" s="55">
        <v>3.2064537804957043E-4</v>
      </c>
      <c r="G600" s="24">
        <v>2.661645</v>
      </c>
      <c r="H600" s="24">
        <v>5.5072219999999996</v>
      </c>
      <c r="I600" s="24">
        <v>5.2550309999999998</v>
      </c>
      <c r="J600" s="24">
        <v>4.2933339999999998</v>
      </c>
      <c r="K600" s="24">
        <v>2.1792820000000001E-2</v>
      </c>
      <c r="L600" s="24">
        <v>-4.2075560000000003</v>
      </c>
      <c r="M600" s="24">
        <v>44.5901</v>
      </c>
      <c r="N600" s="24">
        <v>3.0396608555375577</v>
      </c>
      <c r="O600" s="24">
        <v>9.5833333333333321</v>
      </c>
      <c r="P600" s="24">
        <v>0.77611940298507442</v>
      </c>
      <c r="Q600" s="24">
        <v>7.7586107166515985</v>
      </c>
      <c r="R600" s="24" t="e">
        <v>#N/A</v>
      </c>
      <c r="S600" s="24">
        <v>3.0021197043279493</v>
      </c>
      <c r="T600" s="24">
        <v>1.7282190060533575</v>
      </c>
      <c r="U600" s="24" t="s">
        <v>2997</v>
      </c>
      <c r="V600">
        <v>0</v>
      </c>
      <c r="W600" s="21">
        <v>1</v>
      </c>
      <c r="X600" s="56" t="str">
        <f>IFERROR(VLOOKUP(A600,Output!A:F,6,0),"-")</f>
        <v>-</v>
      </c>
    </row>
    <row r="601" spans="1:24" hidden="1" x14ac:dyDescent="0.25">
      <c r="A601" s="21" t="s">
        <v>275</v>
      </c>
      <c r="B601" s="40" t="s">
        <v>992</v>
      </c>
      <c r="C601" s="21" t="s">
        <v>245</v>
      </c>
      <c r="D601" s="21" t="s">
        <v>73</v>
      </c>
      <c r="E601" s="21" t="s">
        <v>88</v>
      </c>
      <c r="F601" s="55">
        <v>3.2063199728903579E-4</v>
      </c>
      <c r="G601" s="24">
        <v>8.4157250000000001</v>
      </c>
      <c r="H601" s="24">
        <v>6.1075400000000002</v>
      </c>
      <c r="I601" s="24">
        <v>8.0997570000000003</v>
      </c>
      <c r="J601" s="24">
        <v>7.6284789999999996</v>
      </c>
      <c r="K601" s="24">
        <v>0.68045719999999998</v>
      </c>
      <c r="L601" s="24">
        <v>4.2272160000000003</v>
      </c>
      <c r="M601" s="24">
        <v>6.5225999999999997</v>
      </c>
      <c r="N601" s="24">
        <v>8.0918565340909101</v>
      </c>
      <c r="O601" s="24">
        <v>8.1818181818181817</v>
      </c>
      <c r="P601" s="24">
        <v>6.9721936273030138</v>
      </c>
      <c r="Q601" s="24">
        <v>2.4942925404831424</v>
      </c>
      <c r="R601" s="24">
        <v>5.87</v>
      </c>
      <c r="S601" s="24">
        <v>5.7183208240486483</v>
      </c>
      <c r="T601" s="24">
        <v>0.88606983282640073</v>
      </c>
      <c r="U601" s="24" t="s">
        <v>3115</v>
      </c>
      <c r="V601">
        <v>0</v>
      </c>
      <c r="W601" s="21">
        <v>0</v>
      </c>
      <c r="X601" s="56" t="str">
        <f>IFERROR(VLOOKUP(A601,Output!A:F,6,0),"-")</f>
        <v>-</v>
      </c>
    </row>
    <row r="602" spans="1:24" x14ac:dyDescent="0.25">
      <c r="A602" s="21" t="s">
        <v>1717</v>
      </c>
      <c r="B602" s="40" t="s">
        <v>1718</v>
      </c>
      <c r="C602" s="21" t="s">
        <v>248</v>
      </c>
      <c r="D602" s="21" t="s">
        <v>75</v>
      </c>
      <c r="E602" s="21" t="s">
        <v>89</v>
      </c>
      <c r="F602" s="55">
        <v>3.2053128945974907E-4</v>
      </c>
      <c r="G602" s="24">
        <v>5.0243359999999999</v>
      </c>
      <c r="H602" s="24">
        <v>5.6904969999999997</v>
      </c>
      <c r="I602" s="24">
        <v>6.056565</v>
      </c>
      <c r="J602" s="24">
        <v>5.618773</v>
      </c>
      <c r="K602" s="24">
        <v>2.5351810000000001</v>
      </c>
      <c r="L602" s="24">
        <v>9.7220580000000005</v>
      </c>
      <c r="M602" s="24">
        <v>4.0670000000000002</v>
      </c>
      <c r="N602" s="24">
        <v>7.5574158011606904</v>
      </c>
      <c r="O602" s="24">
        <v>10</v>
      </c>
      <c r="P602" s="24">
        <v>2.9834254143646404</v>
      </c>
      <c r="Q602" s="24">
        <v>5.486600846262343</v>
      </c>
      <c r="R602" s="24">
        <v>5.26</v>
      </c>
      <c r="S602" s="24">
        <v>4.4917217700440588</v>
      </c>
      <c r="T602" s="24">
        <v>0.4474211750739035</v>
      </c>
      <c r="U602" s="24" t="s">
        <v>3470</v>
      </c>
      <c r="V602">
        <v>0</v>
      </c>
      <c r="W602" s="21">
        <v>0</v>
      </c>
      <c r="X602" s="56" t="str">
        <f>IFERROR(VLOOKUP(A602,Output!A:F,6,0),"-")</f>
        <v>-</v>
      </c>
    </row>
    <row r="603" spans="1:24" hidden="1" x14ac:dyDescent="0.25">
      <c r="A603" s="21" t="s">
        <v>1845</v>
      </c>
      <c r="B603" s="40" t="s">
        <v>1846</v>
      </c>
      <c r="C603" s="21" t="s">
        <v>244</v>
      </c>
      <c r="D603" s="21" t="s">
        <v>73</v>
      </c>
      <c r="E603" s="21" t="s">
        <v>101</v>
      </c>
      <c r="F603" s="55">
        <v>3.1998901653282043E-4</v>
      </c>
      <c r="G603" s="21">
        <v>5.1318570000000001</v>
      </c>
      <c r="H603" s="21">
        <v>8.3080420000000004</v>
      </c>
      <c r="I603" s="21">
        <v>7.3520669999999999</v>
      </c>
      <c r="J603" s="21">
        <v>7.2904150000000003</v>
      </c>
      <c r="K603" s="24">
        <v>1.2714559999999999</v>
      </c>
      <c r="L603" s="24">
        <v>5.5856880000000002</v>
      </c>
      <c r="M603" s="24">
        <v>197.74369999999999</v>
      </c>
      <c r="N603" s="24">
        <v>5.0295616603989304</v>
      </c>
      <c r="O603" s="24">
        <v>1.4285714285714284</v>
      </c>
      <c r="P603" s="24">
        <v>5.5822906470925542</v>
      </c>
      <c r="Q603" s="24">
        <v>4.8678560891832783</v>
      </c>
      <c r="R603" s="24">
        <v>6.09</v>
      </c>
      <c r="S603" s="24">
        <v>5.3091962331345774</v>
      </c>
      <c r="T603" s="24">
        <v>1.2049236237534506</v>
      </c>
      <c r="U603" s="24" t="s">
        <v>3671</v>
      </c>
      <c r="V603">
        <v>0</v>
      </c>
      <c r="W603" s="21">
        <v>0</v>
      </c>
      <c r="X603" s="56" t="str">
        <f>IFERROR(VLOOKUP(A603,Output!A:F,6,0),"-")</f>
        <v>-</v>
      </c>
    </row>
    <row r="604" spans="1:24" hidden="1" x14ac:dyDescent="0.25">
      <c r="A604" s="21" t="s">
        <v>167</v>
      </c>
      <c r="B604" s="40" t="s">
        <v>234</v>
      </c>
      <c r="C604" s="21" t="s">
        <v>244</v>
      </c>
      <c r="D604" s="21" t="s">
        <v>73</v>
      </c>
      <c r="E604" s="21" t="s">
        <v>94</v>
      </c>
      <c r="F604" s="55">
        <v>3.1969323129995024E-4</v>
      </c>
      <c r="G604" s="24">
        <v>6.7498250000000004</v>
      </c>
      <c r="H604" s="24">
        <v>6.278543</v>
      </c>
      <c r="I604" s="24">
        <v>5.5019140000000002</v>
      </c>
      <c r="J604" s="24">
        <v>6.2340669999999996</v>
      </c>
      <c r="K604" s="24">
        <v>1.3118369999999999</v>
      </c>
      <c r="L604" s="24">
        <v>5.8954319999999996</v>
      </c>
      <c r="M604" s="24">
        <v>2.1415000000000002</v>
      </c>
      <c r="N604" s="24">
        <v>8.3065883963831748</v>
      </c>
      <c r="O604" s="24">
        <v>9.4897959183673475</v>
      </c>
      <c r="P604" s="24">
        <v>7.4590952741447367</v>
      </c>
      <c r="Q604" s="24">
        <v>2.1377247095279577</v>
      </c>
      <c r="R604" s="24">
        <v>7.63</v>
      </c>
      <c r="S604" s="24">
        <v>6.0091381898476959</v>
      </c>
      <c r="T604" s="24">
        <v>0.93599440738387951</v>
      </c>
      <c r="U604" s="24" t="s">
        <v>2793</v>
      </c>
      <c r="V604">
        <v>0</v>
      </c>
      <c r="W604" s="21">
        <v>0</v>
      </c>
      <c r="X604" s="56" t="str">
        <f>IFERROR(VLOOKUP(A604,Output!A:F,6,0),"-")</f>
        <v>-</v>
      </c>
    </row>
    <row r="605" spans="1:24" hidden="1" x14ac:dyDescent="0.25">
      <c r="A605" s="21" t="s">
        <v>2246</v>
      </c>
      <c r="B605" s="40" t="s">
        <v>2247</v>
      </c>
      <c r="C605" s="21" t="s">
        <v>254</v>
      </c>
      <c r="D605" s="21" t="s">
        <v>74</v>
      </c>
      <c r="E605" s="21" t="s">
        <v>93</v>
      </c>
      <c r="F605" s="55">
        <v>3.1948286159861304E-4</v>
      </c>
      <c r="G605" s="21">
        <v>2.8766289999999999</v>
      </c>
      <c r="H605" s="21">
        <v>5.0115509999999999</v>
      </c>
      <c r="I605" s="21">
        <v>2.6540780000000002</v>
      </c>
      <c r="J605" s="21">
        <v>3.5140859999999998</v>
      </c>
      <c r="K605" s="24">
        <v>5.6543369999999999</v>
      </c>
      <c r="L605" s="24">
        <v>7.0655609999999998</v>
      </c>
      <c r="M605" s="24">
        <v>1.1819999999999999</v>
      </c>
      <c r="N605" s="24">
        <v>7.501596722842879</v>
      </c>
      <c r="O605" s="24">
        <v>1.3131313131313131</v>
      </c>
      <c r="P605" s="24" t="e">
        <v>#N/A</v>
      </c>
      <c r="Q605" s="24">
        <v>2.3291069459757443</v>
      </c>
      <c r="R605" s="24">
        <v>4.7</v>
      </c>
      <c r="S605" s="24" t="e">
        <v>#N/A</v>
      </c>
      <c r="T605" s="24">
        <v>0.47861427451056571</v>
      </c>
      <c r="U605" s="24" t="s">
        <v>3794</v>
      </c>
      <c r="V605">
        <v>0</v>
      </c>
      <c r="W605" s="21">
        <v>1</v>
      </c>
      <c r="X605" s="56" t="str">
        <f>IFERROR(VLOOKUP(A605,Output!A:F,6,0),"-")</f>
        <v>-</v>
      </c>
    </row>
    <row r="606" spans="1:24" hidden="1" x14ac:dyDescent="0.25">
      <c r="A606" s="21" t="s">
        <v>613</v>
      </c>
      <c r="B606" s="40" t="s">
        <v>969</v>
      </c>
      <c r="C606" s="21" t="s">
        <v>244</v>
      </c>
      <c r="D606" s="21" t="s">
        <v>73</v>
      </c>
      <c r="E606" s="21" t="s">
        <v>92</v>
      </c>
      <c r="F606" s="55">
        <v>3.1926434271228855E-4</v>
      </c>
      <c r="G606" s="24">
        <v>4.5064510000000002</v>
      </c>
      <c r="H606" s="24">
        <v>5.1391989999999996</v>
      </c>
      <c r="I606" s="24">
        <v>4.730639</v>
      </c>
      <c r="J606" s="24">
        <v>4.7635319999999997</v>
      </c>
      <c r="K606" s="24">
        <v>8.8024160000000004E-2</v>
      </c>
      <c r="L606" s="24">
        <v>8.0375270000000008</v>
      </c>
      <c r="M606" s="53">
        <v>49.196300000000001</v>
      </c>
      <c r="N606" s="24">
        <v>3.8494318181818183</v>
      </c>
      <c r="O606" s="24">
        <v>8.4848484848484844</v>
      </c>
      <c r="P606" s="24">
        <v>5.1184346236109803</v>
      </c>
      <c r="Q606" s="24">
        <v>8.289532253782852</v>
      </c>
      <c r="R606" s="24">
        <v>2.25</v>
      </c>
      <c r="S606" s="24">
        <v>6.0044553944801482</v>
      </c>
      <c r="T606" s="24">
        <v>0.86688790216924005</v>
      </c>
      <c r="U606" s="24" t="s">
        <v>3054</v>
      </c>
      <c r="V606">
        <v>0</v>
      </c>
      <c r="W606" s="21">
        <v>0</v>
      </c>
      <c r="X606" s="56" t="str">
        <f>IFERROR(VLOOKUP(A606,Output!A:F,6,0),"-")</f>
        <v>-</v>
      </c>
    </row>
    <row r="607" spans="1:24" hidden="1" x14ac:dyDescent="0.25">
      <c r="A607" s="21" t="s">
        <v>2465</v>
      </c>
      <c r="B607" s="40" t="s">
        <v>2466</v>
      </c>
      <c r="C607" s="21" t="s">
        <v>257</v>
      </c>
      <c r="D607" s="21" t="s">
        <v>74</v>
      </c>
      <c r="E607" s="21" t="s">
        <v>102</v>
      </c>
      <c r="F607" s="55">
        <v>3.1790051120997965E-4</v>
      </c>
      <c r="G607" s="24">
        <v>3.6206450000000001</v>
      </c>
      <c r="H607" s="24">
        <v>4.0557280000000002</v>
      </c>
      <c r="I607" s="24">
        <v>2.7270110000000001</v>
      </c>
      <c r="J607" s="24">
        <v>3.528934</v>
      </c>
      <c r="K607" s="24">
        <v>3.5521069999999999</v>
      </c>
      <c r="L607" s="24">
        <v>6.7499190000000002</v>
      </c>
      <c r="M607" s="24">
        <v>3643.3130000000001</v>
      </c>
      <c r="N607" s="24">
        <v>1.9785554265300689</v>
      </c>
      <c r="O607" s="24">
        <v>0.76923076923076927</v>
      </c>
      <c r="P607" s="24">
        <v>3.0792682926829276</v>
      </c>
      <c r="Q607" s="24">
        <v>9.1150840870651333</v>
      </c>
      <c r="R607" s="24">
        <v>5.27</v>
      </c>
      <c r="S607" s="24">
        <v>4.6443790607140665</v>
      </c>
      <c r="T607" s="24">
        <v>0.1478408165421638</v>
      </c>
      <c r="U607" s="24" t="s">
        <v>3930</v>
      </c>
      <c r="V607">
        <v>1</v>
      </c>
      <c r="W607" s="21">
        <v>1</v>
      </c>
      <c r="X607" s="56" t="str">
        <f>IFERROR(VLOOKUP(A607,Output!A:F,6,0),"-")</f>
        <v>-</v>
      </c>
    </row>
    <row r="608" spans="1:24" hidden="1" x14ac:dyDescent="0.25">
      <c r="A608" s="62" t="s">
        <v>2365</v>
      </c>
      <c r="B608" s="66" t="s">
        <v>2366</v>
      </c>
      <c r="C608" s="62" t="s">
        <v>1441</v>
      </c>
      <c r="D608" s="62" t="s">
        <v>74</v>
      </c>
      <c r="E608" s="62" t="s">
        <v>100</v>
      </c>
      <c r="F608" s="67">
        <v>3.1777646250517394E-4</v>
      </c>
      <c r="G608" s="68">
        <v>5.6128309999999999</v>
      </c>
      <c r="H608" s="68">
        <v>6.1155720000000002</v>
      </c>
      <c r="I608" s="68">
        <v>6.894685</v>
      </c>
      <c r="J608" s="68">
        <v>6.1482099999999997</v>
      </c>
      <c r="K608" s="68">
        <v>4.1025359999999997</v>
      </c>
      <c r="L608" s="68">
        <v>11.29421</v>
      </c>
      <c r="M608" s="68">
        <v>22.5916</v>
      </c>
      <c r="N608" s="68">
        <v>4.2672298686265346</v>
      </c>
      <c r="O608" s="68">
        <v>3.333333333333333</v>
      </c>
      <c r="P608" s="70">
        <v>6.900369003690038</v>
      </c>
      <c r="Q608" s="70">
        <v>8.8284084229919983</v>
      </c>
      <c r="R608" s="68">
        <v>4.17</v>
      </c>
      <c r="S608" s="24">
        <v>5.9808584158148896</v>
      </c>
      <c r="T608" s="24">
        <v>0.60519929236023107</v>
      </c>
      <c r="U608" s="24" t="s">
        <v>3829</v>
      </c>
      <c r="V608">
        <v>0</v>
      </c>
      <c r="W608" s="21">
        <v>0</v>
      </c>
      <c r="X608" s="56" t="str">
        <f>IFERROR(VLOOKUP(A608,Output!A:F,6,0),"-")</f>
        <v>-</v>
      </c>
    </row>
    <row r="609" spans="1:24" hidden="1" x14ac:dyDescent="0.25">
      <c r="A609" s="21" t="s">
        <v>1270</v>
      </c>
      <c r="B609" s="40" t="s">
        <v>1271</v>
      </c>
      <c r="C609" s="21" t="s">
        <v>244</v>
      </c>
      <c r="D609" s="21" t="s">
        <v>73</v>
      </c>
      <c r="E609" s="21" t="s">
        <v>87</v>
      </c>
      <c r="F609" s="55">
        <v>3.1744596778069144E-4</v>
      </c>
      <c r="G609" s="21">
        <v>7.0875620000000001</v>
      </c>
      <c r="H609" s="21">
        <v>5.4891719999999999</v>
      </c>
      <c r="I609" s="21">
        <v>5.7954290000000004</v>
      </c>
      <c r="J609" s="21">
        <v>6.1240540000000001</v>
      </c>
      <c r="K609" s="24">
        <v>1.896142</v>
      </c>
      <c r="L609" s="24">
        <v>4.5778639999999999</v>
      </c>
      <c r="M609" s="24">
        <v>181.37100000000001</v>
      </c>
      <c r="N609" s="24">
        <v>2.4018596281952287</v>
      </c>
      <c r="O609" s="24">
        <v>2.3711340206185563</v>
      </c>
      <c r="P609" s="24">
        <v>0</v>
      </c>
      <c r="Q609" s="24">
        <v>3.7140868506138593</v>
      </c>
      <c r="R609" s="24">
        <v>2.7</v>
      </c>
      <c r="S609" s="24">
        <v>2.9511712378456876</v>
      </c>
      <c r="T609" s="24">
        <v>1.0699832850311612</v>
      </c>
      <c r="U609" s="24" t="s">
        <v>3287</v>
      </c>
      <c r="V609">
        <v>0</v>
      </c>
      <c r="W609" s="21">
        <v>0</v>
      </c>
      <c r="X609" s="56" t="str">
        <f>IFERROR(VLOOKUP(A609,Output!A:F,6,0),"-")</f>
        <v>-</v>
      </c>
    </row>
    <row r="610" spans="1:24" hidden="1" x14ac:dyDescent="0.25">
      <c r="A610" s="21" t="s">
        <v>4446</v>
      </c>
      <c r="B610" s="40" t="s">
        <v>4603</v>
      </c>
      <c r="C610" s="21" t="s">
        <v>1441</v>
      </c>
      <c r="D610" s="21" t="s">
        <v>74</v>
      </c>
      <c r="E610" s="21" t="s">
        <v>93</v>
      </c>
      <c r="F610" s="55">
        <v>3.1730230066758311E-4</v>
      </c>
      <c r="G610" s="24">
        <v>3.4744519999999999</v>
      </c>
      <c r="H610" s="24">
        <v>8.5179329999999993</v>
      </c>
      <c r="I610" s="24">
        <v>5.8736129999999998</v>
      </c>
      <c r="J610" s="24">
        <v>6.079377</v>
      </c>
      <c r="K610" s="24">
        <v>4.6944590000000002</v>
      </c>
      <c r="L610" s="24">
        <v>5.9970470000000002</v>
      </c>
      <c r="M610" s="24">
        <v>0.41732999999999998</v>
      </c>
      <c r="N610" s="24">
        <v>5.925728957286994</v>
      </c>
      <c r="O610" s="24">
        <v>3.6363636363636367</v>
      </c>
      <c r="P610" s="24">
        <v>6.1228073684210527</v>
      </c>
      <c r="Q610" s="24">
        <v>2.1458103638368251</v>
      </c>
      <c r="R610" s="24">
        <v>3.73</v>
      </c>
      <c r="S610" s="24">
        <v>4.7104751825793878</v>
      </c>
      <c r="T610" s="24">
        <v>0.19985619718875131</v>
      </c>
      <c r="U610" s="24" t="s">
        <v>3873</v>
      </c>
      <c r="V610">
        <v>0</v>
      </c>
      <c r="W610" s="21">
        <v>0</v>
      </c>
      <c r="X610" s="56" t="str">
        <f>IFERROR(VLOOKUP(A610,Output!A:F,6,0),"-")</f>
        <v>-</v>
      </c>
    </row>
    <row r="611" spans="1:24" hidden="1" x14ac:dyDescent="0.25">
      <c r="A611" s="21" t="s">
        <v>2405</v>
      </c>
      <c r="B611" s="40" t="s">
        <v>2406</v>
      </c>
      <c r="C611" s="21" t="s">
        <v>247</v>
      </c>
      <c r="D611" s="21" t="s">
        <v>74</v>
      </c>
      <c r="E611" s="21" t="s">
        <v>100</v>
      </c>
      <c r="F611" s="55">
        <v>3.1325225633614727E-4</v>
      </c>
      <c r="G611" s="24">
        <v>4.8002479999999998</v>
      </c>
      <c r="H611" s="24">
        <v>4.6746939999999997</v>
      </c>
      <c r="I611" s="24">
        <v>5.1190329999999999</v>
      </c>
      <c r="J611" s="24">
        <v>4.8646580000000004</v>
      </c>
      <c r="K611" s="24">
        <v>10.856339999999999</v>
      </c>
      <c r="L611" s="24">
        <v>6.7299439999999997</v>
      </c>
      <c r="M611" s="24">
        <v>67.831500000000005</v>
      </c>
      <c r="N611" s="24">
        <v>4.3454718233807892</v>
      </c>
      <c r="O611" s="24">
        <v>1.1111111111111112</v>
      </c>
      <c r="P611" s="24">
        <v>5.0922509225092245</v>
      </c>
      <c r="Q611" s="24">
        <v>10</v>
      </c>
      <c r="R611" s="24">
        <v>6.6</v>
      </c>
      <c r="S611" s="24">
        <v>6.2137723374677574</v>
      </c>
      <c r="T611" s="24">
        <v>-2.3797687971073664E-2</v>
      </c>
      <c r="U611" s="24" t="s">
        <v>3932</v>
      </c>
      <c r="V611">
        <v>0</v>
      </c>
      <c r="W611" s="21">
        <v>0</v>
      </c>
      <c r="X611" s="56" t="str">
        <f>IFERROR(VLOOKUP(A611,Output!A:F,6,0),"-")</f>
        <v>-</v>
      </c>
    </row>
    <row r="612" spans="1:24" hidden="1" x14ac:dyDescent="0.25">
      <c r="A612" s="21" t="s">
        <v>560</v>
      </c>
      <c r="B612" s="40" t="s">
        <v>1002</v>
      </c>
      <c r="C612" s="21" t="s">
        <v>244</v>
      </c>
      <c r="D612" s="21" t="s">
        <v>73</v>
      </c>
      <c r="E612" s="21" t="s">
        <v>93</v>
      </c>
      <c r="F612" s="55">
        <v>3.1275988459136269E-4</v>
      </c>
      <c r="G612" s="24">
        <v>5.7176330000000002</v>
      </c>
      <c r="H612" s="24">
        <v>3.6068280000000001</v>
      </c>
      <c r="I612" s="24">
        <v>4.5850960000000001</v>
      </c>
      <c r="J612" s="24">
        <v>4.5824639999999999</v>
      </c>
      <c r="K612" s="24">
        <v>0.62342129999999996</v>
      </c>
      <c r="L612" s="24">
        <v>5.1085649999999996</v>
      </c>
      <c r="M612" s="24">
        <v>8.5460999999999991</v>
      </c>
      <c r="N612" s="24">
        <v>6.5256080729166666</v>
      </c>
      <c r="O612" s="24">
        <v>10</v>
      </c>
      <c r="P612" s="24">
        <v>7.4093264248704678</v>
      </c>
      <c r="Q612" s="24">
        <v>2.499162290238222</v>
      </c>
      <c r="R612" s="24">
        <v>2.85</v>
      </c>
      <c r="S612" s="24">
        <v>4.7870234850429343</v>
      </c>
      <c r="T612" s="24">
        <v>0.81821308716956342</v>
      </c>
      <c r="U612" s="24" t="s">
        <v>3179</v>
      </c>
      <c r="V612">
        <v>0</v>
      </c>
      <c r="W612" s="21">
        <v>1</v>
      </c>
      <c r="X612" s="56" t="str">
        <f>IFERROR(VLOOKUP(A612,Output!A:F,6,0),"-")</f>
        <v>-</v>
      </c>
    </row>
    <row r="613" spans="1:24" hidden="1" x14ac:dyDescent="0.25">
      <c r="A613" s="21" t="s">
        <v>1118</v>
      </c>
      <c r="B613" s="40" t="s">
        <v>1119</v>
      </c>
      <c r="C613" s="21" t="s">
        <v>244</v>
      </c>
      <c r="D613" s="21" t="s">
        <v>73</v>
      </c>
      <c r="E613" s="21" t="s">
        <v>92</v>
      </c>
      <c r="F613" s="55">
        <v>3.1266813080483972E-4</v>
      </c>
      <c r="G613" s="24">
        <v>6.255001</v>
      </c>
      <c r="H613" s="24">
        <v>5.1819800000000003</v>
      </c>
      <c r="I613" s="24">
        <v>5.3334539999999997</v>
      </c>
      <c r="J613" s="24">
        <v>5.4571740000000002</v>
      </c>
      <c r="K613" s="24">
        <v>0</v>
      </c>
      <c r="L613" s="24">
        <v>3.7042639999999998</v>
      </c>
      <c r="M613" s="24">
        <v>12.920400000000001</v>
      </c>
      <c r="N613" s="24">
        <v>1.6666661931818183</v>
      </c>
      <c r="O613" s="24">
        <v>3.5353535353535355</v>
      </c>
      <c r="P613" s="24">
        <v>8.3316168966771702</v>
      </c>
      <c r="Q613" s="24">
        <v>1.6092381205203079</v>
      </c>
      <c r="R613" s="24" t="e">
        <v>#N/A</v>
      </c>
      <c r="S613" s="24">
        <v>3.5057784727926999</v>
      </c>
      <c r="T613" s="24">
        <v>1.0110388362155152</v>
      </c>
      <c r="U613" s="24" t="s">
        <v>3153</v>
      </c>
      <c r="V613">
        <v>0</v>
      </c>
      <c r="W613" s="21">
        <v>0</v>
      </c>
      <c r="X613" s="56" t="str">
        <f>IFERROR(VLOOKUP(A613,Output!A:F,6,0),"-")</f>
        <v>-</v>
      </c>
    </row>
    <row r="614" spans="1:24" hidden="1" x14ac:dyDescent="0.25">
      <c r="A614" s="21" t="s">
        <v>1345</v>
      </c>
      <c r="B614" s="40" t="s">
        <v>1346</v>
      </c>
      <c r="C614" s="21" t="s">
        <v>244</v>
      </c>
      <c r="D614" s="21" t="s">
        <v>73</v>
      </c>
      <c r="E614" s="21" t="s">
        <v>102</v>
      </c>
      <c r="F614" s="55">
        <v>3.1072510352510454E-4</v>
      </c>
      <c r="G614" s="24">
        <v>4.1934459999999998</v>
      </c>
      <c r="H614" s="24">
        <v>4.6620030000000003</v>
      </c>
      <c r="I614" s="24">
        <v>5.5505560000000003</v>
      </c>
      <c r="J614" s="24">
        <v>4.5585789999999999</v>
      </c>
      <c r="K614" s="24">
        <v>4.8277070000000002</v>
      </c>
      <c r="L614" s="24">
        <v>7.529522</v>
      </c>
      <c r="M614" s="24">
        <v>81.852599999999995</v>
      </c>
      <c r="N614" s="24">
        <v>3.8763153814404867</v>
      </c>
      <c r="O614" s="24">
        <v>1.6494845360824739</v>
      </c>
      <c r="P614" s="24">
        <v>1.1111111111111107</v>
      </c>
      <c r="Q614" s="24">
        <v>7.5980410207313023</v>
      </c>
      <c r="R614" s="24">
        <v>6.13</v>
      </c>
      <c r="S614" s="24">
        <v>4.7069582891401112</v>
      </c>
      <c r="T614" s="24">
        <v>0.6529398456441714</v>
      </c>
      <c r="U614" s="24" t="s">
        <v>3318</v>
      </c>
      <c r="V614">
        <v>0</v>
      </c>
      <c r="W614" s="21">
        <v>1</v>
      </c>
      <c r="X614" s="56" t="str">
        <f>IFERROR(VLOOKUP(A614,Output!A:F,6,0),"-")</f>
        <v>-</v>
      </c>
    </row>
    <row r="615" spans="1:24" x14ac:dyDescent="0.25">
      <c r="A615" s="21" t="s">
        <v>2182</v>
      </c>
      <c r="B615" s="40" t="s">
        <v>2183</v>
      </c>
      <c r="C615" s="21" t="s">
        <v>253</v>
      </c>
      <c r="D615" s="21" t="s">
        <v>75</v>
      </c>
      <c r="E615" s="21" t="s">
        <v>92</v>
      </c>
      <c r="F615" s="55">
        <v>3.1058435402143601E-4</v>
      </c>
      <c r="G615" s="24">
        <v>5.9601940000000004</v>
      </c>
      <c r="H615" s="24">
        <v>4.4118440000000003</v>
      </c>
      <c r="I615" s="24">
        <v>4.5402670000000001</v>
      </c>
      <c r="J615" s="24">
        <v>5.0697109999999999</v>
      </c>
      <c r="K615" s="24">
        <v>1.9346669999999999</v>
      </c>
      <c r="L615" s="24">
        <v>5.3090489999999999</v>
      </c>
      <c r="M615" s="24">
        <v>14.5543</v>
      </c>
      <c r="N615" s="24">
        <v>8.5177396602091626</v>
      </c>
      <c r="O615" s="24">
        <v>5.2631578947368416</v>
      </c>
      <c r="P615" s="24">
        <v>7.7714286733061178</v>
      </c>
      <c r="Q615" s="24">
        <v>3.0008243963129644</v>
      </c>
      <c r="R615" s="24">
        <v>5.61</v>
      </c>
      <c r="S615" s="24">
        <v>5.1334072705530804</v>
      </c>
      <c r="T615" s="24">
        <v>0.15360100778518349</v>
      </c>
      <c r="U615" s="24" t="s">
        <v>3761</v>
      </c>
      <c r="V615">
        <v>0</v>
      </c>
      <c r="W615" s="21">
        <v>0</v>
      </c>
      <c r="X615" s="56" t="str">
        <f>IFERROR(VLOOKUP(A615,Output!A:F,6,0),"-")</f>
        <v>-</v>
      </c>
    </row>
    <row r="616" spans="1:24" hidden="1" x14ac:dyDescent="0.25">
      <c r="A616" s="21" t="s">
        <v>567</v>
      </c>
      <c r="B616" s="40" t="s">
        <v>951</v>
      </c>
      <c r="C616" s="21" t="s">
        <v>244</v>
      </c>
      <c r="D616" s="21" t="s">
        <v>73</v>
      </c>
      <c r="E616" s="21" t="s">
        <v>89</v>
      </c>
      <c r="F616" s="55">
        <v>3.0991350506470874E-4</v>
      </c>
      <c r="G616" s="24">
        <v>6.2416010000000002</v>
      </c>
      <c r="H616" s="24">
        <v>6.3969870000000002</v>
      </c>
      <c r="I616" s="24">
        <v>6.1361689999999998</v>
      </c>
      <c r="J616" s="24">
        <v>6.2590849999999998</v>
      </c>
      <c r="K616" s="24">
        <v>1.2796190000000001</v>
      </c>
      <c r="L616" s="24">
        <v>4.8301889999999998</v>
      </c>
      <c r="M616" s="24">
        <v>4.8829000000000002</v>
      </c>
      <c r="N616" s="24">
        <v>3.259548177083333</v>
      </c>
      <c r="O616" s="24">
        <v>8.2474226804123703</v>
      </c>
      <c r="P616" s="24">
        <v>7.5647668393782395</v>
      </c>
      <c r="Q616" s="24">
        <v>2.4302858452821527</v>
      </c>
      <c r="R616" s="24">
        <v>4.13</v>
      </c>
      <c r="S616" s="24">
        <v>4.2842474836113302</v>
      </c>
      <c r="T616" s="24">
        <v>0.14772739106519597</v>
      </c>
      <c r="U616" s="24" t="s">
        <v>3079</v>
      </c>
      <c r="V616">
        <v>0</v>
      </c>
      <c r="W616" s="21">
        <v>0</v>
      </c>
      <c r="X616" s="56" t="str">
        <f>IFERROR(VLOOKUP(A616,Output!A:F,6,0),"-")</f>
        <v>-</v>
      </c>
    </row>
    <row r="617" spans="1:24" hidden="1" x14ac:dyDescent="0.25">
      <c r="A617" s="21" t="s">
        <v>4607</v>
      </c>
      <c r="B617" s="40" t="s">
        <v>4608</v>
      </c>
      <c r="C617" s="21" t="s">
        <v>244</v>
      </c>
      <c r="D617" s="21" t="s">
        <v>73</v>
      </c>
      <c r="E617" s="21" t="s">
        <v>92</v>
      </c>
      <c r="F617" s="55">
        <v>3.0985092737258446E-4</v>
      </c>
      <c r="G617" s="21">
        <v>5</v>
      </c>
      <c r="H617" s="21">
        <v>5</v>
      </c>
      <c r="I617" s="21">
        <v>5</v>
      </c>
      <c r="J617" s="21">
        <v>5</v>
      </c>
      <c r="K617" s="24">
        <v>0.34650039999999999</v>
      </c>
      <c r="L617" s="24">
        <v>4.109248</v>
      </c>
      <c r="M617" s="24">
        <v>41.539700000000003</v>
      </c>
      <c r="N617" s="24">
        <v>2.6325752840909096</v>
      </c>
      <c r="O617" s="24">
        <v>4.7474747474747474</v>
      </c>
      <c r="P617" s="24">
        <v>8.2698249298874362</v>
      </c>
      <c r="Q617" s="24">
        <v>3.5457042739580564</v>
      </c>
      <c r="R617" s="24" t="e">
        <v>#N/A</v>
      </c>
      <c r="S617" s="24">
        <v>4.2147757011676106</v>
      </c>
      <c r="T617" s="24">
        <v>0.37910705664584843</v>
      </c>
      <c r="U617" s="24" t="s">
        <v>4609</v>
      </c>
      <c r="V617">
        <v>0</v>
      </c>
      <c r="W617" s="21">
        <v>0</v>
      </c>
      <c r="X617" s="56" t="str">
        <f>IFERROR(VLOOKUP(A617,Output!A:F,6,0),"-")</f>
        <v>-</v>
      </c>
    </row>
    <row r="618" spans="1:24" hidden="1" x14ac:dyDescent="0.25">
      <c r="A618" s="21" t="s">
        <v>1911</v>
      </c>
      <c r="B618" s="40" t="s">
        <v>4364</v>
      </c>
      <c r="C618" s="21" t="s">
        <v>244</v>
      </c>
      <c r="D618" s="21" t="s">
        <v>73</v>
      </c>
      <c r="E618" s="21" t="s">
        <v>98</v>
      </c>
      <c r="F618" s="55">
        <v>3.0877815256370874E-4</v>
      </c>
      <c r="G618" s="24">
        <v>2.3707500000000001</v>
      </c>
      <c r="H618" s="24">
        <v>2.0791810000000002</v>
      </c>
      <c r="I618" s="24">
        <v>2.161734</v>
      </c>
      <c r="J618" s="24">
        <v>2.1705160000000001</v>
      </c>
      <c r="K618" s="24">
        <v>0</v>
      </c>
      <c r="L618" s="24">
        <v>2.7312219999999998</v>
      </c>
      <c r="M618" s="53">
        <v>9.9731000000000005</v>
      </c>
      <c r="N618" s="24">
        <v>9.4763516851945422</v>
      </c>
      <c r="O618" s="24">
        <v>5.7142857142857135</v>
      </c>
      <c r="P618" s="24">
        <v>6.6506255886453349</v>
      </c>
      <c r="Q618" s="24">
        <v>1.7975205398904768</v>
      </c>
      <c r="R618" s="24" t="e">
        <v>#N/A</v>
      </c>
      <c r="S618" s="24">
        <v>4.1088991742653471</v>
      </c>
      <c r="T618" s="24">
        <v>1.8759600330832087</v>
      </c>
      <c r="U618" s="24" t="s">
        <v>3551</v>
      </c>
      <c r="V618">
        <v>0</v>
      </c>
      <c r="W618" s="21">
        <v>1</v>
      </c>
      <c r="X618" s="56" t="str">
        <f>IFERROR(VLOOKUP(A618,Output!A:F,6,0),"-")</f>
        <v>-</v>
      </c>
    </row>
    <row r="619" spans="1:24" hidden="1" x14ac:dyDescent="0.25">
      <c r="A619" s="21" t="s">
        <v>1048</v>
      </c>
      <c r="B619" s="40" t="s">
        <v>4352</v>
      </c>
      <c r="C619" s="21" t="s">
        <v>244</v>
      </c>
      <c r="D619" s="21" t="s">
        <v>73</v>
      </c>
      <c r="E619" s="21" t="s">
        <v>93</v>
      </c>
      <c r="F619" s="55">
        <v>3.0872372405657181E-4</v>
      </c>
      <c r="G619" s="24">
        <v>3.1177959999999998</v>
      </c>
      <c r="H619" s="24">
        <v>2.430291</v>
      </c>
      <c r="I619" s="24">
        <v>3.027015</v>
      </c>
      <c r="J619" s="24">
        <v>2.845396</v>
      </c>
      <c r="K619" s="24">
        <v>0</v>
      </c>
      <c r="L619" s="24">
        <v>6.009455</v>
      </c>
      <c r="M619" s="24">
        <v>2.9658000000000002</v>
      </c>
      <c r="N619" s="24">
        <v>5.4329427083333339</v>
      </c>
      <c r="O619" s="24">
        <v>1.134020618556701</v>
      </c>
      <c r="P619" s="24">
        <v>3.5751295336787567</v>
      </c>
      <c r="Q619" s="24">
        <v>5.6751320791927586</v>
      </c>
      <c r="R619" s="24" t="e">
        <v>#N/A</v>
      </c>
      <c r="S619" s="24">
        <v>4.4830886567203567</v>
      </c>
      <c r="T619" s="24">
        <v>0.45004618963178189</v>
      </c>
      <c r="U619" s="24" t="s">
        <v>3188</v>
      </c>
      <c r="V619">
        <v>0</v>
      </c>
      <c r="W619" s="21">
        <v>1</v>
      </c>
      <c r="X619" s="56" t="str">
        <f>IFERROR(VLOOKUP(A619,Output!A:F,6,0),"-")</f>
        <v>-</v>
      </c>
    </row>
    <row r="620" spans="1:24" hidden="1" x14ac:dyDescent="0.25">
      <c r="A620" s="21" t="s">
        <v>645</v>
      </c>
      <c r="B620" s="40" t="s">
        <v>920</v>
      </c>
      <c r="C620" s="21" t="s">
        <v>244</v>
      </c>
      <c r="D620" s="21" t="s">
        <v>73</v>
      </c>
      <c r="E620" s="21" t="s">
        <v>92</v>
      </c>
      <c r="F620" s="55">
        <v>3.0832139577553514E-4</v>
      </c>
      <c r="G620" s="24">
        <v>4.8733500000000003</v>
      </c>
      <c r="H620" s="24">
        <v>4.391902</v>
      </c>
      <c r="I620" s="24">
        <v>6.1242070000000002</v>
      </c>
      <c r="J620" s="24">
        <v>5.1041730000000003</v>
      </c>
      <c r="K620" s="24">
        <v>0.2468166</v>
      </c>
      <c r="L620" s="24">
        <v>2.8410829999999998</v>
      </c>
      <c r="M620" s="24">
        <v>59.742800000000003</v>
      </c>
      <c r="N620" s="24">
        <v>6.0487684659090926</v>
      </c>
      <c r="O620" s="24">
        <v>8.0808080808080813</v>
      </c>
      <c r="P620" s="24">
        <v>4.9330587232417766</v>
      </c>
      <c r="Q620" s="24">
        <v>0.98168303689938952</v>
      </c>
      <c r="R620" s="24">
        <v>6.49</v>
      </c>
      <c r="S620" s="24">
        <v>3.549680374503227</v>
      </c>
      <c r="T620" s="24">
        <v>2.1655447755170121</v>
      </c>
      <c r="U620" s="24" t="s">
        <v>2994</v>
      </c>
      <c r="V620">
        <v>0</v>
      </c>
      <c r="W620" s="21">
        <v>0</v>
      </c>
      <c r="X620" s="56" t="str">
        <f>IFERROR(VLOOKUP(A620,Output!A:F,6,0),"-")</f>
        <v>-</v>
      </c>
    </row>
    <row r="621" spans="1:24" hidden="1" x14ac:dyDescent="0.25">
      <c r="A621" s="21" t="s">
        <v>114</v>
      </c>
      <c r="B621" s="40" t="s">
        <v>183</v>
      </c>
      <c r="C621" s="21" t="s">
        <v>244</v>
      </c>
      <c r="D621" s="21" t="s">
        <v>73</v>
      </c>
      <c r="E621" s="21" t="s">
        <v>94</v>
      </c>
      <c r="F621" s="55">
        <v>3.0801876925156454E-4</v>
      </c>
      <c r="G621" s="21">
        <v>7.4902540000000002</v>
      </c>
      <c r="H621" s="21">
        <v>3.7362229999999998</v>
      </c>
      <c r="I621" s="21">
        <v>7.1940470000000003</v>
      </c>
      <c r="J621" s="21">
        <v>5.8701590000000001</v>
      </c>
      <c r="K621" s="24">
        <v>3.0957880000000002</v>
      </c>
      <c r="L621" s="24">
        <v>9.2484579999999994</v>
      </c>
      <c r="M621" s="24">
        <v>4.0467000000000004</v>
      </c>
      <c r="N621" s="24">
        <v>3.4037159465736404</v>
      </c>
      <c r="O621" s="24">
        <v>2.1428571428571428</v>
      </c>
      <c r="P621" s="24">
        <v>6.390760332591956</v>
      </c>
      <c r="Q621" s="24">
        <v>7.5809914237276521</v>
      </c>
      <c r="R621" s="24">
        <v>7.39</v>
      </c>
      <c r="S621" s="24">
        <v>6.9349741770793134</v>
      </c>
      <c r="T621" s="24">
        <v>0.77430356810074474</v>
      </c>
      <c r="U621" s="24" t="s">
        <v>2802</v>
      </c>
      <c r="V621">
        <v>0</v>
      </c>
      <c r="W621" s="21">
        <v>0</v>
      </c>
      <c r="X621" s="56">
        <f>IFERROR(VLOOKUP(A621,Output!A:F,6,0),"-")</f>
        <v>7.4999999999997907E-3</v>
      </c>
    </row>
    <row r="622" spans="1:24" hidden="1" x14ac:dyDescent="0.25">
      <c r="A622" s="21" t="s">
        <v>4337</v>
      </c>
      <c r="B622" s="40" t="s">
        <v>4338</v>
      </c>
      <c r="C622" s="21" t="s">
        <v>244</v>
      </c>
      <c r="D622" s="21" t="s">
        <v>73</v>
      </c>
      <c r="E622" s="21" t="s">
        <v>89</v>
      </c>
      <c r="F622" s="55">
        <v>3.0793576829336123E-4</v>
      </c>
      <c r="G622" s="24">
        <v>4.8952410000000004</v>
      </c>
      <c r="H622" s="24">
        <v>5.7744809999999998</v>
      </c>
      <c r="I622" s="24">
        <v>6.1691279999999997</v>
      </c>
      <c r="J622" s="24">
        <v>5.6488360000000002</v>
      </c>
      <c r="K622" s="24">
        <v>0.48550979999999999</v>
      </c>
      <c r="L622" s="24">
        <v>7.2055660000000001</v>
      </c>
      <c r="M622" s="24">
        <v>2.6739000000000002</v>
      </c>
      <c r="N622" s="24">
        <v>6.2261289062499987</v>
      </c>
      <c r="O622" s="24">
        <v>4.8453608247422677</v>
      </c>
      <c r="P622" s="24">
        <v>7.0984455958549244</v>
      </c>
      <c r="Q622" s="24">
        <v>5.9774227605197003</v>
      </c>
      <c r="R622" s="24">
        <v>1.99</v>
      </c>
      <c r="S622" s="24">
        <v>5.3055387048782006</v>
      </c>
      <c r="T622" s="24">
        <v>0.87092500848179066</v>
      </c>
      <c r="U622" s="24" t="s">
        <v>4339</v>
      </c>
      <c r="V622">
        <v>0</v>
      </c>
      <c r="W622" s="21">
        <v>0</v>
      </c>
      <c r="X622" s="56" t="str">
        <f>IFERROR(VLOOKUP(A622,Output!A:F,6,0),"-")</f>
        <v>-</v>
      </c>
    </row>
    <row r="623" spans="1:24" hidden="1" x14ac:dyDescent="0.25">
      <c r="A623" s="21" t="s">
        <v>1147</v>
      </c>
      <c r="B623" s="40" t="s">
        <v>1148</v>
      </c>
      <c r="C623" s="21" t="s">
        <v>245</v>
      </c>
      <c r="D623" s="21" t="s">
        <v>73</v>
      </c>
      <c r="E623" s="21" t="s">
        <v>102</v>
      </c>
      <c r="F623" s="55">
        <v>3.0714388884849005E-4</v>
      </c>
      <c r="G623" s="24">
        <v>3.378193</v>
      </c>
      <c r="H623" s="24">
        <v>3.3245170000000002</v>
      </c>
      <c r="I623" s="24">
        <v>6.4269540000000003</v>
      </c>
      <c r="J623" s="24">
        <v>3.9772099999999999</v>
      </c>
      <c r="K623" s="24">
        <v>4.4517670000000003</v>
      </c>
      <c r="L623" s="24">
        <v>5.8542940000000003</v>
      </c>
      <c r="M623" s="24">
        <v>1561.059</v>
      </c>
      <c r="N623" s="24">
        <v>2.6368418277008603</v>
      </c>
      <c r="O623" s="24">
        <v>2.7835051546391747</v>
      </c>
      <c r="P623" s="24">
        <v>2.0238095238095237</v>
      </c>
      <c r="Q623" s="24">
        <v>6.5573030894428683</v>
      </c>
      <c r="R623" s="24">
        <v>6.37</v>
      </c>
      <c r="S623" s="24">
        <v>4.7202309917460834</v>
      </c>
      <c r="T623" s="24">
        <v>0.34599579920309981</v>
      </c>
      <c r="U623" s="24" t="s">
        <v>3225</v>
      </c>
      <c r="V623">
        <v>1</v>
      </c>
      <c r="W623" s="21">
        <v>1</v>
      </c>
      <c r="X623" s="56" t="str">
        <f>IFERROR(VLOOKUP(A623,Output!A:F,6,0),"-")</f>
        <v>-</v>
      </c>
    </row>
    <row r="624" spans="1:24" hidden="1" x14ac:dyDescent="0.25">
      <c r="A624" s="21" t="s">
        <v>4368</v>
      </c>
      <c r="B624" s="40" t="s">
        <v>4369</v>
      </c>
      <c r="C624" s="21" t="s">
        <v>244</v>
      </c>
      <c r="D624" s="21" t="s">
        <v>73</v>
      </c>
      <c r="E624" s="21" t="s">
        <v>94</v>
      </c>
      <c r="F624" s="55">
        <v>3.0697818875374957E-4</v>
      </c>
      <c r="G624" s="21">
        <v>4.7608079999999999</v>
      </c>
      <c r="H624" s="21">
        <v>2.4884379999999999</v>
      </c>
      <c r="I624" s="21">
        <v>8.2428050000000006</v>
      </c>
      <c r="J624" s="21">
        <v>5.2446580000000003</v>
      </c>
      <c r="K624" s="24">
        <v>0</v>
      </c>
      <c r="L624" s="24">
        <v>-2.8660969999999999</v>
      </c>
      <c r="M624" s="24">
        <v>1.1956</v>
      </c>
      <c r="N624" s="24">
        <v>1.7113596640810247</v>
      </c>
      <c r="O624" s="24">
        <v>0.2040816326530612</v>
      </c>
      <c r="P624" s="24">
        <v>0.73147253409614088</v>
      </c>
      <c r="Q624" s="24">
        <v>8.1211823908372907</v>
      </c>
      <c r="R624" s="24" t="e">
        <v>#N/A</v>
      </c>
      <c r="S624" s="24">
        <v>2.3026952560904728</v>
      </c>
      <c r="T624" s="24">
        <v>1.5180555656980432</v>
      </c>
      <c r="U624" s="24" t="s">
        <v>4370</v>
      </c>
      <c r="V624">
        <v>0</v>
      </c>
      <c r="W624" s="21">
        <v>0</v>
      </c>
      <c r="X624" s="56" t="str">
        <f>IFERROR(VLOOKUP(A624,Output!A:F,6,0),"-")</f>
        <v>-</v>
      </c>
    </row>
    <row r="625" spans="1:24" hidden="1" x14ac:dyDescent="0.25">
      <c r="A625" s="21" t="s">
        <v>324</v>
      </c>
      <c r="B625" s="40" t="s">
        <v>325</v>
      </c>
      <c r="C625" s="21" t="s">
        <v>247</v>
      </c>
      <c r="D625" s="21" t="s">
        <v>74</v>
      </c>
      <c r="E625" s="21" t="s">
        <v>85</v>
      </c>
      <c r="F625" s="55">
        <v>3.0672365248192592E-4</v>
      </c>
      <c r="G625" s="21">
        <v>7.2170100000000001</v>
      </c>
      <c r="H625" s="21">
        <v>6.4891899999999998</v>
      </c>
      <c r="I625" s="21">
        <v>3.5668299999999999</v>
      </c>
      <c r="J625" s="21">
        <v>5.6847099999999999</v>
      </c>
      <c r="K625" s="24">
        <v>5.9409619999999999</v>
      </c>
      <c r="L625" s="24">
        <v>18.085090000000001</v>
      </c>
      <c r="M625" s="24">
        <v>7.4158999999999997</v>
      </c>
      <c r="N625" s="24">
        <v>3.0580977278653099</v>
      </c>
      <c r="O625" s="24">
        <v>4.545454545454545</v>
      </c>
      <c r="P625" s="24">
        <v>4.1578947368421044</v>
      </c>
      <c r="Q625" s="24">
        <v>8.6328555678059544</v>
      </c>
      <c r="R625" s="24">
        <v>4.21</v>
      </c>
      <c r="S625" s="24">
        <v>5.1278777058867098</v>
      </c>
      <c r="T625" s="24">
        <v>0.51490684759640493</v>
      </c>
      <c r="U625" s="24" t="s">
        <v>3890</v>
      </c>
      <c r="V625">
        <v>0</v>
      </c>
      <c r="W625" s="21">
        <v>0</v>
      </c>
      <c r="X625" s="56" t="str">
        <f>IFERROR(VLOOKUP(A625,Output!A:F,6,0),"-")</f>
        <v>-</v>
      </c>
    </row>
    <row r="626" spans="1:24" x14ac:dyDescent="0.25">
      <c r="A626" s="21" t="s">
        <v>1819</v>
      </c>
      <c r="B626" s="40" t="s">
        <v>1820</v>
      </c>
      <c r="C626" s="21" t="s">
        <v>248</v>
      </c>
      <c r="D626" s="21" t="s">
        <v>75</v>
      </c>
      <c r="E626" s="21" t="s">
        <v>99</v>
      </c>
      <c r="F626" s="55">
        <v>3.0630744040424434E-4</v>
      </c>
      <c r="G626" s="21">
        <v>5.9276140000000002</v>
      </c>
      <c r="H626" s="21">
        <v>6.0927499999999997</v>
      </c>
      <c r="I626" s="21">
        <v>5.4788430000000004</v>
      </c>
      <c r="J626" s="21">
        <v>5.8425240000000001</v>
      </c>
      <c r="K626" s="24">
        <v>1.5520130000000001</v>
      </c>
      <c r="L626" s="24">
        <v>6.169511</v>
      </c>
      <c r="M626" s="24">
        <v>172.95920000000001</v>
      </c>
      <c r="N626" s="24">
        <v>5.6662674469548291</v>
      </c>
      <c r="O626" s="24">
        <v>8.8888888888888893</v>
      </c>
      <c r="P626" s="24">
        <v>2.152466367713004</v>
      </c>
      <c r="Q626" s="24">
        <v>6.3178145179774035</v>
      </c>
      <c r="R626" s="24">
        <v>5.4</v>
      </c>
      <c r="S626" s="24">
        <v>5.488064600802776</v>
      </c>
      <c r="T626" s="24">
        <v>0.56069930105482635</v>
      </c>
      <c r="U626" s="24" t="s">
        <v>3528</v>
      </c>
      <c r="V626">
        <v>0</v>
      </c>
      <c r="W626" s="21">
        <v>0</v>
      </c>
      <c r="X626" s="56" t="str">
        <f>IFERROR(VLOOKUP(A626,Output!A:F,6,0),"-")</f>
        <v>-</v>
      </c>
    </row>
    <row r="627" spans="1:24" x14ac:dyDescent="0.25">
      <c r="A627" s="21" t="s">
        <v>1926</v>
      </c>
      <c r="B627" s="40" t="s">
        <v>1927</v>
      </c>
      <c r="C627" s="21" t="s">
        <v>248</v>
      </c>
      <c r="D627" s="21" t="s">
        <v>75</v>
      </c>
      <c r="E627" s="21" t="s">
        <v>97</v>
      </c>
      <c r="F627" s="55">
        <v>3.0611658850398762E-4</v>
      </c>
      <c r="G627" s="24">
        <v>6.670579</v>
      </c>
      <c r="H627" s="24">
        <v>6.8288510000000002</v>
      </c>
      <c r="I627" s="24">
        <v>5.859775</v>
      </c>
      <c r="J627" s="24">
        <v>6.3779120000000002</v>
      </c>
      <c r="K627" s="24">
        <v>1.4742010000000001</v>
      </c>
      <c r="L627" s="24">
        <v>7.4457500000000003</v>
      </c>
      <c r="M627" s="24">
        <v>39.848599999999998</v>
      </c>
      <c r="N627" s="24">
        <v>4.9049049049049049</v>
      </c>
      <c r="O627" s="24">
        <v>9.1208791208791204</v>
      </c>
      <c r="P627" s="24">
        <v>6.8220338983050857</v>
      </c>
      <c r="Q627" s="24">
        <v>5.5543636398020446</v>
      </c>
      <c r="R627" s="24">
        <v>3.32</v>
      </c>
      <c r="S627" s="24">
        <v>4.9261570765756293</v>
      </c>
      <c r="T627" s="24">
        <v>0.39182723621393112</v>
      </c>
      <c r="U627" s="24" t="s">
        <v>3653</v>
      </c>
      <c r="V627">
        <v>0</v>
      </c>
      <c r="W627" s="21">
        <v>0</v>
      </c>
      <c r="X627" s="56" t="str">
        <f>IFERROR(VLOOKUP(A627,Output!A:F,6,0),"-")</f>
        <v>-</v>
      </c>
    </row>
    <row r="628" spans="1:24" hidden="1" x14ac:dyDescent="0.25">
      <c r="A628" s="21" t="s">
        <v>308</v>
      </c>
      <c r="B628" s="40" t="s">
        <v>827</v>
      </c>
      <c r="C628" s="21" t="s">
        <v>254</v>
      </c>
      <c r="D628" s="21" t="s">
        <v>74</v>
      </c>
      <c r="E628" s="21" t="s">
        <v>88</v>
      </c>
      <c r="F628" s="55">
        <v>3.0604103248021704E-4</v>
      </c>
      <c r="G628" s="24">
        <v>6.5301289999999996</v>
      </c>
      <c r="H628" s="24">
        <v>7.0024449999999998</v>
      </c>
      <c r="I628" s="24">
        <v>7.3107550000000003</v>
      </c>
      <c r="J628" s="24">
        <v>6.9060119999999996</v>
      </c>
      <c r="K628" s="24">
        <v>2.407762</v>
      </c>
      <c r="L628" s="24">
        <v>3.0187409999999999</v>
      </c>
      <c r="M628" s="24">
        <v>65.014600000000002</v>
      </c>
      <c r="N628" s="24">
        <v>1.4370370370370371</v>
      </c>
      <c r="O628" s="24">
        <v>2.2448979591836733</v>
      </c>
      <c r="P628" s="24">
        <v>7.8630136986301373</v>
      </c>
      <c r="Q628" s="24">
        <v>1.0733575069848114</v>
      </c>
      <c r="R628" s="24">
        <v>5.52</v>
      </c>
      <c r="S628" s="24">
        <v>3.8965605486587962</v>
      </c>
      <c r="T628" s="24">
        <v>0.71347453389985405</v>
      </c>
      <c r="U628" s="24" t="s">
        <v>2841</v>
      </c>
      <c r="V628">
        <v>0</v>
      </c>
      <c r="W628" s="21">
        <v>0</v>
      </c>
      <c r="X628" s="56" t="str">
        <f>IFERROR(VLOOKUP(A628,Output!A:F,6,0),"-")</f>
        <v>-</v>
      </c>
    </row>
    <row r="629" spans="1:24" hidden="1" x14ac:dyDescent="0.25">
      <c r="A629" s="21" t="s">
        <v>303</v>
      </c>
      <c r="B629" s="40" t="s">
        <v>304</v>
      </c>
      <c r="C629" s="21" t="s">
        <v>305</v>
      </c>
      <c r="D629" s="21" t="s">
        <v>74</v>
      </c>
      <c r="E629" s="21" t="s">
        <v>85</v>
      </c>
      <c r="F629" s="55">
        <v>3.0579605389448956E-4</v>
      </c>
      <c r="G629" s="24">
        <v>6.535774</v>
      </c>
      <c r="H629" s="24">
        <v>4.965573</v>
      </c>
      <c r="I629" s="24">
        <v>5.6305690000000004</v>
      </c>
      <c r="J629" s="24">
        <v>5.6693819999999997</v>
      </c>
      <c r="K629" s="24">
        <v>7.3658190000000001</v>
      </c>
      <c r="L629" s="24">
        <v>13.99075</v>
      </c>
      <c r="M629" s="24">
        <v>1.3833</v>
      </c>
      <c r="N629" s="24">
        <v>3.8689086076959867</v>
      </c>
      <c r="O629" s="24">
        <v>9.1919191919191903</v>
      </c>
      <c r="P629" s="24">
        <v>4.8157894736842097</v>
      </c>
      <c r="Q629" s="24">
        <v>6.0639470782800444</v>
      </c>
      <c r="R629" s="24">
        <v>6.1500009999999996</v>
      </c>
      <c r="S629" s="24">
        <v>5.5675490020772465</v>
      </c>
      <c r="T629" s="24">
        <v>0.18808800371501957</v>
      </c>
      <c r="U629" s="24" t="s">
        <v>3777</v>
      </c>
      <c r="V629">
        <v>0</v>
      </c>
      <c r="W629" s="21">
        <v>0</v>
      </c>
      <c r="X629" s="56" t="str">
        <f>IFERROR(VLOOKUP(A629,Output!A:F,6,0),"-")</f>
        <v>-</v>
      </c>
    </row>
    <row r="630" spans="1:24" hidden="1" x14ac:dyDescent="0.25">
      <c r="A630" s="21" t="s">
        <v>4353</v>
      </c>
      <c r="B630" s="40" t="s">
        <v>4354</v>
      </c>
      <c r="C630" s="21" t="s">
        <v>298</v>
      </c>
      <c r="D630" s="21" t="s">
        <v>74</v>
      </c>
      <c r="E630" s="21" t="s">
        <v>90</v>
      </c>
      <c r="F630" s="55">
        <v>3.0514401848828835E-4</v>
      </c>
      <c r="G630" s="24">
        <v>0</v>
      </c>
      <c r="H630" s="24">
        <v>6.8505079999999996</v>
      </c>
      <c r="I630" s="24">
        <v>0</v>
      </c>
      <c r="J630" s="24">
        <v>2.2835030000000001</v>
      </c>
      <c r="K630" s="24">
        <v>2.1409699999999998</v>
      </c>
      <c r="L630" s="24">
        <v>2.8879890000000001</v>
      </c>
      <c r="M630" s="24">
        <v>762.8057</v>
      </c>
      <c r="N630" s="24">
        <v>3.965254127720458</v>
      </c>
      <c r="O630" s="24">
        <v>7.3684210526315788</v>
      </c>
      <c r="P630" s="24">
        <v>1.0638297872340425</v>
      </c>
      <c r="Q630" s="24">
        <v>3.2356229479713932</v>
      </c>
      <c r="R630" s="24" t="e">
        <v>#N/A</v>
      </c>
      <c r="S630" s="24">
        <v>2.1367628878856624</v>
      </c>
      <c r="T630" s="24">
        <v>0.36606976736485797</v>
      </c>
      <c r="U630" s="24" t="s">
        <v>4355</v>
      </c>
      <c r="V630">
        <v>0</v>
      </c>
      <c r="W630" s="21">
        <v>1</v>
      </c>
      <c r="X630" s="56" t="str">
        <f>IFERROR(VLOOKUP(A630,Output!A:F,6,0),"-")</f>
        <v>-</v>
      </c>
    </row>
    <row r="631" spans="1:24" hidden="1" x14ac:dyDescent="0.25">
      <c r="A631" s="21" t="s">
        <v>1626</v>
      </c>
      <c r="B631" s="40" t="s">
        <v>1627</v>
      </c>
      <c r="C631" s="21" t="s">
        <v>244</v>
      </c>
      <c r="D631" s="21" t="s">
        <v>73</v>
      </c>
      <c r="E631" s="21" t="s">
        <v>91</v>
      </c>
      <c r="F631" s="55">
        <v>3.0512681465331531E-4</v>
      </c>
      <c r="G631" s="24">
        <v>6.0645249999999997</v>
      </c>
      <c r="H631" s="24">
        <v>5.1220489999999996</v>
      </c>
      <c r="I631" s="24">
        <v>5.7450299999999999</v>
      </c>
      <c r="J631" s="24">
        <v>5.5597370000000002</v>
      </c>
      <c r="K631" s="24">
        <v>0</v>
      </c>
      <c r="L631" s="24">
        <v>0.6460323</v>
      </c>
      <c r="M631" s="24">
        <v>9.2754999999999992</v>
      </c>
      <c r="N631" s="24">
        <v>1.079220107534318</v>
      </c>
      <c r="O631" s="24">
        <v>4.9494949494949498</v>
      </c>
      <c r="P631" s="24">
        <v>2.2972973293251666</v>
      </c>
      <c r="Q631" s="24">
        <v>2.3374508392594935</v>
      </c>
      <c r="R631" s="24" t="e">
        <v>#N/A</v>
      </c>
      <c r="S631" s="24">
        <v>1.3438176538947293</v>
      </c>
      <c r="T631" s="24">
        <v>1.2028807429409281</v>
      </c>
      <c r="U631" s="24" t="s">
        <v>3406</v>
      </c>
      <c r="V631">
        <v>0</v>
      </c>
      <c r="W631" s="21">
        <v>0</v>
      </c>
      <c r="X631" s="56" t="str">
        <f>IFERROR(VLOOKUP(A631,Output!A:F,6,0),"-")</f>
        <v>-</v>
      </c>
    </row>
    <row r="632" spans="1:24" hidden="1" x14ac:dyDescent="0.25">
      <c r="A632" s="21" t="s">
        <v>276</v>
      </c>
      <c r="B632" s="40" t="s">
        <v>277</v>
      </c>
      <c r="C632" s="21" t="s">
        <v>244</v>
      </c>
      <c r="D632" s="21" t="s">
        <v>73</v>
      </c>
      <c r="E632" s="21" t="s">
        <v>85</v>
      </c>
      <c r="F632" s="55">
        <v>3.0502650925291676E-4</v>
      </c>
      <c r="G632" s="24">
        <v>3.4415939999999998</v>
      </c>
      <c r="H632" s="24">
        <v>5.7702249999999999</v>
      </c>
      <c r="I632" s="24">
        <v>4.2245790000000003</v>
      </c>
      <c r="J632" s="24">
        <v>4.5306600000000001</v>
      </c>
      <c r="K632" s="24">
        <v>4.6894460000000002</v>
      </c>
      <c r="L632" s="24">
        <v>9.8271680000000003</v>
      </c>
      <c r="M632" s="24">
        <v>11.484500000000001</v>
      </c>
      <c r="N632" s="24">
        <v>2.370876302083333</v>
      </c>
      <c r="O632" s="24">
        <v>4.1237113402061851</v>
      </c>
      <c r="P632" s="24">
        <v>3.9378238341968919</v>
      </c>
      <c r="Q632" s="24">
        <v>6.7685456428703521</v>
      </c>
      <c r="R632" s="24">
        <v>6.05</v>
      </c>
      <c r="S632" s="24">
        <v>4.8927187710217108</v>
      </c>
      <c r="T632" s="24">
        <v>1.3000170558465729</v>
      </c>
      <c r="U632" s="24" t="s">
        <v>3121</v>
      </c>
      <c r="V632">
        <v>0</v>
      </c>
      <c r="W632" s="21">
        <v>1</v>
      </c>
      <c r="X632" s="56" t="str">
        <f>IFERROR(VLOOKUP(A632,Output!A:F,6,0),"-")</f>
        <v>-</v>
      </c>
    </row>
    <row r="633" spans="1:24" hidden="1" x14ac:dyDescent="0.25">
      <c r="A633" s="21" t="s">
        <v>2160</v>
      </c>
      <c r="B633" s="40" t="s">
        <v>2161</v>
      </c>
      <c r="C633" s="21" t="s">
        <v>257</v>
      </c>
      <c r="D633" s="21" t="s">
        <v>74</v>
      </c>
      <c r="E633" s="21" t="s">
        <v>97</v>
      </c>
      <c r="F633" s="55">
        <v>3.0416671993315202E-4</v>
      </c>
      <c r="G633" s="24">
        <v>4.5880049999999999</v>
      </c>
      <c r="H633" s="24">
        <v>4.7623220000000002</v>
      </c>
      <c r="I633" s="24">
        <v>8.5245379999999997</v>
      </c>
      <c r="J633" s="24">
        <v>6.1974819999999999</v>
      </c>
      <c r="K633" s="24">
        <v>3.9306950000000001</v>
      </c>
      <c r="L633" s="24">
        <v>6.8467099999999999</v>
      </c>
      <c r="M633" s="24">
        <v>166.24420000000001</v>
      </c>
      <c r="N633" s="24">
        <v>0</v>
      </c>
      <c r="O633" s="24">
        <v>4.1975308641975309</v>
      </c>
      <c r="P633" s="24">
        <v>0</v>
      </c>
      <c r="Q633" s="24">
        <v>6.3238742663465608</v>
      </c>
      <c r="R633" s="24">
        <v>5.25</v>
      </c>
      <c r="S633" s="24">
        <v>2.5891042065391443</v>
      </c>
      <c r="T633" s="24">
        <v>0.89398241561175296</v>
      </c>
      <c r="U633" s="24" t="s">
        <v>3748</v>
      </c>
      <c r="V633">
        <v>0</v>
      </c>
      <c r="W633" s="21">
        <v>0</v>
      </c>
      <c r="X633" s="56" t="str">
        <f>IFERROR(VLOOKUP(A633,Output!A:F,6,0),"-")</f>
        <v>-</v>
      </c>
    </row>
    <row r="634" spans="1:24" hidden="1" x14ac:dyDescent="0.25">
      <c r="A634" s="21" t="s">
        <v>2320</v>
      </c>
      <c r="B634" s="40" t="s">
        <v>2321</v>
      </c>
      <c r="C634" s="21" t="s">
        <v>247</v>
      </c>
      <c r="D634" s="21" t="s">
        <v>74</v>
      </c>
      <c r="E634" s="21" t="s">
        <v>90</v>
      </c>
      <c r="F634" s="55">
        <v>3.0308971962094957E-4</v>
      </c>
      <c r="G634" s="21">
        <v>7.5187720000000002</v>
      </c>
      <c r="H634" s="21">
        <v>7.1449259999999999</v>
      </c>
      <c r="I634" s="21">
        <v>7.3637740000000003</v>
      </c>
      <c r="J634" s="21">
        <v>7.3601190000000001</v>
      </c>
      <c r="K634" s="24">
        <v>8.7001329999999992</v>
      </c>
      <c r="L634" s="24">
        <v>18.055260000000001</v>
      </c>
      <c r="M634" s="24">
        <v>14.6953</v>
      </c>
      <c r="N634" s="24">
        <v>9.6159707172185751</v>
      </c>
      <c r="O634" s="24">
        <v>5.4736842105263159</v>
      </c>
      <c r="P634" s="24">
        <v>8.6382978723404253</v>
      </c>
      <c r="Q634" s="24">
        <v>7.6522630173827491</v>
      </c>
      <c r="R634" s="24">
        <v>7.31</v>
      </c>
      <c r="S634" s="24">
        <v>8.6358828705932993</v>
      </c>
      <c r="T634" s="24">
        <v>0.11401899338204737</v>
      </c>
      <c r="U634" s="24" t="s">
        <v>3839</v>
      </c>
      <c r="V634">
        <v>1</v>
      </c>
      <c r="W634" s="21">
        <v>0</v>
      </c>
      <c r="X634" s="56" t="str">
        <f>IFERROR(VLOOKUP(A634,Output!A:F,6,0),"-")</f>
        <v>-</v>
      </c>
    </row>
    <row r="635" spans="1:24" hidden="1" x14ac:dyDescent="0.25">
      <c r="A635" s="21" t="s">
        <v>312</v>
      </c>
      <c r="B635" s="40" t="s">
        <v>313</v>
      </c>
      <c r="C635" s="21" t="s">
        <v>247</v>
      </c>
      <c r="D635" s="21" t="s">
        <v>74</v>
      </c>
      <c r="E635" s="21" t="s">
        <v>85</v>
      </c>
      <c r="F635" s="55">
        <v>3.0246867123914431E-4</v>
      </c>
      <c r="G635" s="24">
        <v>5.7670890000000004</v>
      </c>
      <c r="H635" s="24">
        <v>5.5364250000000004</v>
      </c>
      <c r="I635" s="24">
        <v>5.7869970000000004</v>
      </c>
      <c r="J635" s="24">
        <v>5.6933239999999996</v>
      </c>
      <c r="K635" s="24">
        <v>3.5811820000000001</v>
      </c>
      <c r="L635" s="24">
        <v>17.7209</v>
      </c>
      <c r="M635" s="24">
        <v>6.8907999999999996</v>
      </c>
      <c r="N635" s="24">
        <v>8.9444570286832974</v>
      </c>
      <c r="O635" s="24">
        <v>1.8181818181818183</v>
      </c>
      <c r="P635" s="24">
        <v>2.4473684210526319</v>
      </c>
      <c r="Q635" s="24">
        <v>8.7651609702315323</v>
      </c>
      <c r="R635" s="24">
        <v>4.0599999999999996</v>
      </c>
      <c r="S635" s="24">
        <v>5.2757569840915348</v>
      </c>
      <c r="T635" s="24">
        <v>0.44409998864071204</v>
      </c>
      <c r="U635" s="24" t="s">
        <v>3834</v>
      </c>
      <c r="V635">
        <v>0</v>
      </c>
      <c r="W635" s="21">
        <v>0</v>
      </c>
      <c r="X635" s="56" t="str">
        <f>IFERROR(VLOOKUP(A635,Output!A:F,6,0),"-")</f>
        <v>-</v>
      </c>
    </row>
    <row r="636" spans="1:24" x14ac:dyDescent="0.25">
      <c r="A636" s="21" t="s">
        <v>2383</v>
      </c>
      <c r="B636" s="40" t="s">
        <v>2384</v>
      </c>
      <c r="C636" s="21" t="s">
        <v>248</v>
      </c>
      <c r="D636" s="21" t="s">
        <v>75</v>
      </c>
      <c r="E636" s="21" t="s">
        <v>91</v>
      </c>
      <c r="F636" s="55">
        <v>3.0150726862509419E-4</v>
      </c>
      <c r="G636" s="24">
        <v>6.0561639999999999</v>
      </c>
      <c r="H636" s="24">
        <v>7.1032679999999999</v>
      </c>
      <c r="I636" s="24">
        <v>6.591113</v>
      </c>
      <c r="J636" s="24">
        <v>6.6889849999999997</v>
      </c>
      <c r="K636" s="24">
        <v>4.2696160000000001</v>
      </c>
      <c r="L636" s="24">
        <v>2.1410119999999999</v>
      </c>
      <c r="M636" s="24">
        <v>17.485700000000001</v>
      </c>
      <c r="N636" s="24">
        <v>0.6379740501073804</v>
      </c>
      <c r="O636" s="24">
        <v>0.2564102564102565</v>
      </c>
      <c r="P636" s="24">
        <v>3.0314960629921255</v>
      </c>
      <c r="Q636" s="24">
        <v>4.8496711033605866</v>
      </c>
      <c r="R636" s="24">
        <v>9.15</v>
      </c>
      <c r="S636" s="24">
        <v>4.2252898908112861</v>
      </c>
      <c r="T636" s="24">
        <v>0.30611967156191783</v>
      </c>
      <c r="U636" s="24" t="s">
        <v>3877</v>
      </c>
      <c r="V636">
        <v>0</v>
      </c>
      <c r="W636" s="21">
        <v>0</v>
      </c>
      <c r="X636" s="56" t="str">
        <f>IFERROR(VLOOKUP(A636,Output!A:F,6,0),"-")</f>
        <v>-</v>
      </c>
    </row>
    <row r="637" spans="1:24" x14ac:dyDescent="0.25">
      <c r="A637" s="21" t="s">
        <v>1982</v>
      </c>
      <c r="B637" s="40" t="s">
        <v>1983</v>
      </c>
      <c r="C637" s="21" t="s">
        <v>248</v>
      </c>
      <c r="D637" s="21" t="s">
        <v>75</v>
      </c>
      <c r="E637" s="21" t="s">
        <v>99</v>
      </c>
      <c r="F637" s="55">
        <v>3.0015510756054486E-4</v>
      </c>
      <c r="G637" s="24">
        <v>4.4888089999999998</v>
      </c>
      <c r="H637" s="24">
        <v>5.7289000000000003</v>
      </c>
      <c r="I637" s="24">
        <v>2.197991</v>
      </c>
      <c r="J637" s="24">
        <v>4.1735910000000001</v>
      </c>
      <c r="K637" s="24">
        <v>0.4711535</v>
      </c>
      <c r="L637" s="24">
        <v>2.550122</v>
      </c>
      <c r="M637" s="24">
        <v>14.3743</v>
      </c>
      <c r="N637" s="24">
        <v>10</v>
      </c>
      <c r="O637" s="24">
        <v>8.2222222222222214</v>
      </c>
      <c r="P637" s="24">
        <v>8.7892376681614337</v>
      </c>
      <c r="Q637" s="24">
        <v>0</v>
      </c>
      <c r="R637" s="24">
        <v>3.7</v>
      </c>
      <c r="S637" s="24">
        <v>4.0497460037603776</v>
      </c>
      <c r="T637" s="24">
        <v>0.8795219163211474</v>
      </c>
      <c r="U637" s="24" t="s">
        <v>3529</v>
      </c>
      <c r="V637">
        <v>0</v>
      </c>
      <c r="W637" s="21">
        <v>1</v>
      </c>
      <c r="X637" s="56" t="str">
        <f>IFERROR(VLOOKUP(A637,Output!A:F,6,0),"-")</f>
        <v>-</v>
      </c>
    </row>
    <row r="638" spans="1:24" hidden="1" x14ac:dyDescent="0.25">
      <c r="A638" s="21" t="s">
        <v>4330</v>
      </c>
      <c r="B638" s="40" t="s">
        <v>4331</v>
      </c>
      <c r="C638" s="21" t="s">
        <v>244</v>
      </c>
      <c r="D638" s="21" t="s">
        <v>73</v>
      </c>
      <c r="E638" s="21" t="s">
        <v>92</v>
      </c>
      <c r="F638" s="55">
        <v>2.9947550577549793E-4</v>
      </c>
      <c r="G638" s="24">
        <v>9.4532740000000004</v>
      </c>
      <c r="H638" s="24">
        <v>7.6855830000000003</v>
      </c>
      <c r="I638" s="24">
        <v>7.3466230000000001</v>
      </c>
      <c r="J638" s="24">
        <v>8.290972</v>
      </c>
      <c r="K638" s="24">
        <v>0.76106750000000001</v>
      </c>
      <c r="L638" s="24">
        <v>5.8237920000000001</v>
      </c>
      <c r="M638" s="24">
        <v>10.6114</v>
      </c>
      <c r="N638" s="24">
        <v>6.787404829545455</v>
      </c>
      <c r="O638" s="24">
        <v>5.8585858585858581</v>
      </c>
      <c r="P638" s="24">
        <v>5.303810523980184</v>
      </c>
      <c r="Q638" s="24">
        <v>7.6699410671621981</v>
      </c>
      <c r="R638" s="24">
        <v>4.83</v>
      </c>
      <c r="S638" s="24">
        <v>6.2913068081271399</v>
      </c>
      <c r="T638" s="24">
        <v>0.99089988259890038</v>
      </c>
      <c r="U638" s="24" t="s">
        <v>4332</v>
      </c>
      <c r="V638">
        <v>0</v>
      </c>
      <c r="W638" s="21">
        <v>0</v>
      </c>
      <c r="X638" s="56" t="str">
        <f>IFERROR(VLOOKUP(A638,Output!A:F,6,0),"-")</f>
        <v>-</v>
      </c>
    </row>
    <row r="639" spans="1:24" hidden="1" x14ac:dyDescent="0.25">
      <c r="A639" s="21" t="s">
        <v>4322</v>
      </c>
      <c r="B639" s="40" t="s">
        <v>4593</v>
      </c>
      <c r="C639" s="21" t="s">
        <v>244</v>
      </c>
      <c r="D639" s="21" t="s">
        <v>73</v>
      </c>
      <c r="E639" s="21" t="s">
        <v>86</v>
      </c>
      <c r="F639" s="55">
        <v>2.9793088309513891E-4</v>
      </c>
      <c r="G639" s="21">
        <v>3.3310689999999998</v>
      </c>
      <c r="H639" s="21">
        <v>4.0834960000000002</v>
      </c>
      <c r="I639" s="21">
        <v>5.1261359999999998</v>
      </c>
      <c r="J639" s="21">
        <v>4.1802330000000003</v>
      </c>
      <c r="K639" s="24">
        <v>1.3210040000000001</v>
      </c>
      <c r="L639" s="24">
        <v>7.3331030000000004</v>
      </c>
      <c r="M639" s="24">
        <v>22.613399999999999</v>
      </c>
      <c r="N639" s="24">
        <v>5.9814052676345693</v>
      </c>
      <c r="O639" s="24">
        <v>9.072164948453608</v>
      </c>
      <c r="P639" s="24">
        <v>9.1111111111111125</v>
      </c>
      <c r="Q639" s="24">
        <v>5.7763404170519106</v>
      </c>
      <c r="R639" s="24">
        <v>7.34</v>
      </c>
      <c r="S639" s="24">
        <v>7.2375294880341716</v>
      </c>
      <c r="T639" s="24">
        <v>1.2228102146199791</v>
      </c>
      <c r="U639" s="24" t="s">
        <v>4323</v>
      </c>
      <c r="V639">
        <v>0</v>
      </c>
      <c r="W639" s="21">
        <v>1</v>
      </c>
      <c r="X639" s="56" t="str">
        <f>IFERROR(VLOOKUP(A639,Output!A:F,6,0),"-")</f>
        <v>-</v>
      </c>
    </row>
    <row r="640" spans="1:24" x14ac:dyDescent="0.25">
      <c r="A640" s="21" t="s">
        <v>1823</v>
      </c>
      <c r="B640" s="40" t="s">
        <v>1824</v>
      </c>
      <c r="C640" s="21" t="s">
        <v>248</v>
      </c>
      <c r="D640" s="21" t="s">
        <v>75</v>
      </c>
      <c r="E640" s="21" t="s">
        <v>93</v>
      </c>
      <c r="F640" s="55">
        <v>2.970053972593659E-4</v>
      </c>
      <c r="G640" s="24">
        <v>3.832687</v>
      </c>
      <c r="H640" s="24">
        <v>4.6274819999999997</v>
      </c>
      <c r="I640" s="24">
        <v>5.4530269999999996</v>
      </c>
      <c r="J640" s="24">
        <v>4.6779840000000004</v>
      </c>
      <c r="K640" s="24">
        <v>3.2499189999999998</v>
      </c>
      <c r="L640" s="24">
        <v>17.085979999999999</v>
      </c>
      <c r="M640" s="24">
        <v>5.1395999999999997</v>
      </c>
      <c r="N640" s="24">
        <v>7.3397134098578309</v>
      </c>
      <c r="O640" s="24">
        <v>9.89247311827957</v>
      </c>
      <c r="P640" s="24">
        <v>4.0147337016574589</v>
      </c>
      <c r="Q640" s="24">
        <v>10</v>
      </c>
      <c r="R640" s="24">
        <v>5.21</v>
      </c>
      <c r="S640" s="24">
        <v>6.586317005975971</v>
      </c>
      <c r="T640" s="24">
        <v>0.28450691419825092</v>
      </c>
      <c r="U640" s="24" t="s">
        <v>3592</v>
      </c>
      <c r="V640">
        <v>0</v>
      </c>
      <c r="W640" s="21">
        <v>0</v>
      </c>
      <c r="X640" s="56">
        <f>IFERROR(VLOOKUP(A640,Output!A:F,6,0),"-")</f>
        <v>5.0000000000000001E-3</v>
      </c>
    </row>
    <row r="641" spans="1:24" hidden="1" x14ac:dyDescent="0.25">
      <c r="A641" s="21" t="s">
        <v>111</v>
      </c>
      <c r="B641" s="40" t="s">
        <v>180</v>
      </c>
      <c r="C641" s="21" t="s">
        <v>244</v>
      </c>
      <c r="D641" s="21" t="s">
        <v>73</v>
      </c>
      <c r="E641" s="21" t="s">
        <v>85</v>
      </c>
      <c r="F641" s="55">
        <v>2.9569398211975274E-4</v>
      </c>
      <c r="G641" s="24">
        <v>2.7288990000000002</v>
      </c>
      <c r="H641" s="24">
        <v>5.3719970000000004</v>
      </c>
      <c r="I641" s="24">
        <v>3.7527729999999999</v>
      </c>
      <c r="J641" s="24">
        <v>4.0123389999999999</v>
      </c>
      <c r="K641" s="24">
        <v>4.7445969999999997</v>
      </c>
      <c r="L641" s="24">
        <v>10.386049999999999</v>
      </c>
      <c r="M641" s="24">
        <v>10.672800000000001</v>
      </c>
      <c r="N641" s="24">
        <v>1.8250872395833335</v>
      </c>
      <c r="O641" s="24">
        <v>2.7835051546391747</v>
      </c>
      <c r="P641" s="24">
        <v>4.9222797927461146</v>
      </c>
      <c r="Q641" s="24">
        <v>7.0411815708214585</v>
      </c>
      <c r="R641" s="24">
        <v>7.34</v>
      </c>
      <c r="S641" s="24">
        <v>5.0727773357852532</v>
      </c>
      <c r="T641" s="24">
        <v>1.4130175777466667</v>
      </c>
      <c r="U641" s="24" t="s">
        <v>3150</v>
      </c>
      <c r="V641">
        <v>0</v>
      </c>
      <c r="W641" s="21">
        <v>1</v>
      </c>
      <c r="X641" s="56" t="str">
        <f>IFERROR(VLOOKUP(A641,Output!A:F,6,0),"-")</f>
        <v>-</v>
      </c>
    </row>
    <row r="642" spans="1:24" hidden="1" x14ac:dyDescent="0.25">
      <c r="A642" s="21" t="s">
        <v>1242</v>
      </c>
      <c r="B642" s="40" t="s">
        <v>1243</v>
      </c>
      <c r="C642" s="21" t="s">
        <v>244</v>
      </c>
      <c r="D642" s="21" t="s">
        <v>73</v>
      </c>
      <c r="E642" s="21" t="s">
        <v>90</v>
      </c>
      <c r="F642" s="55">
        <v>2.9472775035904356E-4</v>
      </c>
      <c r="G642" s="24">
        <v>7.0495559999999999</v>
      </c>
      <c r="H642" s="24">
        <v>5.8427939999999996</v>
      </c>
      <c r="I642" s="24">
        <v>7.7541440000000001</v>
      </c>
      <c r="J642" s="24">
        <v>6.8989039999999999</v>
      </c>
      <c r="K642" s="24">
        <v>2.14812</v>
      </c>
      <c r="L642" s="24">
        <v>4.476305</v>
      </c>
      <c r="M642" s="24">
        <v>15.8329</v>
      </c>
      <c r="N642" s="24">
        <v>2.6508046142754149</v>
      </c>
      <c r="O642" s="24">
        <v>2.7835051546391747</v>
      </c>
      <c r="P642" s="24">
        <v>1.1618257261410785</v>
      </c>
      <c r="Q642" s="24">
        <v>2.1916788579518638</v>
      </c>
      <c r="R642" s="24">
        <v>5.13</v>
      </c>
      <c r="S642" s="24">
        <v>1.8838807635923493</v>
      </c>
      <c r="T642" s="24">
        <v>0.50486622749854493</v>
      </c>
      <c r="U642" s="24" t="s">
        <v>3267</v>
      </c>
      <c r="V642">
        <v>0</v>
      </c>
      <c r="W642" s="21">
        <v>0</v>
      </c>
      <c r="X642" s="56" t="str">
        <f>IFERROR(VLOOKUP(A642,Output!A:F,6,0),"-")</f>
        <v>-</v>
      </c>
    </row>
    <row r="643" spans="1:24" hidden="1" x14ac:dyDescent="0.25">
      <c r="A643" s="21" t="s">
        <v>4539</v>
      </c>
      <c r="B643" s="40" t="s">
        <v>4540</v>
      </c>
      <c r="C643" s="21" t="s">
        <v>244</v>
      </c>
      <c r="D643" s="21" t="s">
        <v>73</v>
      </c>
      <c r="E643" s="21" t="s">
        <v>98</v>
      </c>
      <c r="F643" s="55">
        <v>2.9444051674004884E-4</v>
      </c>
      <c r="G643" s="24">
        <v>7.6022910000000001</v>
      </c>
      <c r="H643" s="24">
        <v>4.8680659999999998</v>
      </c>
      <c r="I643" s="24">
        <v>7.3490200000000003</v>
      </c>
      <c r="J643" s="24">
        <v>6.407292</v>
      </c>
      <c r="K643" s="24">
        <v>1.4085639999999999</v>
      </c>
      <c r="L643" s="24">
        <v>7.3828459999999998</v>
      </c>
      <c r="M643" s="53">
        <v>17.271699999999999</v>
      </c>
      <c r="N643" s="24">
        <v>6.7440898216367966</v>
      </c>
      <c r="O643" s="24">
        <v>9.1836734693877542</v>
      </c>
      <c r="P643" s="24">
        <v>9.6535129919288281</v>
      </c>
      <c r="Q643" s="24">
        <v>4.3602408752029582</v>
      </c>
      <c r="R643" s="24">
        <v>7.64</v>
      </c>
      <c r="S643" s="24">
        <v>6.5006533307460996</v>
      </c>
      <c r="T643" s="24">
        <v>1.564039329131379</v>
      </c>
      <c r="U643" s="24" t="s">
        <v>4541</v>
      </c>
      <c r="V643">
        <v>0</v>
      </c>
      <c r="W643" s="21">
        <v>0</v>
      </c>
      <c r="X643" s="56">
        <f>IFERROR(VLOOKUP(A643,Output!A:F,6,0),"-")</f>
        <v>2.0000000000001202E-3</v>
      </c>
    </row>
    <row r="644" spans="1:24" hidden="1" x14ac:dyDescent="0.25">
      <c r="A644" s="21" t="s">
        <v>1284</v>
      </c>
      <c r="B644" s="40" t="s">
        <v>1285</v>
      </c>
      <c r="C644" s="21" t="s">
        <v>244</v>
      </c>
      <c r="D644" s="21" t="s">
        <v>73</v>
      </c>
      <c r="E644" s="21" t="s">
        <v>91</v>
      </c>
      <c r="F644" s="55">
        <v>2.940065977912839E-4</v>
      </c>
      <c r="G644" s="24">
        <v>3.969595</v>
      </c>
      <c r="H644" s="24">
        <v>4.706334</v>
      </c>
      <c r="I644" s="24">
        <v>4.7356259999999999</v>
      </c>
      <c r="J644" s="24">
        <v>4.570703</v>
      </c>
      <c r="K644" s="24">
        <v>0</v>
      </c>
      <c r="L644" s="24">
        <v>-2.1363699999999999</v>
      </c>
      <c r="M644" s="24">
        <v>71.419700000000006</v>
      </c>
      <c r="N644" s="24">
        <v>0.25947276606449909</v>
      </c>
      <c r="O644" s="24">
        <v>1.4141414141414141</v>
      </c>
      <c r="P644" s="24">
        <v>2.7650727951556222</v>
      </c>
      <c r="Q644" s="24">
        <v>4.8576281922091376</v>
      </c>
      <c r="R644" s="24" t="e">
        <v>#N/A</v>
      </c>
      <c r="S644" s="24">
        <v>1.9244778055969176</v>
      </c>
      <c r="T644" s="24">
        <v>0.79714536953877713</v>
      </c>
      <c r="U644" s="24" t="s">
        <v>3281</v>
      </c>
      <c r="V644">
        <v>0</v>
      </c>
      <c r="W644" s="21">
        <v>1</v>
      </c>
      <c r="X644" s="56" t="str">
        <f>IFERROR(VLOOKUP(A644,Output!A:F,6,0),"-")</f>
        <v>-</v>
      </c>
    </row>
    <row r="645" spans="1:24" hidden="1" x14ac:dyDescent="0.25">
      <c r="A645" s="21" t="s">
        <v>4564</v>
      </c>
      <c r="B645" s="40" t="s">
        <v>1105</v>
      </c>
      <c r="C645" s="21" t="s">
        <v>244</v>
      </c>
      <c r="D645" s="21" t="s">
        <v>73</v>
      </c>
      <c r="E645" s="21" t="s">
        <v>91</v>
      </c>
      <c r="F645" s="55">
        <v>2.9346180968380363E-4</v>
      </c>
      <c r="G645" s="21">
        <v>3.8496160000000001</v>
      </c>
      <c r="H645" s="21">
        <v>5.5863899999999997</v>
      </c>
      <c r="I645" s="21">
        <v>6.2990519999999997</v>
      </c>
      <c r="J645" s="21">
        <v>5.5240989999999996</v>
      </c>
      <c r="K645" s="24">
        <v>2.5494599999999999E-3</v>
      </c>
      <c r="L645" s="24">
        <v>4.4698120000000001</v>
      </c>
      <c r="M645" s="24">
        <v>45.494199999999999</v>
      </c>
      <c r="N645" s="24">
        <v>4.5235366683318787</v>
      </c>
      <c r="O645" s="24">
        <v>7.5757575757575761</v>
      </c>
      <c r="P645" s="24">
        <v>2.453222484601985</v>
      </c>
      <c r="Q645" s="24">
        <v>3.6760429562663743</v>
      </c>
      <c r="R645" s="24">
        <v>3.07</v>
      </c>
      <c r="S645" s="24">
        <v>3.820232287617968</v>
      </c>
      <c r="T645" s="24">
        <v>0.7266265926822908</v>
      </c>
      <c r="U645" s="24" t="s">
        <v>3197</v>
      </c>
      <c r="V645">
        <v>0</v>
      </c>
      <c r="W645" s="21">
        <v>0</v>
      </c>
      <c r="X645" s="56" t="str">
        <f>IFERROR(VLOOKUP(A645,Output!A:F,6,0),"-")</f>
        <v>-</v>
      </c>
    </row>
    <row r="646" spans="1:24" x14ac:dyDescent="0.25">
      <c r="A646" s="21" t="s">
        <v>2170</v>
      </c>
      <c r="B646" s="40" t="s">
        <v>2171</v>
      </c>
      <c r="C646" s="21" t="s">
        <v>248</v>
      </c>
      <c r="D646" s="21" t="s">
        <v>75</v>
      </c>
      <c r="E646" s="21" t="s">
        <v>99</v>
      </c>
      <c r="F646" s="55">
        <v>2.9311883966378515E-4</v>
      </c>
      <c r="G646" s="21">
        <v>3.8666070000000001</v>
      </c>
      <c r="H646" s="21">
        <v>6.4212610000000003</v>
      </c>
      <c r="I646" s="21">
        <v>3.8082549999999999</v>
      </c>
      <c r="J646" s="21">
        <v>4.6154979999999997</v>
      </c>
      <c r="K646" s="24">
        <v>2.5367829999999998</v>
      </c>
      <c r="L646" s="24">
        <v>3.9983</v>
      </c>
      <c r="M646" s="24">
        <v>66.147599999999997</v>
      </c>
      <c r="N646" s="24">
        <v>1.2875150832842184</v>
      </c>
      <c r="O646" s="24">
        <v>2.4444444444444446</v>
      </c>
      <c r="P646" s="24">
        <v>1.2556053811659187</v>
      </c>
      <c r="Q646" s="24">
        <v>5.1438394598612014</v>
      </c>
      <c r="R646" s="24">
        <v>6.12</v>
      </c>
      <c r="S646" s="24">
        <v>4.3012736311630668</v>
      </c>
      <c r="T646" s="24">
        <v>0.26793171566003876</v>
      </c>
      <c r="U646" s="24" t="s">
        <v>3756</v>
      </c>
      <c r="V646">
        <v>0</v>
      </c>
      <c r="W646" s="21">
        <v>1</v>
      </c>
      <c r="X646" s="56" t="str">
        <f>IFERROR(VLOOKUP(A646,Output!A:F,6,0),"-")</f>
        <v>-</v>
      </c>
    </row>
    <row r="647" spans="1:24" hidden="1" x14ac:dyDescent="0.25">
      <c r="A647" s="21" t="s">
        <v>1134</v>
      </c>
      <c r="B647" s="40" t="s">
        <v>1135</v>
      </c>
      <c r="C647" s="21" t="s">
        <v>244</v>
      </c>
      <c r="D647" s="21" t="s">
        <v>73</v>
      </c>
      <c r="E647" s="21" t="s">
        <v>91</v>
      </c>
      <c r="F647" s="55">
        <v>2.9299680310342069E-4</v>
      </c>
      <c r="G647" s="24">
        <v>5.2170740000000002</v>
      </c>
      <c r="H647" s="24">
        <v>5.1019500000000004</v>
      </c>
      <c r="I647" s="24">
        <v>5.6006970000000003</v>
      </c>
      <c r="J647" s="24">
        <v>5.3244730000000002</v>
      </c>
      <c r="K647" s="24">
        <v>0</v>
      </c>
      <c r="L647" s="24">
        <v>5.716901</v>
      </c>
      <c r="M647" s="24">
        <v>7.3478000000000003</v>
      </c>
      <c r="N647" s="24">
        <v>1.017222409439962</v>
      </c>
      <c r="O647" s="24">
        <v>6.4646464646464654</v>
      </c>
      <c r="P647" s="24">
        <v>6.1642411801902668</v>
      </c>
      <c r="Q647" s="24">
        <v>5.9770235798808047</v>
      </c>
      <c r="R647" s="24" t="e">
        <v>#N/A</v>
      </c>
      <c r="S647" s="24">
        <v>5.0442886911764484</v>
      </c>
      <c r="T647" s="24">
        <v>0.61226207224689555</v>
      </c>
      <c r="U647" s="24" t="s">
        <v>3238</v>
      </c>
      <c r="V647">
        <v>0</v>
      </c>
      <c r="W647" s="21">
        <v>0</v>
      </c>
      <c r="X647" s="56" t="str">
        <f>IFERROR(VLOOKUP(A647,Output!A:F,6,0),"-")</f>
        <v>-</v>
      </c>
    </row>
    <row r="648" spans="1:24" hidden="1" x14ac:dyDescent="0.25">
      <c r="A648" s="21" t="s">
        <v>627</v>
      </c>
      <c r="B648" s="40" t="s">
        <v>883</v>
      </c>
      <c r="C648" s="21" t="s">
        <v>244</v>
      </c>
      <c r="D648" s="21" t="s">
        <v>73</v>
      </c>
      <c r="E648" s="21" t="s">
        <v>88</v>
      </c>
      <c r="F648" s="55">
        <v>2.9268884439668071E-4</v>
      </c>
      <c r="G648" s="21">
        <v>5.4261980000000003</v>
      </c>
      <c r="H648" s="21">
        <v>4.7279530000000003</v>
      </c>
      <c r="I648" s="21">
        <v>2.4802240000000002</v>
      </c>
      <c r="J648" s="21">
        <v>4.3329319999999996</v>
      </c>
      <c r="K648" s="24">
        <v>1.5146409999999999</v>
      </c>
      <c r="L648" s="24">
        <v>6.3233949999999997</v>
      </c>
      <c r="M648" s="24">
        <v>17.869</v>
      </c>
      <c r="N648" s="24">
        <v>1.8229161931818183</v>
      </c>
      <c r="O648" s="24">
        <v>9.4949494949494948</v>
      </c>
      <c r="P648" s="24">
        <v>7.5798150460151801</v>
      </c>
      <c r="Q648" s="24">
        <v>6.6940982213963371</v>
      </c>
      <c r="R648" s="24">
        <v>5.47</v>
      </c>
      <c r="S648" s="24">
        <v>5.9730670221157665</v>
      </c>
      <c r="T648" s="24">
        <v>1.2250123790362799</v>
      </c>
      <c r="U648" s="24" t="s">
        <v>3024</v>
      </c>
      <c r="V648">
        <v>0</v>
      </c>
      <c r="W648" s="21">
        <v>1</v>
      </c>
      <c r="X648" s="56" t="str">
        <f>IFERROR(VLOOKUP(A648,Output!A:F,6,0),"-")</f>
        <v>-</v>
      </c>
    </row>
    <row r="649" spans="1:24" x14ac:dyDescent="0.25">
      <c r="A649" s="21" t="s">
        <v>2338</v>
      </c>
      <c r="B649" s="40" t="s">
        <v>2339</v>
      </c>
      <c r="C649" s="21" t="s">
        <v>248</v>
      </c>
      <c r="D649" s="21" t="s">
        <v>75</v>
      </c>
      <c r="E649" s="21" t="s">
        <v>92</v>
      </c>
      <c r="F649" s="55">
        <v>2.9252928134248612E-4</v>
      </c>
      <c r="G649" s="24">
        <v>3.4876710000000002</v>
      </c>
      <c r="H649" s="24">
        <v>4.6875099999999996</v>
      </c>
      <c r="I649" s="24">
        <v>1.5131749999999999</v>
      </c>
      <c r="J649" s="24">
        <v>3.255274</v>
      </c>
      <c r="K649" s="24">
        <v>0.77321530000000005</v>
      </c>
      <c r="L649" s="24">
        <v>9.861008</v>
      </c>
      <c r="M649" s="24">
        <v>27.614899999999999</v>
      </c>
      <c r="N649" s="24">
        <v>6.3180038179241862</v>
      </c>
      <c r="O649" s="24">
        <v>8.4210526315789469</v>
      </c>
      <c r="P649" s="24">
        <v>4.1714288378775386</v>
      </c>
      <c r="Q649" s="24">
        <v>6.0704934480273973</v>
      </c>
      <c r="R649" s="24">
        <v>1.99</v>
      </c>
      <c r="S649" s="24">
        <v>5.7108112582966442</v>
      </c>
      <c r="T649" s="24">
        <v>0.28387861500936273</v>
      </c>
      <c r="U649" s="24" t="s">
        <v>3847</v>
      </c>
      <c r="V649">
        <v>0</v>
      </c>
      <c r="W649" s="21">
        <v>1</v>
      </c>
      <c r="X649" s="56" t="str">
        <f>IFERROR(VLOOKUP(A649,Output!A:F,6,0),"-")</f>
        <v>-</v>
      </c>
    </row>
    <row r="650" spans="1:24" hidden="1" x14ac:dyDescent="0.25">
      <c r="A650" s="21" t="s">
        <v>1180</v>
      </c>
      <c r="B650" s="40" t="s">
        <v>1181</v>
      </c>
      <c r="C650" s="21" t="s">
        <v>244</v>
      </c>
      <c r="D650" s="21" t="s">
        <v>73</v>
      </c>
      <c r="E650" s="21" t="s">
        <v>92</v>
      </c>
      <c r="F650" s="55">
        <v>2.9220975280520867E-4</v>
      </c>
      <c r="G650" s="24">
        <v>3.4003890000000001</v>
      </c>
      <c r="H650" s="24">
        <v>4.5255349999999996</v>
      </c>
      <c r="I650" s="24">
        <v>3.5036369999999999</v>
      </c>
      <c r="J650" s="24">
        <v>3.768907</v>
      </c>
      <c r="K650" s="24">
        <v>0</v>
      </c>
      <c r="L650" s="24">
        <v>4.7290419999999997</v>
      </c>
      <c r="M650" s="24">
        <v>73.043400000000005</v>
      </c>
      <c r="N650" s="24">
        <v>5.620265625</v>
      </c>
      <c r="O650" s="24">
        <v>2.1212121212121211</v>
      </c>
      <c r="P650" s="24">
        <v>4.2533470885546985</v>
      </c>
      <c r="Q650" s="24">
        <v>5.5212805946376431</v>
      </c>
      <c r="R650" s="24" t="e">
        <v>#N/A</v>
      </c>
      <c r="S650" s="24">
        <v>4.9687139712238473</v>
      </c>
      <c r="T650" s="24">
        <v>1.0962366541112072</v>
      </c>
      <c r="U650" s="24" t="s">
        <v>3204</v>
      </c>
      <c r="V650">
        <v>0</v>
      </c>
      <c r="W650" s="21">
        <v>1</v>
      </c>
      <c r="X650" s="56" t="str">
        <f>IFERROR(VLOOKUP(A650,Output!A:F,6,0),"-")</f>
        <v>-</v>
      </c>
    </row>
    <row r="651" spans="1:24" hidden="1" x14ac:dyDescent="0.25">
      <c r="A651" s="21" t="s">
        <v>1053</v>
      </c>
      <c r="B651" s="40" t="s">
        <v>1054</v>
      </c>
      <c r="C651" s="21" t="s">
        <v>245</v>
      </c>
      <c r="D651" s="21" t="s">
        <v>73</v>
      </c>
      <c r="E651" s="21" t="s">
        <v>95</v>
      </c>
      <c r="F651" s="55">
        <v>2.9151204172019008E-4</v>
      </c>
      <c r="G651" s="24">
        <v>3.6356259999999998</v>
      </c>
      <c r="H651" s="24">
        <v>4.8060720000000003</v>
      </c>
      <c r="I651" s="24">
        <v>5.4452249999999998</v>
      </c>
      <c r="J651" s="24">
        <v>4.4125949999999996</v>
      </c>
      <c r="K651" s="24">
        <v>5.6770829999999997</v>
      </c>
      <c r="L651" s="24">
        <v>6.539981</v>
      </c>
      <c r="M651" s="24">
        <v>523.07299999999998</v>
      </c>
      <c r="N651" s="24">
        <v>5.4880236234716389</v>
      </c>
      <c r="O651" s="24">
        <v>7.3195876288659791</v>
      </c>
      <c r="P651" s="24">
        <v>1.6387959866220734</v>
      </c>
      <c r="Q651" s="24">
        <v>4.3317972350230409</v>
      </c>
      <c r="R651" s="24">
        <v>7.26</v>
      </c>
      <c r="S651" s="24">
        <v>4.9748717432784337</v>
      </c>
      <c r="T651" s="24">
        <v>0.60196085054610493</v>
      </c>
      <c r="U651" s="24" t="s">
        <v>3157</v>
      </c>
      <c r="V651">
        <v>0</v>
      </c>
      <c r="W651" s="21">
        <v>1</v>
      </c>
      <c r="X651" s="56" t="str">
        <f>IFERROR(VLOOKUP(A651,Output!A:F,6,0),"-")</f>
        <v>-</v>
      </c>
    </row>
    <row r="652" spans="1:24" hidden="1" x14ac:dyDescent="0.25">
      <c r="A652" s="21" t="s">
        <v>1130</v>
      </c>
      <c r="B652" s="40" t="s">
        <v>1131</v>
      </c>
      <c r="C652" s="21" t="s">
        <v>244</v>
      </c>
      <c r="D652" s="21" t="s">
        <v>73</v>
      </c>
      <c r="E652" s="21" t="s">
        <v>101</v>
      </c>
      <c r="F652" s="55">
        <v>2.9130318112718381E-4</v>
      </c>
      <c r="G652" s="24">
        <v>2.9573369999999999</v>
      </c>
      <c r="H652" s="24">
        <v>4.6849319999999999</v>
      </c>
      <c r="I652" s="24">
        <v>5.3241690000000004</v>
      </c>
      <c r="J652" s="24">
        <v>4.5951079999999997</v>
      </c>
      <c r="K652" s="24">
        <v>3.2151619999999999</v>
      </c>
      <c r="L652" s="24">
        <v>5.4324899999999996</v>
      </c>
      <c r="M652" s="24">
        <v>156.7893</v>
      </c>
      <c r="N652" s="24">
        <v>6.3872468559538609</v>
      </c>
      <c r="O652" s="24">
        <v>3.4693877551020402</v>
      </c>
      <c r="P652" s="24">
        <v>6.9971125967165069</v>
      </c>
      <c r="Q652" s="24">
        <v>4.8742771950261954</v>
      </c>
      <c r="R652" s="24">
        <v>8.31</v>
      </c>
      <c r="S652" s="24">
        <v>6.6630399437747378</v>
      </c>
      <c r="T652" s="24">
        <v>0.69024234099100934</v>
      </c>
      <c r="U652" s="24" t="s">
        <v>2803</v>
      </c>
      <c r="V652">
        <v>0</v>
      </c>
      <c r="W652" s="21">
        <v>1</v>
      </c>
      <c r="X652" s="56" t="str">
        <f>IFERROR(VLOOKUP(A652,Output!A:F,6,0),"-")</f>
        <v>-</v>
      </c>
    </row>
    <row r="653" spans="1:24" hidden="1" x14ac:dyDescent="0.25">
      <c r="A653" s="21" t="s">
        <v>1250</v>
      </c>
      <c r="B653" s="40" t="s">
        <v>1251</v>
      </c>
      <c r="C653" s="21" t="s">
        <v>244</v>
      </c>
      <c r="D653" s="21" t="s">
        <v>73</v>
      </c>
      <c r="E653" s="21" t="s">
        <v>99</v>
      </c>
      <c r="F653" s="55">
        <v>2.9075507298137541E-4</v>
      </c>
      <c r="G653" s="21">
        <v>4.3610769999999999</v>
      </c>
      <c r="H653" s="21">
        <v>5.1365670000000003</v>
      </c>
      <c r="I653" s="21">
        <v>5.615837</v>
      </c>
      <c r="J653" s="21">
        <v>5.0378270000000001</v>
      </c>
      <c r="K653" s="24">
        <v>0</v>
      </c>
      <c r="L653" s="24">
        <v>3.9111389999999999</v>
      </c>
      <c r="M653" s="24">
        <v>5.9992000000000001</v>
      </c>
      <c r="N653" s="24">
        <v>3.1057626760665089</v>
      </c>
      <c r="O653" s="24">
        <v>2.291666666666667</v>
      </c>
      <c r="P653" s="24">
        <v>7.6417910447761193</v>
      </c>
      <c r="Q653" s="24">
        <v>5.2143309896074648</v>
      </c>
      <c r="R653" s="24" t="e">
        <v>#N/A</v>
      </c>
      <c r="S653" s="24">
        <v>5.753760720925885</v>
      </c>
      <c r="T653" s="24">
        <v>0.8145030076851405</v>
      </c>
      <c r="U653" s="24" t="s">
        <v>3271</v>
      </c>
      <c r="V653">
        <v>0</v>
      </c>
      <c r="W653" s="21">
        <v>0</v>
      </c>
      <c r="X653" s="56" t="str">
        <f>IFERROR(VLOOKUP(A653,Output!A:F,6,0),"-")</f>
        <v>-</v>
      </c>
    </row>
    <row r="654" spans="1:24" hidden="1" x14ac:dyDescent="0.25">
      <c r="A654" s="21" t="s">
        <v>306</v>
      </c>
      <c r="B654" s="40" t="s">
        <v>307</v>
      </c>
      <c r="C654" s="21" t="s">
        <v>249</v>
      </c>
      <c r="D654" s="21" t="s">
        <v>74</v>
      </c>
      <c r="E654" s="21" t="s">
        <v>85</v>
      </c>
      <c r="F654" s="55">
        <v>2.9050315249732548E-4</v>
      </c>
      <c r="G654" s="24">
        <v>4.9318840000000002</v>
      </c>
      <c r="H654" s="24">
        <v>5.3250710000000003</v>
      </c>
      <c r="I654" s="24">
        <v>5.2636969999999996</v>
      </c>
      <c r="J654" s="24">
        <v>5.1856340000000003</v>
      </c>
      <c r="K654" s="24">
        <v>4.4924099999999996</v>
      </c>
      <c r="L654" s="24">
        <v>18.50986</v>
      </c>
      <c r="M654" s="24">
        <v>5.2637999999999998</v>
      </c>
      <c r="N654" s="24">
        <v>8.5241556521945654</v>
      </c>
      <c r="O654" s="24">
        <v>0.80808080808080818</v>
      </c>
      <c r="P654" s="24">
        <v>0.78947368421052633</v>
      </c>
      <c r="Q654" s="24">
        <v>8.9360529217199556</v>
      </c>
      <c r="R654" s="24">
        <v>4.3</v>
      </c>
      <c r="S654" s="24">
        <v>5.6569478191255262</v>
      </c>
      <c r="T654" s="24">
        <v>0.52017249026147849</v>
      </c>
      <c r="U654" s="24" t="s">
        <v>3809</v>
      </c>
      <c r="V654">
        <v>0</v>
      </c>
      <c r="W654" s="21">
        <v>0</v>
      </c>
      <c r="X654" s="56" t="str">
        <f>IFERROR(VLOOKUP(A654,Output!A:F,6,0),"-")</f>
        <v>-</v>
      </c>
    </row>
    <row r="655" spans="1:24" hidden="1" x14ac:dyDescent="0.25">
      <c r="A655" s="21" t="s">
        <v>549</v>
      </c>
      <c r="B655" s="40" t="s">
        <v>962</v>
      </c>
      <c r="C655" s="21" t="s">
        <v>244</v>
      </c>
      <c r="D655" s="21" t="s">
        <v>73</v>
      </c>
      <c r="E655" s="21" t="s">
        <v>101</v>
      </c>
      <c r="F655" s="55">
        <v>2.9001842690141782E-4</v>
      </c>
      <c r="G655" s="21">
        <v>8.4908889999999992</v>
      </c>
      <c r="H655" s="21">
        <v>4.868169</v>
      </c>
      <c r="I655" s="21">
        <v>3.4474459999999998</v>
      </c>
      <c r="J655" s="21">
        <v>5.0244239999999998</v>
      </c>
      <c r="K655" s="24">
        <v>0</v>
      </c>
      <c r="L655" s="24">
        <v>8.2848880000000005</v>
      </c>
      <c r="M655" s="24">
        <v>3.1305000000000001</v>
      </c>
      <c r="N655" s="24">
        <v>6.2204402399392311</v>
      </c>
      <c r="O655" s="24">
        <v>7.3469387755102034</v>
      </c>
      <c r="P655" s="24">
        <v>6.3618864152526911</v>
      </c>
      <c r="Q655" s="24">
        <v>6.3854136949553899</v>
      </c>
      <c r="R655" s="24" t="e">
        <v>#N/A</v>
      </c>
      <c r="S655" s="24">
        <v>5.273998890110553</v>
      </c>
      <c r="T655" s="24">
        <v>1.6658929831823048</v>
      </c>
      <c r="U655" s="24" t="s">
        <v>3059</v>
      </c>
      <c r="V655">
        <v>0</v>
      </c>
      <c r="W655" s="21">
        <v>0</v>
      </c>
      <c r="X655" s="56" t="str">
        <f>IFERROR(VLOOKUP(A655,Output!A:F,6,0),"-")</f>
        <v>-</v>
      </c>
    </row>
    <row r="656" spans="1:24" hidden="1" x14ac:dyDescent="0.25">
      <c r="A656" s="21" t="s">
        <v>1103</v>
      </c>
      <c r="B656" s="40" t="s">
        <v>1104</v>
      </c>
      <c r="C656" s="21" t="s">
        <v>244</v>
      </c>
      <c r="D656" s="21" t="s">
        <v>73</v>
      </c>
      <c r="E656" s="21" t="s">
        <v>102</v>
      </c>
      <c r="F656" s="55">
        <v>2.8952696062163185E-4</v>
      </c>
      <c r="G656" s="24">
        <v>3.9590700000000001</v>
      </c>
      <c r="H656" s="24">
        <v>3.2386330000000001</v>
      </c>
      <c r="I656" s="24">
        <v>4.0708719999999996</v>
      </c>
      <c r="J656" s="24">
        <v>3.8373430000000002</v>
      </c>
      <c r="K656" s="24">
        <v>2.8153220000000001</v>
      </c>
      <c r="L656" s="24">
        <v>5.8037850000000004</v>
      </c>
      <c r="M656" s="24">
        <v>1617.171</v>
      </c>
      <c r="N656" s="24">
        <v>4.5184211033240942</v>
      </c>
      <c r="O656" s="24">
        <v>4.1237113402061851</v>
      </c>
      <c r="P656" s="24">
        <v>3.4523809523809526</v>
      </c>
      <c r="Q656" s="24">
        <v>6.2808852229627723</v>
      </c>
      <c r="R656" s="24">
        <v>2.4900000000000002</v>
      </c>
      <c r="S656" s="24">
        <v>4.6355771669364065</v>
      </c>
      <c r="T656" s="24">
        <v>0.54371528684882631</v>
      </c>
      <c r="U656" s="24" t="s">
        <v>3196</v>
      </c>
      <c r="V656">
        <v>1</v>
      </c>
      <c r="W656" s="21">
        <v>1</v>
      </c>
      <c r="X656" s="56" t="str">
        <f>IFERROR(VLOOKUP(A656,Output!A:F,6,0),"-")</f>
        <v>-</v>
      </c>
    </row>
    <row r="657" spans="1:24" hidden="1" x14ac:dyDescent="0.25">
      <c r="A657" s="21" t="s">
        <v>1228</v>
      </c>
      <c r="B657" s="40" t="s">
        <v>1229</v>
      </c>
      <c r="C657" s="21" t="s">
        <v>244</v>
      </c>
      <c r="D657" s="21" t="s">
        <v>73</v>
      </c>
      <c r="E657" s="21" t="s">
        <v>102</v>
      </c>
      <c r="F657" s="55">
        <v>2.879688565735161E-4</v>
      </c>
      <c r="G657" s="24">
        <v>2.817939</v>
      </c>
      <c r="H657" s="24">
        <v>4.7250160000000001</v>
      </c>
      <c r="I657" s="24">
        <v>4.2826750000000002</v>
      </c>
      <c r="J657" s="24">
        <v>3.4923009999999999</v>
      </c>
      <c r="K657" s="24">
        <v>3.6401279999999998</v>
      </c>
      <c r="L657" s="24">
        <v>6.5523160000000003</v>
      </c>
      <c r="M657" s="24">
        <v>5260.701</v>
      </c>
      <c r="N657" s="24">
        <v>7.4394734274238505</v>
      </c>
      <c r="O657" s="24">
        <v>5.5670103092783503</v>
      </c>
      <c r="P657" s="24">
        <v>3.2142857142857135</v>
      </c>
      <c r="Q657" s="24">
        <v>6.2392738520455113</v>
      </c>
      <c r="R657" s="24">
        <v>4.93</v>
      </c>
      <c r="S657" s="24">
        <v>5.2506804943441079</v>
      </c>
      <c r="T657" s="24">
        <v>0.50695869220133638</v>
      </c>
      <c r="U657" s="24" t="s">
        <v>3260</v>
      </c>
      <c r="V657">
        <v>1</v>
      </c>
      <c r="W657" s="21">
        <v>1</v>
      </c>
      <c r="X657" s="56" t="str">
        <f>IFERROR(VLOOKUP(A657,Output!A:F,6,0),"-")</f>
        <v>-</v>
      </c>
    </row>
    <row r="658" spans="1:24" hidden="1" x14ac:dyDescent="0.25">
      <c r="A658" s="21" t="s">
        <v>1067</v>
      </c>
      <c r="B658" s="40" t="s">
        <v>1068</v>
      </c>
      <c r="C658" s="21" t="s">
        <v>244</v>
      </c>
      <c r="D658" s="21" t="s">
        <v>73</v>
      </c>
      <c r="E658" s="21" t="s">
        <v>93</v>
      </c>
      <c r="F658" s="55">
        <v>2.8791191288582755E-4</v>
      </c>
      <c r="G658" s="24">
        <v>2.5639910000000001</v>
      </c>
      <c r="H658" s="24">
        <v>2.8330190000000002</v>
      </c>
      <c r="I658" s="24">
        <v>3.0641630000000002</v>
      </c>
      <c r="J658" s="24">
        <v>2.8332109999999999</v>
      </c>
      <c r="K658" s="24">
        <v>2.6332369999999998</v>
      </c>
      <c r="L658" s="24">
        <v>6.2418100000000001</v>
      </c>
      <c r="M658" s="24">
        <v>1.9948999999999999</v>
      </c>
      <c r="N658" s="24">
        <v>2.2504348958333327</v>
      </c>
      <c r="O658" s="24">
        <v>4.5360824742268031</v>
      </c>
      <c r="P658" s="24">
        <v>4.6459409326424881</v>
      </c>
      <c r="Q658" s="24">
        <v>6.8603809028117766</v>
      </c>
      <c r="R658" s="24">
        <v>5.0599999999999996</v>
      </c>
      <c r="S658" s="24">
        <v>4.8380121673022529</v>
      </c>
      <c r="T658" s="24">
        <v>0.79615982400909568</v>
      </c>
      <c r="U658" s="24" t="s">
        <v>3130</v>
      </c>
      <c r="V658">
        <v>0</v>
      </c>
      <c r="W658" s="21">
        <v>1</v>
      </c>
      <c r="X658" s="56" t="str">
        <f>IFERROR(VLOOKUP(A658,Output!A:F,6,0),"-")</f>
        <v>-</v>
      </c>
    </row>
    <row r="659" spans="1:24" hidden="1" x14ac:dyDescent="0.25">
      <c r="A659" s="21" t="s">
        <v>1409</v>
      </c>
      <c r="B659" s="40" t="s">
        <v>1410</v>
      </c>
      <c r="C659" s="21" t="s">
        <v>245</v>
      </c>
      <c r="D659" s="21" t="s">
        <v>73</v>
      </c>
      <c r="E659" s="21" t="s">
        <v>98</v>
      </c>
      <c r="F659" s="55">
        <v>2.8713381663037928E-4</v>
      </c>
      <c r="G659" s="24">
        <v>6.2760949999999998</v>
      </c>
      <c r="H659" s="24">
        <v>5.5665560000000003</v>
      </c>
      <c r="I659" s="24">
        <v>4.9984019999999996</v>
      </c>
      <c r="J659" s="24">
        <v>5.4812029999999998</v>
      </c>
      <c r="K659" s="24">
        <v>1.242159</v>
      </c>
      <c r="L659" s="24">
        <v>6.5705489999999998</v>
      </c>
      <c r="M659" s="24">
        <v>18.0229</v>
      </c>
      <c r="N659" s="24">
        <v>7.248256669069935</v>
      </c>
      <c r="O659" s="24">
        <v>9.072164948453608</v>
      </c>
      <c r="P659" s="24">
        <v>3.6929460580912861</v>
      </c>
      <c r="Q659" s="24">
        <v>6.5256807456347321</v>
      </c>
      <c r="R659" s="24">
        <v>3.42</v>
      </c>
      <c r="S659" s="24">
        <v>5.3270458099780749</v>
      </c>
      <c r="T659" s="24">
        <v>0.59889322704307046</v>
      </c>
      <c r="U659" s="24" t="s">
        <v>3350</v>
      </c>
      <c r="V659">
        <v>0</v>
      </c>
      <c r="W659" s="21">
        <v>0</v>
      </c>
      <c r="X659" s="56" t="str">
        <f>IFERROR(VLOOKUP(A659,Output!A:F,6,0),"-")</f>
        <v>-</v>
      </c>
    </row>
    <row r="660" spans="1:24" x14ac:dyDescent="0.25">
      <c r="A660" s="21" t="s">
        <v>2276</v>
      </c>
      <c r="B660" s="40" t="s">
        <v>2277</v>
      </c>
      <c r="C660" s="21" t="s">
        <v>248</v>
      </c>
      <c r="D660" s="21" t="s">
        <v>75</v>
      </c>
      <c r="E660" s="21" t="s">
        <v>91</v>
      </c>
      <c r="F660" s="55">
        <v>2.8655844392739134E-4</v>
      </c>
      <c r="G660" s="24">
        <v>6.438555</v>
      </c>
      <c r="H660" s="24">
        <v>6.7073090000000004</v>
      </c>
      <c r="I660" s="24">
        <v>6.2251779999999997</v>
      </c>
      <c r="J660" s="24">
        <v>6.4607060000000001</v>
      </c>
      <c r="K660" s="24">
        <v>0.84072860000000005</v>
      </c>
      <c r="L660" s="24">
        <v>7.8459909999999997</v>
      </c>
      <c r="M660" s="24">
        <v>18.001300000000001</v>
      </c>
      <c r="N660" s="24">
        <v>6.2860760998045127</v>
      </c>
      <c r="O660" s="24">
        <v>0.89743589743589747</v>
      </c>
      <c r="P660" s="24">
        <v>5.5905511811023612</v>
      </c>
      <c r="Q660" s="24">
        <v>6.4184021021730029</v>
      </c>
      <c r="R660" s="24">
        <v>5.07</v>
      </c>
      <c r="S660" s="24">
        <v>5.8385152875686339</v>
      </c>
      <c r="T660" s="24">
        <v>0.33294945610407489</v>
      </c>
      <c r="U660" s="24" t="s">
        <v>3813</v>
      </c>
      <c r="V660">
        <v>0</v>
      </c>
      <c r="W660" s="21">
        <v>0</v>
      </c>
      <c r="X660" s="56" t="str">
        <f>IFERROR(VLOOKUP(A660,Output!A:F,6,0),"-")</f>
        <v>-</v>
      </c>
    </row>
    <row r="661" spans="1:24" hidden="1" x14ac:dyDescent="0.25">
      <c r="A661" s="21" t="s">
        <v>4410</v>
      </c>
      <c r="B661" s="40" t="s">
        <v>4464</v>
      </c>
      <c r="C661" s="21" t="s">
        <v>244</v>
      </c>
      <c r="D661" s="21" t="s">
        <v>73</v>
      </c>
      <c r="E661" s="21" t="s">
        <v>94</v>
      </c>
      <c r="F661" s="55">
        <v>2.851413912046103E-4</v>
      </c>
      <c r="G661" s="24">
        <v>2.5561959999999999</v>
      </c>
      <c r="H661" s="24">
        <v>4.7287350000000004</v>
      </c>
      <c r="I661" s="24">
        <v>3.4732609999999999</v>
      </c>
      <c r="J661" s="24">
        <v>3.7920379999999998</v>
      </c>
      <c r="K661" s="24">
        <v>0</v>
      </c>
      <c r="L661" s="24">
        <v>-0.52791949999999999</v>
      </c>
      <c r="M661" s="24">
        <v>64.870500000000007</v>
      </c>
      <c r="N661" s="24">
        <v>7.8399502263429444</v>
      </c>
      <c r="O661" s="24">
        <v>6.5306122448979584</v>
      </c>
      <c r="P661" s="24">
        <v>3.5803660965557893</v>
      </c>
      <c r="Q661" s="69">
        <v>2.2181726563864461</v>
      </c>
      <c r="R661" s="24" t="e">
        <v>#N/A</v>
      </c>
      <c r="S661" s="24">
        <v>3.0787719334775994</v>
      </c>
      <c r="T661" s="24">
        <v>2.186891598400809</v>
      </c>
      <c r="U661" s="24" t="s">
        <v>4465</v>
      </c>
      <c r="V661">
        <v>0</v>
      </c>
      <c r="W661" s="21">
        <v>1</v>
      </c>
      <c r="X661" s="56" t="str">
        <f>IFERROR(VLOOKUP(A661,Output!A:F,6,0),"-")</f>
        <v>-</v>
      </c>
    </row>
    <row r="662" spans="1:24" hidden="1" x14ac:dyDescent="0.25">
      <c r="A662" s="21" t="s">
        <v>2363</v>
      </c>
      <c r="B662" s="40" t="s">
        <v>2364</v>
      </c>
      <c r="C662" s="21" t="s">
        <v>256</v>
      </c>
      <c r="D662" s="21" t="s">
        <v>74</v>
      </c>
      <c r="E662" s="21" t="s">
        <v>100</v>
      </c>
      <c r="F662" s="55">
        <v>2.8477578455962725E-4</v>
      </c>
      <c r="G662" s="24">
        <v>6.6200850000000004</v>
      </c>
      <c r="H662" s="24">
        <v>6.4197649999999999</v>
      </c>
      <c r="I662" s="24">
        <v>5.3362429999999996</v>
      </c>
      <c r="J662" s="24">
        <v>6.1253640000000003</v>
      </c>
      <c r="K662" s="24">
        <v>0.1820919</v>
      </c>
      <c r="L662" s="24">
        <v>-0.6510203</v>
      </c>
      <c r="M662" s="24">
        <v>139.0179</v>
      </c>
      <c r="N662" s="24">
        <v>6.7709904767373139</v>
      </c>
      <c r="O662" s="24">
        <v>4.4444444444444446</v>
      </c>
      <c r="P662" s="24">
        <v>0.59040590405904081</v>
      </c>
      <c r="Q662" s="24">
        <v>1.1269246606132961</v>
      </c>
      <c r="R662" s="24">
        <v>2.64</v>
      </c>
      <c r="S662" s="24">
        <v>1.6830794796480164</v>
      </c>
      <c r="T662" s="24">
        <v>0.52879362499012805</v>
      </c>
      <c r="U662" s="24" t="s">
        <v>3894</v>
      </c>
      <c r="V662">
        <v>0</v>
      </c>
      <c r="W662" s="21">
        <v>0</v>
      </c>
      <c r="X662" s="56" t="str">
        <f>IFERROR(VLOOKUP(A662,Output!A:F,6,0),"-")</f>
        <v>-</v>
      </c>
    </row>
    <row r="663" spans="1:24" hidden="1" x14ac:dyDescent="0.25">
      <c r="A663" s="21" t="s">
        <v>642</v>
      </c>
      <c r="B663" s="40" t="s">
        <v>1010</v>
      </c>
      <c r="C663" s="21" t="s">
        <v>244</v>
      </c>
      <c r="D663" s="21" t="s">
        <v>73</v>
      </c>
      <c r="E663" s="21" t="s">
        <v>93</v>
      </c>
      <c r="F663" s="55">
        <v>2.844940843378461E-4</v>
      </c>
      <c r="G663" s="24">
        <v>4.7707519999999999</v>
      </c>
      <c r="H663" s="24">
        <v>4.1206810000000003</v>
      </c>
      <c r="I663" s="24">
        <v>3.0205799999999998</v>
      </c>
      <c r="J663" s="24">
        <v>3.9306670000000001</v>
      </c>
      <c r="K663" s="24">
        <v>1.5700210000000001</v>
      </c>
      <c r="L663" s="24">
        <v>8.7499400000000005</v>
      </c>
      <c r="M663" s="24">
        <v>3.5758000000000001</v>
      </c>
      <c r="N663" s="24">
        <v>8.3799908854166656</v>
      </c>
      <c r="O663" s="24">
        <v>9.072164948453608</v>
      </c>
      <c r="P663" s="24">
        <v>6.4421409326424879</v>
      </c>
      <c r="Q663" s="24">
        <v>4.1598502901592429</v>
      </c>
      <c r="R663" s="24">
        <v>2.56</v>
      </c>
      <c r="S663" s="24">
        <v>5.5868028246384185</v>
      </c>
      <c r="T663" s="24">
        <v>0.61432737206175414</v>
      </c>
      <c r="U663" s="24" t="s">
        <v>3114</v>
      </c>
      <c r="V663">
        <v>0</v>
      </c>
      <c r="W663" s="21">
        <v>1</v>
      </c>
      <c r="X663" s="56" t="str">
        <f>IFERROR(VLOOKUP(A663,Output!A:F,6,0),"-")</f>
        <v>-</v>
      </c>
    </row>
    <row r="664" spans="1:24" hidden="1" x14ac:dyDescent="0.25">
      <c r="A664" s="21" t="s">
        <v>514</v>
      </c>
      <c r="B664" s="40" t="s">
        <v>896</v>
      </c>
      <c r="C664" s="21" t="s">
        <v>244</v>
      </c>
      <c r="D664" s="21" t="s">
        <v>73</v>
      </c>
      <c r="E664" s="21" t="s">
        <v>87</v>
      </c>
      <c r="F664" s="55">
        <v>2.8440736091242639E-4</v>
      </c>
      <c r="G664" s="24">
        <v>4.488302</v>
      </c>
      <c r="H664" s="24">
        <v>6.7845779999999998</v>
      </c>
      <c r="I664" s="24">
        <v>5.2571779999999997</v>
      </c>
      <c r="J664" s="24">
        <v>5.5100199999999999</v>
      </c>
      <c r="K664" s="24">
        <v>1.664952</v>
      </c>
      <c r="L664" s="24">
        <v>7.5143139999999997</v>
      </c>
      <c r="M664" s="24">
        <v>493.81060000000002</v>
      </c>
      <c r="N664" s="24">
        <v>7.2443185560081886</v>
      </c>
      <c r="O664" s="24">
        <v>7.6288659793814428</v>
      </c>
      <c r="P664" s="24">
        <v>3.8888888888888893</v>
      </c>
      <c r="Q664" s="24">
        <v>5.5996741028354213</v>
      </c>
      <c r="R664" s="24">
        <v>4.12</v>
      </c>
      <c r="S664" s="24">
        <v>5.8605695883637967</v>
      </c>
      <c r="T664" s="24">
        <v>1.3953544923524888</v>
      </c>
      <c r="U664" s="24" t="s">
        <v>3001</v>
      </c>
      <c r="V664">
        <v>0</v>
      </c>
      <c r="W664" s="21">
        <v>0</v>
      </c>
      <c r="X664" s="56" t="str">
        <f>IFERROR(VLOOKUP(A664,Output!A:F,6,0),"-")</f>
        <v>-</v>
      </c>
    </row>
    <row r="665" spans="1:24" hidden="1" x14ac:dyDescent="0.25">
      <c r="A665" s="21" t="s">
        <v>4450</v>
      </c>
      <c r="B665" s="40" t="s">
        <v>4451</v>
      </c>
      <c r="C665" s="21" t="s">
        <v>256</v>
      </c>
      <c r="D665" s="21" t="s">
        <v>74</v>
      </c>
      <c r="E665" s="21" t="s">
        <v>88</v>
      </c>
      <c r="F665" s="55">
        <v>2.8378198642007229E-4</v>
      </c>
      <c r="G665" s="21">
        <v>3.8273350000000002</v>
      </c>
      <c r="H665" s="21">
        <v>3.9591409999999998</v>
      </c>
      <c r="I665" s="21">
        <v>5.7243079999999997</v>
      </c>
      <c r="J665" s="21">
        <v>4.4359690000000001</v>
      </c>
      <c r="K665" s="24">
        <v>2.1598320000000002</v>
      </c>
      <c r="L665" s="24">
        <v>2.083272</v>
      </c>
      <c r="M665" s="24">
        <v>128.44200000000001</v>
      </c>
      <c r="N665" s="24">
        <v>7.479011851851852</v>
      </c>
      <c r="O665" s="24">
        <v>8.3673469387755084</v>
      </c>
      <c r="P665" s="24">
        <v>1.095890410958904</v>
      </c>
      <c r="Q665" s="24">
        <v>0.99688979798407651</v>
      </c>
      <c r="R665" s="24">
        <v>3.61</v>
      </c>
      <c r="S665" s="24">
        <v>3.4956807311576119</v>
      </c>
      <c r="T665" s="24">
        <v>0.33373582686205089</v>
      </c>
      <c r="U665" s="24" t="s">
        <v>3837</v>
      </c>
      <c r="V665">
        <v>0</v>
      </c>
      <c r="W665" s="21">
        <v>1</v>
      </c>
      <c r="X665" s="56" t="str">
        <f>IFERROR(VLOOKUP(A665,Output!A:F,6,0),"-")</f>
        <v>-</v>
      </c>
    </row>
    <row r="666" spans="1:24" hidden="1" x14ac:dyDescent="0.25">
      <c r="A666" s="21" t="s">
        <v>131</v>
      </c>
      <c r="B666" s="40" t="s">
        <v>199</v>
      </c>
      <c r="C666" s="21" t="s">
        <v>252</v>
      </c>
      <c r="D666" s="21" t="s">
        <v>74</v>
      </c>
      <c r="E666" s="21" t="s">
        <v>85</v>
      </c>
      <c r="F666" s="55">
        <v>2.8324212806647323E-4</v>
      </c>
      <c r="G666" s="24">
        <v>5.6238570000000001</v>
      </c>
      <c r="H666" s="24">
        <v>5.6509850000000004</v>
      </c>
      <c r="I666" s="24">
        <v>5.015422</v>
      </c>
      <c r="J666" s="24">
        <v>5.4203999999999999</v>
      </c>
      <c r="K666" s="24">
        <v>6.6369090000000002</v>
      </c>
      <c r="L666" s="24">
        <v>12.77561</v>
      </c>
      <c r="M666" s="24">
        <v>6.8493000000000004</v>
      </c>
      <c r="N666" s="24">
        <v>3.9114704329832244</v>
      </c>
      <c r="O666" s="24">
        <v>4.9494949494949498</v>
      </c>
      <c r="P666" s="24">
        <v>4.973684210526315</v>
      </c>
      <c r="Q666" s="24">
        <v>5.0358324145534725</v>
      </c>
      <c r="R666" s="24">
        <v>6.33</v>
      </c>
      <c r="S666" s="24">
        <v>5.0975820477594125</v>
      </c>
      <c r="T666" s="24">
        <v>0.33186163357811871</v>
      </c>
      <c r="U666" s="24" t="s">
        <v>3901</v>
      </c>
      <c r="V666">
        <v>0</v>
      </c>
      <c r="W666" s="21">
        <v>0</v>
      </c>
      <c r="X666" s="56" t="str">
        <f>IFERROR(VLOOKUP(A666,Output!A:F,6,0),"-")</f>
        <v>-</v>
      </c>
    </row>
    <row r="667" spans="1:24" hidden="1" x14ac:dyDescent="0.25">
      <c r="A667" s="21" t="s">
        <v>623</v>
      </c>
      <c r="B667" s="40" t="s">
        <v>970</v>
      </c>
      <c r="C667" s="21" t="s">
        <v>244</v>
      </c>
      <c r="D667" s="21" t="s">
        <v>73</v>
      </c>
      <c r="E667" s="21" t="s">
        <v>99</v>
      </c>
      <c r="F667" s="55">
        <v>2.8207699582774213E-4</v>
      </c>
      <c r="G667" s="24">
        <v>4.4356309999999999</v>
      </c>
      <c r="H667" s="24">
        <v>5.6016690000000002</v>
      </c>
      <c r="I667" s="24">
        <v>5.3304780000000003</v>
      </c>
      <c r="J667" s="24">
        <v>5.1225930000000002</v>
      </c>
      <c r="K667" s="24">
        <v>0</v>
      </c>
      <c r="L667" s="24">
        <v>2.2134809999999998</v>
      </c>
      <c r="M667" s="24">
        <v>6.8041</v>
      </c>
      <c r="N667" s="24">
        <v>4.1318077452097661</v>
      </c>
      <c r="O667" s="24">
        <v>5.5208333333333339</v>
      </c>
      <c r="P667" s="24">
        <v>2.8059701492537314</v>
      </c>
      <c r="Q667" s="24">
        <v>2.6233195941074205</v>
      </c>
      <c r="R667" s="24" t="e">
        <v>#N/A</v>
      </c>
      <c r="S667" s="24">
        <v>3.4330021188978423</v>
      </c>
      <c r="T667" s="24">
        <v>1.2080459812504623</v>
      </c>
      <c r="U667" s="24" t="s">
        <v>3112</v>
      </c>
      <c r="V667">
        <v>0</v>
      </c>
      <c r="W667" s="21">
        <v>0</v>
      </c>
      <c r="X667" s="56" t="str">
        <f>IFERROR(VLOOKUP(A667,Output!A:F,6,0),"-")</f>
        <v>-</v>
      </c>
    </row>
    <row r="668" spans="1:24" hidden="1" x14ac:dyDescent="0.25">
      <c r="A668" s="21" t="s">
        <v>4279</v>
      </c>
      <c r="B668" s="40" t="s">
        <v>4280</v>
      </c>
      <c r="C668" s="21" t="s">
        <v>244</v>
      </c>
      <c r="D668" s="21" t="s">
        <v>73</v>
      </c>
      <c r="E668" s="21" t="s">
        <v>88</v>
      </c>
      <c r="F668" s="55">
        <v>2.8115996099862259E-4</v>
      </c>
      <c r="G668" s="21">
        <v>6.1602300000000003</v>
      </c>
      <c r="H668" s="21">
        <v>4.0936000000000003</v>
      </c>
      <c r="I668" s="21">
        <v>4.4035739999999999</v>
      </c>
      <c r="J668" s="21">
        <v>5.0132440000000003</v>
      </c>
      <c r="K668" s="24">
        <v>0.84357979999999999</v>
      </c>
      <c r="L668" s="24">
        <v>6.0838830000000002</v>
      </c>
      <c r="M668" s="24">
        <v>31.008299999999998</v>
      </c>
      <c r="N668" s="24">
        <v>8.2954545454545467</v>
      </c>
      <c r="O668" s="24">
        <v>9.5959595959595951</v>
      </c>
      <c r="P668" s="24">
        <v>8.5478887804412409</v>
      </c>
      <c r="Q668" s="24">
        <v>3.0650384921688345</v>
      </c>
      <c r="R668" s="24">
        <v>7.02</v>
      </c>
      <c r="S668" s="24">
        <v>6.736583260715336</v>
      </c>
      <c r="T668" s="24">
        <v>1.1315981752656905</v>
      </c>
      <c r="U668" s="24" t="s">
        <v>4281</v>
      </c>
      <c r="V668">
        <v>0</v>
      </c>
      <c r="W668" s="21">
        <v>0</v>
      </c>
      <c r="X668" s="56" t="str">
        <f>IFERROR(VLOOKUP(A668,Output!A:F,6,0),"-")</f>
        <v>-</v>
      </c>
    </row>
    <row r="669" spans="1:24" hidden="1" x14ac:dyDescent="0.25">
      <c r="A669" s="21" t="s">
        <v>1046</v>
      </c>
      <c r="B669" s="40" t="s">
        <v>1047</v>
      </c>
      <c r="C669" s="21" t="s">
        <v>244</v>
      </c>
      <c r="D669" s="21" t="s">
        <v>73</v>
      </c>
      <c r="E669" s="21" t="s">
        <v>92</v>
      </c>
      <c r="F669" s="55">
        <v>2.7919962927669222E-4</v>
      </c>
      <c r="G669" s="24">
        <v>3.9871599999999998</v>
      </c>
      <c r="H669" s="24">
        <v>5.2891219999999999</v>
      </c>
      <c r="I669" s="24">
        <v>4.0559669999999999</v>
      </c>
      <c r="J669" s="24">
        <v>4.3983910000000002</v>
      </c>
      <c r="K669" s="24">
        <v>1.0844290000000001</v>
      </c>
      <c r="L669" s="24">
        <v>3.9359329999999999</v>
      </c>
      <c r="M669" s="24">
        <v>35.989600000000003</v>
      </c>
      <c r="N669" s="24">
        <v>2.331911931818182</v>
      </c>
      <c r="O669" s="24">
        <v>2.0202020202020203</v>
      </c>
      <c r="P669" s="24">
        <v>6.6014418265646064</v>
      </c>
      <c r="Q669" s="24">
        <v>2.981505707459517</v>
      </c>
      <c r="R669" s="24">
        <v>4.8899999999999997</v>
      </c>
      <c r="S669" s="24">
        <v>4.6486485850098962</v>
      </c>
      <c r="T669" s="24">
        <v>0.86634990663440703</v>
      </c>
      <c r="U669" s="24" t="s">
        <v>3109</v>
      </c>
      <c r="V669">
        <v>0</v>
      </c>
      <c r="W669" s="21">
        <v>1</v>
      </c>
      <c r="X669" s="56" t="str">
        <f>IFERROR(VLOOKUP(A669,Output!A:F,6,0),"-")</f>
        <v>-</v>
      </c>
    </row>
    <row r="670" spans="1:24" hidden="1" x14ac:dyDescent="0.25">
      <c r="A670" s="21" t="s">
        <v>330</v>
      </c>
      <c r="B670" s="40" t="s">
        <v>331</v>
      </c>
      <c r="C670" s="21" t="s">
        <v>249</v>
      </c>
      <c r="D670" s="21" t="s">
        <v>74</v>
      </c>
      <c r="E670" s="21" t="s">
        <v>85</v>
      </c>
      <c r="F670" s="55">
        <v>2.7862043349926587E-4</v>
      </c>
      <c r="G670" s="21">
        <v>5.1478710000000003</v>
      </c>
      <c r="H670" s="21">
        <v>5.8134870000000003</v>
      </c>
      <c r="I670" s="21">
        <v>4.1408449999999997</v>
      </c>
      <c r="J670" s="21">
        <v>5.028378</v>
      </c>
      <c r="K670" s="24">
        <v>6.9501920000000004</v>
      </c>
      <c r="L670" s="24">
        <v>14.07929</v>
      </c>
      <c r="M670" s="24">
        <v>3.3029999999999999</v>
      </c>
      <c r="N670" s="24">
        <v>6.5886364408288101</v>
      </c>
      <c r="O670" s="24">
        <v>6.262626262626263</v>
      </c>
      <c r="P670" s="24">
        <v>2.1052631578947367</v>
      </c>
      <c r="Q670" s="24">
        <v>6.6923925027563405</v>
      </c>
      <c r="R670" s="24">
        <v>5.7</v>
      </c>
      <c r="S670" s="24">
        <v>5.5190955567154427</v>
      </c>
      <c r="T670" s="24">
        <v>0.30869803258589923</v>
      </c>
      <c r="U670" s="24" t="s">
        <v>3954</v>
      </c>
      <c r="V670">
        <v>0</v>
      </c>
      <c r="W670" s="21">
        <v>0</v>
      </c>
      <c r="X670" s="56" t="str">
        <f>IFERROR(VLOOKUP(A670,Output!A:F,6,0),"-")</f>
        <v>-</v>
      </c>
    </row>
    <row r="671" spans="1:24" hidden="1" x14ac:dyDescent="0.25">
      <c r="A671" s="21" t="s">
        <v>647</v>
      </c>
      <c r="B671" s="40" t="s">
        <v>723</v>
      </c>
      <c r="C671" s="21" t="s">
        <v>244</v>
      </c>
      <c r="D671" s="21" t="s">
        <v>73</v>
      </c>
      <c r="E671" s="21" t="s">
        <v>99</v>
      </c>
      <c r="F671" s="55">
        <v>2.7823953455652898E-4</v>
      </c>
      <c r="G671" s="21">
        <v>4.8854689999999996</v>
      </c>
      <c r="H671" s="21">
        <v>3.041846</v>
      </c>
      <c r="I671" s="21">
        <v>5.0194029999999996</v>
      </c>
      <c r="J671" s="21">
        <v>4.3725620000000003</v>
      </c>
      <c r="K671" s="24">
        <v>3.0948739999999999</v>
      </c>
      <c r="L671" s="24">
        <v>1.1347149999999999</v>
      </c>
      <c r="M671" s="24">
        <v>136.0335</v>
      </c>
      <c r="N671" s="24">
        <v>1.953433461202325</v>
      </c>
      <c r="O671" s="24">
        <v>8.4375</v>
      </c>
      <c r="P671" s="24">
        <v>3.4626865671641789</v>
      </c>
      <c r="Q671" s="24">
        <v>3.0658281089924202</v>
      </c>
      <c r="R671" s="24">
        <v>6.119999</v>
      </c>
      <c r="S671" s="24">
        <v>3.5767711028471192</v>
      </c>
      <c r="T671" s="24">
        <v>1.2930669749951698</v>
      </c>
      <c r="U671" s="24" t="s">
        <v>3029</v>
      </c>
      <c r="V671">
        <v>0</v>
      </c>
      <c r="W671" s="21">
        <v>1</v>
      </c>
      <c r="X671" s="56" t="str">
        <f>IFERROR(VLOOKUP(A671,Output!A:F,6,0),"-")</f>
        <v>-</v>
      </c>
    </row>
    <row r="672" spans="1:24" hidden="1" x14ac:dyDescent="0.25">
      <c r="A672" s="21" t="s">
        <v>2340</v>
      </c>
      <c r="B672" s="40" t="s">
        <v>2341</v>
      </c>
      <c r="C672" s="21" t="s">
        <v>305</v>
      </c>
      <c r="D672" s="21" t="s">
        <v>74</v>
      </c>
      <c r="E672" s="21" t="s">
        <v>91</v>
      </c>
      <c r="F672" s="55">
        <v>2.7822253193600008E-4</v>
      </c>
      <c r="G672" s="24">
        <v>6.9448930000000004</v>
      </c>
      <c r="H672" s="24">
        <v>6.5282390000000001</v>
      </c>
      <c r="I672" s="24">
        <v>8.3860700000000001</v>
      </c>
      <c r="J672" s="24">
        <v>7.3547019999999996</v>
      </c>
      <c r="K672" s="24">
        <v>2.2261649999999999</v>
      </c>
      <c r="L672" s="24">
        <v>3.2632880000000002</v>
      </c>
      <c r="M672" s="24">
        <v>20.026199999999999</v>
      </c>
      <c r="N672" s="24">
        <v>6.955631399317407</v>
      </c>
      <c r="O672" s="24">
        <v>7.1134020618556697</v>
      </c>
      <c r="P672" s="24">
        <v>7.5213675213675231</v>
      </c>
      <c r="Q672" s="24">
        <v>1.3873319695217767</v>
      </c>
      <c r="R672" s="24">
        <v>6.2100010000000001</v>
      </c>
      <c r="S672" s="24">
        <v>4.5097340051767301</v>
      </c>
      <c r="T672" s="24">
        <v>0.35151222527836712</v>
      </c>
      <c r="U672" s="24" t="s">
        <v>3885</v>
      </c>
      <c r="V672">
        <v>0</v>
      </c>
      <c r="W672" s="21">
        <v>0</v>
      </c>
      <c r="X672" s="56" t="str">
        <f>IFERROR(VLOOKUP(A672,Output!A:F,6,0),"-")</f>
        <v>-</v>
      </c>
    </row>
    <row r="673" spans="1:24" x14ac:dyDescent="0.25">
      <c r="A673" s="21" t="s">
        <v>2107</v>
      </c>
      <c r="B673" s="40" t="s">
        <v>2108</v>
      </c>
      <c r="C673" s="21" t="s">
        <v>248</v>
      </c>
      <c r="D673" s="21" t="s">
        <v>75</v>
      </c>
      <c r="E673" s="21" t="s">
        <v>103</v>
      </c>
      <c r="F673" s="55">
        <v>2.7748417553326738E-4</v>
      </c>
      <c r="G673" s="24">
        <v>5.5685789999999997</v>
      </c>
      <c r="H673" s="24">
        <v>5.9337739999999997</v>
      </c>
      <c r="I673" s="24">
        <v>4.4737730000000004</v>
      </c>
      <c r="J673" s="24">
        <v>5.3496959999999998</v>
      </c>
      <c r="K673" s="24">
        <v>1.644601</v>
      </c>
      <c r="L673" s="24">
        <v>10.040380000000001</v>
      </c>
      <c r="M673" s="24">
        <v>44.560899999999997</v>
      </c>
      <c r="N673" s="24">
        <v>8.8632181078087751</v>
      </c>
      <c r="O673" s="24">
        <v>6.344086021505376</v>
      </c>
      <c r="P673" s="24">
        <v>5.8712121212121229</v>
      </c>
      <c r="Q673" s="24">
        <v>7.0212536933318317</v>
      </c>
      <c r="R673" s="24">
        <v>4.3600000000000003</v>
      </c>
      <c r="S673" s="24">
        <v>6.2413794663941555</v>
      </c>
      <c r="T673" s="24">
        <v>0.51830261279944434</v>
      </c>
      <c r="U673" s="24" t="s">
        <v>2832</v>
      </c>
      <c r="V673">
        <v>0</v>
      </c>
      <c r="W673" s="21">
        <v>0</v>
      </c>
      <c r="X673" s="56" t="str">
        <f>IFERROR(VLOOKUP(A673,Output!A:F,6,0),"-")</f>
        <v>-</v>
      </c>
    </row>
    <row r="674" spans="1:24" hidden="1" x14ac:dyDescent="0.25">
      <c r="A674" s="21" t="s">
        <v>1961</v>
      </c>
      <c r="B674" s="40" t="s">
        <v>1962</v>
      </c>
      <c r="C674" s="21" t="s">
        <v>247</v>
      </c>
      <c r="D674" s="21" t="s">
        <v>74</v>
      </c>
      <c r="E674" s="21" t="s">
        <v>101</v>
      </c>
      <c r="F674" s="55">
        <v>2.7725217527918621E-4</v>
      </c>
      <c r="G674" s="24">
        <v>4.5609169999999999</v>
      </c>
      <c r="H674" s="24">
        <v>4.674747</v>
      </c>
      <c r="I674" s="24">
        <v>7.0188899999999999</v>
      </c>
      <c r="J674" s="24">
        <v>5.5896379999999999</v>
      </c>
      <c r="K674" s="24">
        <v>1.683495</v>
      </c>
      <c r="L674" s="24">
        <v>4.8428469999999999</v>
      </c>
      <c r="M674" s="24">
        <v>1094.453</v>
      </c>
      <c r="N674" s="24">
        <v>5.7726333139478117</v>
      </c>
      <c r="O674" s="24">
        <v>9.6969696969696955</v>
      </c>
      <c r="P674" s="24">
        <v>6.7161222551928788</v>
      </c>
      <c r="Q674" s="24">
        <v>2.0108020621392848</v>
      </c>
      <c r="R674" s="24">
        <v>3.33</v>
      </c>
      <c r="S674" s="24">
        <v>4.3077474601688381</v>
      </c>
      <c r="T674" s="24">
        <v>0.42530693790999125</v>
      </c>
      <c r="U674" s="24" t="s">
        <v>3644</v>
      </c>
      <c r="V674">
        <v>0</v>
      </c>
      <c r="W674" s="21">
        <v>0</v>
      </c>
      <c r="X674" s="56" t="str">
        <f>IFERROR(VLOOKUP(A674,Output!A:F,6,0),"-")</f>
        <v>-</v>
      </c>
    </row>
    <row r="675" spans="1:24" hidden="1" x14ac:dyDescent="0.25">
      <c r="A675" s="21" t="s">
        <v>732</v>
      </c>
      <c r="B675" s="40" t="s">
        <v>733</v>
      </c>
      <c r="C675" s="21" t="s">
        <v>244</v>
      </c>
      <c r="D675" s="21" t="s">
        <v>73</v>
      </c>
      <c r="E675" s="21" t="s">
        <v>96</v>
      </c>
      <c r="F675" s="55">
        <v>2.7664702283846716E-4</v>
      </c>
      <c r="G675" s="24">
        <v>5.6422030000000003</v>
      </c>
      <c r="H675" s="24">
        <v>6.012721</v>
      </c>
      <c r="I675" s="24">
        <v>6.5126350000000004</v>
      </c>
      <c r="J675" s="24">
        <v>6.0144880000000001</v>
      </c>
      <c r="K675" s="24">
        <v>3.2707009999999999</v>
      </c>
      <c r="L675" s="24">
        <v>3.546338</v>
      </c>
      <c r="M675" s="24">
        <v>38.616599999999998</v>
      </c>
      <c r="N675" s="24">
        <v>1.814468637346792</v>
      </c>
      <c r="O675" s="24">
        <v>8.6597938144329891</v>
      </c>
      <c r="P675" s="24">
        <v>5.3112033195020754</v>
      </c>
      <c r="Q675" s="24">
        <v>1.0814853704577632</v>
      </c>
      <c r="R675" s="24">
        <v>6.81</v>
      </c>
      <c r="S675" s="24">
        <v>3.1152716730116738</v>
      </c>
      <c r="T675" s="24">
        <v>0.55793272858811827</v>
      </c>
      <c r="U675" s="24" t="s">
        <v>3211</v>
      </c>
      <c r="V675">
        <v>0</v>
      </c>
      <c r="W675" s="21">
        <v>0</v>
      </c>
      <c r="X675" s="56" t="str">
        <f>IFERROR(VLOOKUP(A675,Output!A:F,6,0),"-")</f>
        <v>-</v>
      </c>
    </row>
    <row r="676" spans="1:24" hidden="1" x14ac:dyDescent="0.25">
      <c r="A676" s="21" t="s">
        <v>4356</v>
      </c>
      <c r="B676" s="40" t="s">
        <v>4357</v>
      </c>
      <c r="C676" s="21" t="s">
        <v>244</v>
      </c>
      <c r="D676" s="21" t="s">
        <v>73</v>
      </c>
      <c r="E676" s="21" t="s">
        <v>95</v>
      </c>
      <c r="F676" s="55">
        <v>2.7599227103727018E-4</v>
      </c>
      <c r="G676" s="24">
        <v>6.6357889999999999</v>
      </c>
      <c r="H676" s="24">
        <v>6.1291599999999997</v>
      </c>
      <c r="I676" s="24">
        <v>4.7146720000000002</v>
      </c>
      <c r="J676" s="24">
        <v>5.9074650000000002</v>
      </c>
      <c r="K676" s="24">
        <v>0</v>
      </c>
      <c r="L676" s="24">
        <v>8.0500039999999995</v>
      </c>
      <c r="M676" s="24">
        <v>222.04249999999999</v>
      </c>
      <c r="N676" s="24">
        <v>8.0209576035354715</v>
      </c>
      <c r="O676" s="24">
        <v>4.4329896907216497</v>
      </c>
      <c r="P676" s="24">
        <v>5.4515050167224075</v>
      </c>
      <c r="Q676" s="24">
        <v>3.4152253276677236</v>
      </c>
      <c r="R676" s="24" t="e">
        <v>#N/A</v>
      </c>
      <c r="S676" s="24">
        <v>4.0792133132743897</v>
      </c>
      <c r="T676" s="24">
        <v>1.5301317293666432</v>
      </c>
      <c r="U676" s="24" t="s">
        <v>4358</v>
      </c>
      <c r="V676">
        <v>0</v>
      </c>
      <c r="W676" s="21">
        <v>0</v>
      </c>
      <c r="X676" s="56" t="str">
        <f>IFERROR(VLOOKUP(A676,Output!A:F,6,0),"-")</f>
        <v>-</v>
      </c>
    </row>
    <row r="677" spans="1:24" hidden="1" x14ac:dyDescent="0.25">
      <c r="A677" s="21" t="s">
        <v>2643</v>
      </c>
      <c r="B677" s="40" t="s">
        <v>2644</v>
      </c>
      <c r="C677" s="21" t="s">
        <v>257</v>
      </c>
      <c r="D677" s="21" t="s">
        <v>74</v>
      </c>
      <c r="E677" s="21" t="s">
        <v>91</v>
      </c>
      <c r="F677" s="55">
        <v>2.7596430222953617E-4</v>
      </c>
      <c r="G677" s="24">
        <v>7.4330679999999996</v>
      </c>
      <c r="H677" s="24">
        <v>4.7765829999999996</v>
      </c>
      <c r="I677" s="24">
        <v>7.2059610000000003</v>
      </c>
      <c r="J677" s="24">
        <v>6.56799</v>
      </c>
      <c r="K677" s="24">
        <v>1.886757</v>
      </c>
      <c r="L677" s="24">
        <v>4.6413409999999997</v>
      </c>
      <c r="M677" s="24">
        <v>18.3249</v>
      </c>
      <c r="N677" s="24">
        <v>4.9920354948805477</v>
      </c>
      <c r="O677" s="24">
        <v>7.9381443298969065</v>
      </c>
      <c r="P677" s="24">
        <v>2.7635327635327647</v>
      </c>
      <c r="Q677" s="24">
        <v>3.9704705149871029</v>
      </c>
      <c r="R677" s="24">
        <v>6.62</v>
      </c>
      <c r="S677" s="24">
        <v>4.8506451834989548</v>
      </c>
      <c r="T677" s="24">
        <v>0.55603740798570611</v>
      </c>
      <c r="U677" s="24" t="s">
        <v>4042</v>
      </c>
      <c r="V677">
        <v>0</v>
      </c>
      <c r="W677" s="21">
        <v>0</v>
      </c>
      <c r="X677" s="56" t="str">
        <f>IFERROR(VLOOKUP(A677,Output!A:F,6,0),"-")</f>
        <v>-</v>
      </c>
    </row>
    <row r="678" spans="1:24" hidden="1" x14ac:dyDescent="0.25">
      <c r="A678" s="21" t="s">
        <v>527</v>
      </c>
      <c r="B678" s="40" t="s">
        <v>961</v>
      </c>
      <c r="C678" s="21" t="s">
        <v>244</v>
      </c>
      <c r="D678" s="21" t="s">
        <v>73</v>
      </c>
      <c r="E678" s="21" t="s">
        <v>86</v>
      </c>
      <c r="F678" s="55">
        <v>2.7581661082754525E-4</v>
      </c>
      <c r="G678" s="24">
        <v>6.1537940000000004</v>
      </c>
      <c r="H678" s="24">
        <v>5.0964609999999997</v>
      </c>
      <c r="I678" s="24">
        <v>6.2860589999999998</v>
      </c>
      <c r="J678" s="24">
        <v>5.8454379999999997</v>
      </c>
      <c r="K678" s="24">
        <v>1.5021119999999999</v>
      </c>
      <c r="L678" s="24">
        <v>4.740767</v>
      </c>
      <c r="M678" s="24">
        <v>69.154499999999999</v>
      </c>
      <c r="N678" s="24">
        <v>6.4411165517105662</v>
      </c>
      <c r="O678" s="24">
        <v>7.0103092783505154</v>
      </c>
      <c r="P678" s="24">
        <v>6.333333333333333</v>
      </c>
      <c r="Q678" s="24">
        <v>3.0852640580583488</v>
      </c>
      <c r="R678" s="24">
        <v>5.58</v>
      </c>
      <c r="S678" s="24">
        <v>5.6032382291082961</v>
      </c>
      <c r="T678" s="24">
        <v>0.99536774856779475</v>
      </c>
      <c r="U678" s="24" t="s">
        <v>3057</v>
      </c>
      <c r="V678">
        <v>0</v>
      </c>
      <c r="W678" s="21">
        <v>0</v>
      </c>
      <c r="X678" s="56" t="str">
        <f>IFERROR(VLOOKUP(A678,Output!A:F,6,0),"-")</f>
        <v>-</v>
      </c>
    </row>
    <row r="679" spans="1:24" hidden="1" x14ac:dyDescent="0.25">
      <c r="A679" s="21" t="s">
        <v>130</v>
      </c>
      <c r="B679" s="40" t="s">
        <v>198</v>
      </c>
      <c r="C679" s="21" t="s">
        <v>251</v>
      </c>
      <c r="D679" s="21" t="s">
        <v>74</v>
      </c>
      <c r="E679" s="21" t="s">
        <v>85</v>
      </c>
      <c r="F679" s="55">
        <v>2.7531780022054854E-4</v>
      </c>
      <c r="G679" s="21">
        <v>6.9920039999999997</v>
      </c>
      <c r="H679" s="21">
        <v>4.3870480000000001</v>
      </c>
      <c r="I679" s="21">
        <v>5.7491490000000001</v>
      </c>
      <c r="J679" s="21">
        <v>5.64527</v>
      </c>
      <c r="K679" s="24">
        <v>7.4807829999999997</v>
      </c>
      <c r="L679" s="24">
        <v>10.853260000000001</v>
      </c>
      <c r="M679" s="24">
        <v>0.38084000000000001</v>
      </c>
      <c r="N679" s="24">
        <v>5.8395416760622831</v>
      </c>
      <c r="O679" s="24">
        <v>1.9191919191919191</v>
      </c>
      <c r="P679" s="24">
        <v>6.7894736842105257</v>
      </c>
      <c r="Q679" s="24">
        <v>4.4184123484013229</v>
      </c>
      <c r="R679" s="24">
        <v>6.67</v>
      </c>
      <c r="S679" s="24">
        <v>6.1906701032364548</v>
      </c>
      <c r="T679" s="24">
        <v>0.38451634146422142</v>
      </c>
      <c r="U679" s="24" t="s">
        <v>3858</v>
      </c>
      <c r="V679">
        <v>0</v>
      </c>
      <c r="W679" s="21">
        <v>0</v>
      </c>
      <c r="X679" s="56" t="str">
        <f>IFERROR(VLOOKUP(A679,Output!A:F,6,0),"-")</f>
        <v>-</v>
      </c>
    </row>
    <row r="680" spans="1:24" hidden="1" x14ac:dyDescent="0.25">
      <c r="A680" s="21" t="s">
        <v>1172</v>
      </c>
      <c r="B680" s="40" t="s">
        <v>1173</v>
      </c>
      <c r="C680" s="21" t="s">
        <v>244</v>
      </c>
      <c r="D680" s="21" t="s">
        <v>73</v>
      </c>
      <c r="E680" s="21" t="s">
        <v>91</v>
      </c>
      <c r="F680" s="55">
        <v>2.7397569987820566E-4</v>
      </c>
      <c r="G680" s="24">
        <v>5.5877140000000001</v>
      </c>
      <c r="H680" s="24">
        <v>5.281193</v>
      </c>
      <c r="I680" s="24">
        <v>7.0131009999999998</v>
      </c>
      <c r="J680" s="24">
        <v>6.0352600000000001</v>
      </c>
      <c r="K680" s="24">
        <v>1.050586</v>
      </c>
      <c r="L680" s="24">
        <v>6.7037440000000004</v>
      </c>
      <c r="M680" s="24">
        <v>24.0366</v>
      </c>
      <c r="N680" s="24">
        <v>4.4408730708727377</v>
      </c>
      <c r="O680" s="24">
        <v>7.1717171717171713</v>
      </c>
      <c r="P680" s="24">
        <v>4.0436590684255345</v>
      </c>
      <c r="Q680" s="24">
        <v>7.8282900987533468</v>
      </c>
      <c r="R680" s="24">
        <v>6.97</v>
      </c>
      <c r="S680" s="24">
        <v>6.2996419106240111</v>
      </c>
      <c r="T680" s="24">
        <v>0.61846533722828323</v>
      </c>
      <c r="U680" s="24" t="s">
        <v>3200</v>
      </c>
      <c r="V680">
        <v>0</v>
      </c>
      <c r="W680" s="21">
        <v>0</v>
      </c>
      <c r="X680" s="56" t="str">
        <f>IFERROR(VLOOKUP(A680,Output!A:F,6,0),"-")</f>
        <v>-</v>
      </c>
    </row>
    <row r="681" spans="1:24" x14ac:dyDescent="0.25">
      <c r="A681" s="21" t="s">
        <v>2224</v>
      </c>
      <c r="B681" s="40" t="s">
        <v>2225</v>
      </c>
      <c r="C681" s="21" t="s">
        <v>248</v>
      </c>
      <c r="D681" s="21" t="s">
        <v>75</v>
      </c>
      <c r="E681" s="21" t="s">
        <v>92</v>
      </c>
      <c r="F681" s="55">
        <v>2.7273320068570687E-4</v>
      </c>
      <c r="G681" s="24">
        <v>5.2756030000000003</v>
      </c>
      <c r="H681" s="24">
        <v>4.1867080000000003</v>
      </c>
      <c r="I681" s="24">
        <v>2.3556029999999999</v>
      </c>
      <c r="J681" s="24">
        <v>4.0729350000000002</v>
      </c>
      <c r="K681" s="24">
        <v>1.4290700000000001</v>
      </c>
      <c r="L681" s="24">
        <v>5.3775199999999996</v>
      </c>
      <c r="M681" s="24">
        <v>12.887700000000001</v>
      </c>
      <c r="N681" s="24">
        <v>7.1038130989553849</v>
      </c>
      <c r="O681" s="24">
        <v>8.9473684210526319</v>
      </c>
      <c r="P681" s="24">
        <v>2.8000003291428417</v>
      </c>
      <c r="Q681" s="24">
        <v>4.1808877939602649</v>
      </c>
      <c r="R681" s="24">
        <v>3.8</v>
      </c>
      <c r="S681" s="24">
        <v>4.9429904317242581</v>
      </c>
      <c r="T681" s="24">
        <v>0.29207437254790319</v>
      </c>
      <c r="U681" s="24" t="s">
        <v>3816</v>
      </c>
      <c r="V681">
        <v>0</v>
      </c>
      <c r="W681" s="21">
        <v>1</v>
      </c>
      <c r="X681" s="56" t="str">
        <f>IFERROR(VLOOKUP(A681,Output!A:F,6,0),"-")</f>
        <v>-</v>
      </c>
    </row>
    <row r="682" spans="1:24" hidden="1" x14ac:dyDescent="0.25">
      <c r="A682" s="21" t="s">
        <v>545</v>
      </c>
      <c r="B682" s="40" t="s">
        <v>898</v>
      </c>
      <c r="C682" s="21" t="s">
        <v>244</v>
      </c>
      <c r="D682" s="21" t="s">
        <v>73</v>
      </c>
      <c r="E682" s="21" t="s">
        <v>101</v>
      </c>
      <c r="F682" s="55">
        <v>2.7266760477692069E-4</v>
      </c>
      <c r="G682" s="24">
        <v>5.9609310000000004</v>
      </c>
      <c r="H682" s="24">
        <v>4.7899240000000001</v>
      </c>
      <c r="I682" s="24">
        <v>4.8496420000000002</v>
      </c>
      <c r="J682" s="24">
        <v>5.0480130000000001</v>
      </c>
      <c r="K682" s="24">
        <v>1.200412</v>
      </c>
      <c r="L682" s="24">
        <v>3.9294069999999999</v>
      </c>
      <c r="M682" s="24">
        <v>8.9970999999999997</v>
      </c>
      <c r="N682" s="24">
        <v>5.133023671118865</v>
      </c>
      <c r="O682" s="24">
        <v>7.1428571428571423</v>
      </c>
      <c r="P682" s="24">
        <v>6.8142448385533969</v>
      </c>
      <c r="Q682" s="24">
        <v>2.114780048628178</v>
      </c>
      <c r="R682" s="24">
        <v>6.81</v>
      </c>
      <c r="S682" s="24">
        <v>4.6455787881852437</v>
      </c>
      <c r="T682" s="24">
        <v>0.75659156873714339</v>
      </c>
      <c r="U682" s="24" t="s">
        <v>2993</v>
      </c>
      <c r="V682">
        <v>0</v>
      </c>
      <c r="W682" s="21">
        <v>0</v>
      </c>
      <c r="X682" s="56" t="str">
        <f>IFERROR(VLOOKUP(A682,Output!A:F,6,0),"-")</f>
        <v>-</v>
      </c>
    </row>
    <row r="683" spans="1:24" hidden="1" x14ac:dyDescent="0.25">
      <c r="A683" s="21" t="s">
        <v>539</v>
      </c>
      <c r="B683" s="40" t="s">
        <v>949</v>
      </c>
      <c r="C683" s="21" t="s">
        <v>244</v>
      </c>
      <c r="D683" s="21" t="s">
        <v>73</v>
      </c>
      <c r="E683" s="21" t="s">
        <v>91</v>
      </c>
      <c r="F683" s="55">
        <v>2.7233137544078052E-4</v>
      </c>
      <c r="G683" s="24">
        <v>6.3193919999999997</v>
      </c>
      <c r="H683" s="24">
        <v>5.6675800000000001</v>
      </c>
      <c r="I683" s="24">
        <v>5.327051</v>
      </c>
      <c r="J683" s="24">
        <v>5.743938</v>
      </c>
      <c r="K683" s="24">
        <v>2.0016010000000001E-2</v>
      </c>
      <c r="L683" s="24">
        <v>4.518211</v>
      </c>
      <c r="M683" s="24">
        <v>13.524900000000001</v>
      </c>
      <c r="N683" s="24">
        <v>1.9219286409250382</v>
      </c>
      <c r="O683" s="24">
        <v>3.2323232323232327</v>
      </c>
      <c r="P683" s="24">
        <v>3.2016632299307139</v>
      </c>
      <c r="Q683" s="24">
        <v>5.6399769671493969</v>
      </c>
      <c r="R683" s="24" t="e">
        <v>#N/A</v>
      </c>
      <c r="S683" s="24">
        <v>3.8340891365011354</v>
      </c>
      <c r="T683" s="24">
        <v>0.92169926951949055</v>
      </c>
      <c r="U683" s="24" t="s">
        <v>3036</v>
      </c>
      <c r="V683">
        <v>0</v>
      </c>
      <c r="W683" s="21">
        <v>0</v>
      </c>
      <c r="X683" s="56" t="str">
        <f>IFERROR(VLOOKUP(A683,Output!A:F,6,0),"-")</f>
        <v>-</v>
      </c>
    </row>
    <row r="684" spans="1:24" x14ac:dyDescent="0.25">
      <c r="A684" s="21" t="s">
        <v>2442</v>
      </c>
      <c r="B684" s="40" t="s">
        <v>2443</v>
      </c>
      <c r="C684" s="21" t="s">
        <v>248</v>
      </c>
      <c r="D684" s="21" t="s">
        <v>75</v>
      </c>
      <c r="E684" s="21" t="s">
        <v>92</v>
      </c>
      <c r="F684" s="55">
        <v>2.7224183501314294E-4</v>
      </c>
      <c r="G684" s="21">
        <v>7.3840839999999996</v>
      </c>
      <c r="H684" s="21">
        <v>7.3541499999999997</v>
      </c>
      <c r="I684" s="21">
        <v>4.363505</v>
      </c>
      <c r="J684" s="21">
        <v>6.4689300000000003</v>
      </c>
      <c r="K684" s="24">
        <v>1.2096659999999999</v>
      </c>
      <c r="L684" s="24">
        <v>3.2238560000000001</v>
      </c>
      <c r="M684" s="24">
        <v>41.374099999999999</v>
      </c>
      <c r="N684" s="24">
        <v>9.34297075878799</v>
      </c>
      <c r="O684" s="24">
        <v>0.94736842105263164</v>
      </c>
      <c r="P684" s="24">
        <v>4.0342859870040693</v>
      </c>
      <c r="Q684" s="24">
        <v>2.7254443202322971</v>
      </c>
      <c r="R684" s="24">
        <v>4.49</v>
      </c>
      <c r="S684" s="24">
        <v>3.7954190093411637</v>
      </c>
      <c r="T684" s="24">
        <v>0.36428930610856392</v>
      </c>
      <c r="U684" s="24" t="s">
        <v>3912</v>
      </c>
      <c r="V684">
        <v>0</v>
      </c>
      <c r="W684" s="21">
        <v>0</v>
      </c>
      <c r="X684" s="56" t="str">
        <f>IFERROR(VLOOKUP(A684,Output!A:F,6,0),"-")</f>
        <v>-</v>
      </c>
    </row>
    <row r="685" spans="1:24" hidden="1" x14ac:dyDescent="0.25">
      <c r="A685" s="21" t="s">
        <v>515</v>
      </c>
      <c r="B685" s="40" t="s">
        <v>922</v>
      </c>
      <c r="C685" s="21" t="s">
        <v>244</v>
      </c>
      <c r="D685" s="21" t="s">
        <v>73</v>
      </c>
      <c r="E685" s="21" t="s">
        <v>92</v>
      </c>
      <c r="F685" s="55">
        <v>2.7208850960671639E-4</v>
      </c>
      <c r="G685" s="24">
        <v>3.6058699999999999</v>
      </c>
      <c r="H685" s="24">
        <v>4.4649919999999996</v>
      </c>
      <c r="I685" s="24">
        <v>5.0406180000000003</v>
      </c>
      <c r="J685" s="24">
        <v>4.3704929999999997</v>
      </c>
      <c r="K685" s="24">
        <v>2.677333</v>
      </c>
      <c r="L685" s="24">
        <v>5.5203959999999999</v>
      </c>
      <c r="M685" s="24">
        <v>442.82600000000002</v>
      </c>
      <c r="N685" s="24">
        <v>2.7533139204545458</v>
      </c>
      <c r="O685" s="24">
        <v>7.1717171717171713</v>
      </c>
      <c r="P685" s="24">
        <v>6.6632337933543422</v>
      </c>
      <c r="Q685" s="24">
        <v>7.0586663127156886</v>
      </c>
      <c r="R685" s="24">
        <v>7.32</v>
      </c>
      <c r="S685" s="24">
        <v>6.0485162653440607</v>
      </c>
      <c r="T685" s="24">
        <v>0.85503748477649966</v>
      </c>
      <c r="U685" s="24" t="s">
        <v>3027</v>
      </c>
      <c r="V685">
        <v>0</v>
      </c>
      <c r="W685" s="21">
        <v>1</v>
      </c>
      <c r="X685" s="56" t="str">
        <f>IFERROR(VLOOKUP(A685,Output!A:F,6,0),"-")</f>
        <v>-</v>
      </c>
    </row>
    <row r="686" spans="1:24" hidden="1" x14ac:dyDescent="0.25">
      <c r="A686" s="21" t="s">
        <v>1028</v>
      </c>
      <c r="B686" s="40" t="s">
        <v>1029</v>
      </c>
      <c r="C686" s="21" t="s">
        <v>244</v>
      </c>
      <c r="D686" s="21" t="s">
        <v>73</v>
      </c>
      <c r="E686" s="21" t="s">
        <v>99</v>
      </c>
      <c r="F686" s="55">
        <v>2.7181133670992817E-4</v>
      </c>
      <c r="G686" s="24">
        <v>6.3419460000000001</v>
      </c>
      <c r="H686" s="24">
        <v>5.1650090000000004</v>
      </c>
      <c r="I686" s="24">
        <v>5.1145149999999999</v>
      </c>
      <c r="J686" s="24">
        <v>5.5404900000000001</v>
      </c>
      <c r="K686" s="24">
        <v>0</v>
      </c>
      <c r="L686" s="24">
        <v>1.7668410000000001</v>
      </c>
      <c r="M686" s="24">
        <v>44.866</v>
      </c>
      <c r="N686" s="24">
        <v>6.3358335703104629</v>
      </c>
      <c r="O686" s="24">
        <v>9.7916666666666643</v>
      </c>
      <c r="P686" s="24">
        <v>1.5124382089552237</v>
      </c>
      <c r="Q686" s="24">
        <v>1.5575294704613101</v>
      </c>
      <c r="R686" s="24" t="e">
        <v>#N/A</v>
      </c>
      <c r="S686" s="24">
        <v>2.2771802409160768</v>
      </c>
      <c r="T686" s="24">
        <v>2.1420846095861301</v>
      </c>
      <c r="U686" s="24" t="s">
        <v>3041</v>
      </c>
      <c r="V686">
        <v>0</v>
      </c>
      <c r="W686" s="21">
        <v>0</v>
      </c>
      <c r="X686" s="56" t="str">
        <f>IFERROR(VLOOKUP(A686,Output!A:F,6,0),"-")</f>
        <v>-</v>
      </c>
    </row>
    <row r="687" spans="1:24" hidden="1" x14ac:dyDescent="0.25">
      <c r="A687" s="21" t="s">
        <v>126</v>
      </c>
      <c r="B687" s="40" t="s">
        <v>194</v>
      </c>
      <c r="C687" s="21" t="s">
        <v>247</v>
      </c>
      <c r="D687" s="21" t="s">
        <v>74</v>
      </c>
      <c r="E687" s="21" t="s">
        <v>93</v>
      </c>
      <c r="F687" s="55">
        <v>2.7142007522331865E-4</v>
      </c>
      <c r="G687" s="24">
        <v>7.1156050000000004</v>
      </c>
      <c r="H687" s="24">
        <v>6.704237</v>
      </c>
      <c r="I687" s="24">
        <v>6.2515919999999996</v>
      </c>
      <c r="J687" s="24">
        <v>6.6692220000000004</v>
      </c>
      <c r="K687" s="24">
        <v>8.514443</v>
      </c>
      <c r="L687" s="24">
        <v>9.9740900000000003</v>
      </c>
      <c r="M687" s="24">
        <v>2.673</v>
      </c>
      <c r="N687" s="24">
        <v>4.8233670843470602</v>
      </c>
      <c r="O687" s="24">
        <v>1.7171717171717171</v>
      </c>
      <c r="P687" s="24">
        <v>0.73684210526315785</v>
      </c>
      <c r="Q687" s="24">
        <v>3.7017640573318635</v>
      </c>
      <c r="R687" s="24">
        <v>7.59</v>
      </c>
      <c r="S687" s="24">
        <v>3.6892544862444874</v>
      </c>
      <c r="T687" s="24">
        <v>0.53340404545478692</v>
      </c>
      <c r="U687" s="24" t="s">
        <v>2839</v>
      </c>
      <c r="V687">
        <v>0</v>
      </c>
      <c r="W687" s="21">
        <v>0</v>
      </c>
      <c r="X687" s="56" t="str">
        <f>IFERROR(VLOOKUP(A687,Output!A:F,6,0),"-")</f>
        <v>-</v>
      </c>
    </row>
    <row r="688" spans="1:24" hidden="1" x14ac:dyDescent="0.25">
      <c r="A688" s="21" t="s">
        <v>653</v>
      </c>
      <c r="B688" s="40" t="s">
        <v>1025</v>
      </c>
      <c r="C688" s="21" t="s">
        <v>244</v>
      </c>
      <c r="D688" s="21" t="s">
        <v>73</v>
      </c>
      <c r="E688" s="21" t="s">
        <v>99</v>
      </c>
      <c r="F688" s="55">
        <v>2.7141353575388442E-4</v>
      </c>
      <c r="G688" s="24">
        <v>4.6457309999999996</v>
      </c>
      <c r="H688" s="24">
        <v>4.1084180000000003</v>
      </c>
      <c r="I688" s="24">
        <v>6.0622049999999996</v>
      </c>
      <c r="J688" s="24">
        <v>4.9094790000000001</v>
      </c>
      <c r="K688" s="24">
        <v>0.4242148</v>
      </c>
      <c r="L688" s="24">
        <v>2.7431670000000001</v>
      </c>
      <c r="M688" s="24">
        <v>9.7334999999999994</v>
      </c>
      <c r="N688" s="24">
        <v>1.842936609545115</v>
      </c>
      <c r="O688" s="24">
        <v>0.62500000000000011</v>
      </c>
      <c r="P688" s="24">
        <v>6.8656716417910442</v>
      </c>
      <c r="Q688" s="24">
        <v>3.7096866521627718</v>
      </c>
      <c r="R688" s="24">
        <v>6.31</v>
      </c>
      <c r="S688" s="24">
        <v>4.4269947673172041</v>
      </c>
      <c r="T688" s="24">
        <v>1.931788154537819</v>
      </c>
      <c r="U688" s="24" t="s">
        <v>3076</v>
      </c>
      <c r="V688">
        <v>0</v>
      </c>
      <c r="W688" s="21">
        <v>0</v>
      </c>
      <c r="X688" s="56" t="str">
        <f>IFERROR(VLOOKUP(A688,Output!A:F,6,0),"-")</f>
        <v>-</v>
      </c>
    </row>
    <row r="689" spans="1:24" hidden="1" x14ac:dyDescent="0.25">
      <c r="A689" s="21" t="s">
        <v>2469</v>
      </c>
      <c r="B689" s="40" t="s">
        <v>2470</v>
      </c>
      <c r="C689" s="21" t="s">
        <v>249</v>
      </c>
      <c r="D689" s="21" t="s">
        <v>74</v>
      </c>
      <c r="E689" s="21" t="s">
        <v>92</v>
      </c>
      <c r="F689" s="55">
        <v>2.7125558241524291E-4</v>
      </c>
      <c r="G689" s="24">
        <v>6.1410580000000001</v>
      </c>
      <c r="H689" s="24">
        <v>5.7854859999999997</v>
      </c>
      <c r="I689" s="24">
        <v>3.7375959999999999</v>
      </c>
      <c r="J689" s="24">
        <v>5.3133480000000004</v>
      </c>
      <c r="K689" s="24">
        <v>2.2188789999999998</v>
      </c>
      <c r="L689" s="24">
        <v>6.397532</v>
      </c>
      <c r="M689" s="24">
        <v>14.178100000000001</v>
      </c>
      <c r="N689" s="24">
        <v>5.6444444444444439</v>
      </c>
      <c r="O689" s="24">
        <v>3.8775510204081627</v>
      </c>
      <c r="P689" s="24">
        <v>3.0410958904109591</v>
      </c>
      <c r="Q689" s="24">
        <v>4.7316165137733579</v>
      </c>
      <c r="R689" s="24">
        <v>5.96</v>
      </c>
      <c r="S689" s="24">
        <v>4.6715275256963213</v>
      </c>
      <c r="T689" s="24">
        <v>0.31955649889497201</v>
      </c>
      <c r="U689" s="24" t="s">
        <v>3934</v>
      </c>
      <c r="V689">
        <v>1</v>
      </c>
      <c r="W689" s="21">
        <v>0</v>
      </c>
      <c r="X689" s="56" t="str">
        <f>IFERROR(VLOOKUP(A689,Output!A:F,6,0),"-")</f>
        <v>-</v>
      </c>
    </row>
    <row r="690" spans="1:24" hidden="1" x14ac:dyDescent="0.25">
      <c r="A690" s="21" t="s">
        <v>271</v>
      </c>
      <c r="B690" s="40" t="s">
        <v>932</v>
      </c>
      <c r="C690" s="21" t="s">
        <v>244</v>
      </c>
      <c r="D690" s="21" t="s">
        <v>73</v>
      </c>
      <c r="E690" s="21" t="s">
        <v>99</v>
      </c>
      <c r="F690" s="55">
        <v>2.7060173607904448E-4</v>
      </c>
      <c r="G690" s="21">
        <v>8.2735219999999998</v>
      </c>
      <c r="H690" s="21">
        <v>6.569369</v>
      </c>
      <c r="I690" s="21">
        <v>7.9017210000000002</v>
      </c>
      <c r="J690" s="21">
        <v>7.6507360000000002</v>
      </c>
      <c r="K690" s="24">
        <v>1.2054720000000001</v>
      </c>
      <c r="L690" s="24">
        <v>7.4313140000000004</v>
      </c>
      <c r="M690" s="24">
        <v>10.5504</v>
      </c>
      <c r="N690" s="24">
        <v>3.2202054633153478</v>
      </c>
      <c r="O690" s="24">
        <v>6.7708333333333339</v>
      </c>
      <c r="P690" s="24">
        <v>4.477611940298508</v>
      </c>
      <c r="Q690" s="24">
        <v>7.6301470908688298</v>
      </c>
      <c r="R690" s="24">
        <v>7.33</v>
      </c>
      <c r="S690" s="24">
        <v>6.3754850551321747</v>
      </c>
      <c r="T690" s="24">
        <v>0.81258496807050928</v>
      </c>
      <c r="U690" s="24" t="s">
        <v>3038</v>
      </c>
      <c r="V690">
        <v>0</v>
      </c>
      <c r="W690" s="21">
        <v>0</v>
      </c>
      <c r="X690" s="56">
        <f>IFERROR(VLOOKUP(A690,Output!A:F,6,0),"-")</f>
        <v>2.9088148210604705E-3</v>
      </c>
    </row>
    <row r="691" spans="1:24" hidden="1" x14ac:dyDescent="0.25">
      <c r="A691" s="21" t="s">
        <v>625</v>
      </c>
      <c r="B691" s="40" t="s">
        <v>995</v>
      </c>
      <c r="C691" s="21" t="s">
        <v>244</v>
      </c>
      <c r="D691" s="21" t="s">
        <v>73</v>
      </c>
      <c r="E691" s="21" t="s">
        <v>102</v>
      </c>
      <c r="F691" s="55">
        <v>2.6990382377958182E-4</v>
      </c>
      <c r="G691" s="24">
        <v>4.3163850000000004</v>
      </c>
      <c r="H691" s="24">
        <v>2.76403</v>
      </c>
      <c r="I691" s="24">
        <v>3.9566669999999999</v>
      </c>
      <c r="J691" s="24">
        <v>3.93397</v>
      </c>
      <c r="K691" s="24">
        <v>2.734143</v>
      </c>
      <c r="L691" s="24">
        <v>6.1321630000000003</v>
      </c>
      <c r="M691" s="24">
        <v>3457.1460000000002</v>
      </c>
      <c r="N691" s="24">
        <v>9.1052611468146161</v>
      </c>
      <c r="O691" s="24">
        <v>8.6597938144329891</v>
      </c>
      <c r="P691" s="24">
        <v>4.2063492063492056</v>
      </c>
      <c r="Q691" s="24">
        <v>4.1558345914497172</v>
      </c>
      <c r="R691" s="24">
        <v>4.29</v>
      </c>
      <c r="S691" s="24">
        <v>5.5131266731494364</v>
      </c>
      <c r="T691" s="24">
        <v>0.5008438492039774</v>
      </c>
      <c r="U691" s="24" t="s">
        <v>3128</v>
      </c>
      <c r="V691">
        <v>0</v>
      </c>
      <c r="W691" s="21">
        <v>1</v>
      </c>
      <c r="X691" s="56" t="str">
        <f>IFERROR(VLOOKUP(A691,Output!A:F,6,0),"-")</f>
        <v>-</v>
      </c>
    </row>
    <row r="692" spans="1:24" hidden="1" x14ac:dyDescent="0.25">
      <c r="A692" s="21" t="s">
        <v>125</v>
      </c>
      <c r="B692" s="40" t="s">
        <v>193</v>
      </c>
      <c r="C692" s="21" t="s">
        <v>246</v>
      </c>
      <c r="D692" s="21" t="s">
        <v>74</v>
      </c>
      <c r="E692" s="21" t="s">
        <v>85</v>
      </c>
      <c r="F692" s="55">
        <v>2.6990120799180809E-4</v>
      </c>
      <c r="G692" s="24">
        <v>7.2652229999999998</v>
      </c>
      <c r="H692" s="24">
        <v>6.1066469999999997</v>
      </c>
      <c r="I692" s="24">
        <v>6.4304670000000002</v>
      </c>
      <c r="J692" s="24">
        <v>6.5675569999999999</v>
      </c>
      <c r="K692" s="24">
        <v>7.5838700000000001</v>
      </c>
      <c r="L692" s="24">
        <v>13.176</v>
      </c>
      <c r="M692" s="24">
        <v>3.3612000000000002</v>
      </c>
      <c r="N692" s="24">
        <v>4.2232393465196294</v>
      </c>
      <c r="O692" s="24">
        <v>5.7575757575757578</v>
      </c>
      <c r="P692" s="24">
        <v>8.2105263157894743</v>
      </c>
      <c r="Q692" s="24">
        <v>5.3445424476295482</v>
      </c>
      <c r="R692" s="24">
        <v>6.56</v>
      </c>
      <c r="S692" s="24">
        <v>5.9880828946636981</v>
      </c>
      <c r="T692" s="24">
        <v>0.5737904910097652</v>
      </c>
      <c r="U692" s="24" t="s">
        <v>2840</v>
      </c>
      <c r="V692">
        <v>0</v>
      </c>
      <c r="W692" s="21">
        <v>0</v>
      </c>
      <c r="X692" s="56" t="str">
        <f>IFERROR(VLOOKUP(A692,Output!A:F,6,0),"-")</f>
        <v>-</v>
      </c>
    </row>
    <row r="693" spans="1:24" hidden="1" x14ac:dyDescent="0.25">
      <c r="A693" s="21" t="s">
        <v>589</v>
      </c>
      <c r="B693" s="40" t="s">
        <v>1020</v>
      </c>
      <c r="C693" s="21" t="s">
        <v>244</v>
      </c>
      <c r="D693" s="21" t="s">
        <v>73</v>
      </c>
      <c r="E693" s="21" t="s">
        <v>92</v>
      </c>
      <c r="F693" s="55">
        <v>2.6979406130030924E-4</v>
      </c>
      <c r="G693" s="24">
        <v>4.3980459999999999</v>
      </c>
      <c r="H693" s="24">
        <v>5.2055730000000002</v>
      </c>
      <c r="I693" s="24">
        <v>4.828379</v>
      </c>
      <c r="J693" s="24">
        <v>4.7694039999999998</v>
      </c>
      <c r="K693" s="24">
        <v>1.329504</v>
      </c>
      <c r="L693" s="24">
        <v>3.7841320000000001</v>
      </c>
      <c r="M693" s="24">
        <v>3.3862000000000001</v>
      </c>
      <c r="N693" s="24">
        <v>1.9389204545454544</v>
      </c>
      <c r="O693" s="24">
        <v>1.7171717171717171</v>
      </c>
      <c r="P693" s="24">
        <v>8.1771369797028353</v>
      </c>
      <c r="Q693" s="24">
        <v>4.7588712503318291</v>
      </c>
      <c r="R693" s="24">
        <v>4.7300000000000004</v>
      </c>
      <c r="S693" s="24">
        <v>5.3468515670915844</v>
      </c>
      <c r="T693" s="24">
        <v>1.0629474563622301</v>
      </c>
      <c r="U693" s="24" t="s">
        <v>3145</v>
      </c>
      <c r="V693">
        <v>0</v>
      </c>
      <c r="W693" s="21">
        <v>0</v>
      </c>
      <c r="X693" s="56" t="str">
        <f>IFERROR(VLOOKUP(A693,Output!A:F,6,0),"-")</f>
        <v>-</v>
      </c>
    </row>
    <row r="694" spans="1:24" hidden="1" x14ac:dyDescent="0.25">
      <c r="A694" s="21" t="s">
        <v>1069</v>
      </c>
      <c r="B694" s="40" t="s">
        <v>1070</v>
      </c>
      <c r="C694" s="21" t="s">
        <v>244</v>
      </c>
      <c r="D694" s="21" t="s">
        <v>73</v>
      </c>
      <c r="E694" s="21" t="s">
        <v>102</v>
      </c>
      <c r="F694" s="55">
        <v>2.6949576088688743E-4</v>
      </c>
      <c r="G694" s="24">
        <v>4.3002440000000002</v>
      </c>
      <c r="H694" s="24">
        <v>6.0029529999999998</v>
      </c>
      <c r="I694" s="24">
        <v>5.3896360000000003</v>
      </c>
      <c r="J694" s="24">
        <v>4.8586640000000001</v>
      </c>
      <c r="K694" s="24">
        <v>3.4432079999999998</v>
      </c>
      <c r="L694" s="24">
        <v>5.8973769999999996</v>
      </c>
      <c r="M694" s="24">
        <v>2726.3960000000002</v>
      </c>
      <c r="N694" s="24">
        <v>7.2605250252078921</v>
      </c>
      <c r="O694" s="24">
        <v>5.8762886597938131</v>
      </c>
      <c r="P694" s="24">
        <v>3.5714285714285716</v>
      </c>
      <c r="Q694" s="24">
        <v>3.353463195492874</v>
      </c>
      <c r="R694" s="24">
        <v>4.43</v>
      </c>
      <c r="S694" s="24">
        <v>4.3870035357369019</v>
      </c>
      <c r="T694" s="24">
        <v>0.48025503424013433</v>
      </c>
      <c r="U694" s="24" t="s">
        <v>3181</v>
      </c>
      <c r="V694">
        <v>1</v>
      </c>
      <c r="W694" s="21">
        <v>0</v>
      </c>
      <c r="X694" s="56" t="str">
        <f>IFERROR(VLOOKUP(A694,Output!A:F,6,0),"-")</f>
        <v>-</v>
      </c>
    </row>
    <row r="695" spans="1:24" hidden="1" x14ac:dyDescent="0.25">
      <c r="A695" s="21" t="s">
        <v>2214</v>
      </c>
      <c r="B695" s="40" t="s">
        <v>2215</v>
      </c>
      <c r="C695" s="21" t="s">
        <v>1441</v>
      </c>
      <c r="D695" s="21" t="s">
        <v>74</v>
      </c>
      <c r="E695" s="21" t="s">
        <v>86</v>
      </c>
      <c r="F695" s="55">
        <v>2.6943911902086506E-4</v>
      </c>
      <c r="G695" s="21">
        <v>8.2787419999999994</v>
      </c>
      <c r="H695" s="21">
        <v>7.534707</v>
      </c>
      <c r="I695" s="21">
        <v>7.9349679999999996</v>
      </c>
      <c r="J695" s="21">
        <v>7.9161390000000003</v>
      </c>
      <c r="K695" s="24">
        <v>4.823315</v>
      </c>
      <c r="L695" s="24">
        <v>5.4689800000000002</v>
      </c>
      <c r="M695" s="24">
        <v>525.77949999999998</v>
      </c>
      <c r="N695" s="24">
        <v>6.3807259729944397</v>
      </c>
      <c r="O695" s="24">
        <v>3.9175257731958757</v>
      </c>
      <c r="P695" s="24">
        <v>3.2131147540983607</v>
      </c>
      <c r="Q695" s="24">
        <v>3.2072016346312804</v>
      </c>
      <c r="R695" s="24">
        <v>5.5</v>
      </c>
      <c r="S695" s="24">
        <v>4.4662004548799334</v>
      </c>
      <c r="T695" s="24">
        <v>0.38451820473843012</v>
      </c>
      <c r="U695" s="24" t="s">
        <v>3746</v>
      </c>
      <c r="V695">
        <v>0</v>
      </c>
      <c r="W695" s="21">
        <v>0</v>
      </c>
      <c r="X695" s="56" t="str">
        <f>IFERROR(VLOOKUP(A695,Output!A:F,6,0),"-")</f>
        <v>-</v>
      </c>
    </row>
    <row r="696" spans="1:24" hidden="1" x14ac:dyDescent="0.25">
      <c r="A696" s="21" t="s">
        <v>610</v>
      </c>
      <c r="B696" s="40" t="s">
        <v>917</v>
      </c>
      <c r="C696" s="21" t="s">
        <v>244</v>
      </c>
      <c r="D696" s="21" t="s">
        <v>73</v>
      </c>
      <c r="E696" s="21" t="s">
        <v>99</v>
      </c>
      <c r="F696" s="55">
        <v>2.6933790815546795E-4</v>
      </c>
      <c r="G696" s="24">
        <v>6.4831320000000003</v>
      </c>
      <c r="H696" s="24">
        <v>4.901224</v>
      </c>
      <c r="I696" s="24">
        <v>5.1960280000000001</v>
      </c>
      <c r="J696" s="24">
        <v>5.5267939999999998</v>
      </c>
      <c r="K696" s="24">
        <v>0</v>
      </c>
      <c r="L696" s="24">
        <v>5.836665</v>
      </c>
      <c r="M696" s="24">
        <v>72.050700000000006</v>
      </c>
      <c r="N696" s="24">
        <v>3.6641676135886039</v>
      </c>
      <c r="O696" s="24">
        <v>4.5833333333333339</v>
      </c>
      <c r="P696" s="24">
        <v>3.6119402985074629</v>
      </c>
      <c r="Q696" s="24">
        <v>6.9760952746333036</v>
      </c>
      <c r="R696" s="24" t="e">
        <v>#N/A</v>
      </c>
      <c r="S696" s="24">
        <v>4.9006402345085087</v>
      </c>
      <c r="T696" s="24">
        <v>0.89925647231855221</v>
      </c>
      <c r="U696" s="24" t="s">
        <v>3035</v>
      </c>
      <c r="V696">
        <v>0</v>
      </c>
      <c r="W696" s="21">
        <v>0</v>
      </c>
      <c r="X696" s="56" t="str">
        <f>IFERROR(VLOOKUP(A696,Output!A:F,6,0),"-")</f>
        <v>-</v>
      </c>
    </row>
    <row r="697" spans="1:24" hidden="1" x14ac:dyDescent="0.25">
      <c r="A697" s="21" t="s">
        <v>4447</v>
      </c>
      <c r="B697" s="40" t="s">
        <v>4448</v>
      </c>
      <c r="C697" s="21" t="s">
        <v>244</v>
      </c>
      <c r="D697" s="21" t="s">
        <v>73</v>
      </c>
      <c r="E697" s="21" t="s">
        <v>92</v>
      </c>
      <c r="F697" s="55">
        <v>2.689883986660153E-4</v>
      </c>
      <c r="G697" s="24">
        <v>4.6253510000000002</v>
      </c>
      <c r="H697" s="24">
        <v>5.3468159999999996</v>
      </c>
      <c r="I697" s="24">
        <v>4.7718730000000003</v>
      </c>
      <c r="J697" s="24">
        <v>4.8857470000000003</v>
      </c>
      <c r="K697" s="24">
        <v>0.24033089999999999</v>
      </c>
      <c r="L697" s="24">
        <v>7.3726469999999997</v>
      </c>
      <c r="M697" s="24">
        <v>82.489099999999993</v>
      </c>
      <c r="N697" s="24">
        <v>5.5184659090909101</v>
      </c>
      <c r="O697" s="24">
        <v>5.6565656565656566</v>
      </c>
      <c r="P697" s="24">
        <v>9.042224514759118</v>
      </c>
      <c r="Q697" s="24">
        <v>5.2391823732413059</v>
      </c>
      <c r="R697" s="24">
        <v>5.23</v>
      </c>
      <c r="S697" s="24">
        <v>6.1446189529398811</v>
      </c>
      <c r="T697" s="24">
        <v>1.5039764719450865</v>
      </c>
      <c r="U697" s="24" t="s">
        <v>4449</v>
      </c>
      <c r="V697">
        <v>0</v>
      </c>
      <c r="W697" s="21">
        <v>0</v>
      </c>
      <c r="X697" s="56" t="str">
        <f>IFERROR(VLOOKUP(A697,Output!A:F,6,0),"-")</f>
        <v>-</v>
      </c>
    </row>
    <row r="698" spans="1:24" hidden="1" x14ac:dyDescent="0.25">
      <c r="A698" s="21" t="s">
        <v>2055</v>
      </c>
      <c r="B698" s="40" t="s">
        <v>2056</v>
      </c>
      <c r="C698" s="21" t="s">
        <v>247</v>
      </c>
      <c r="D698" s="21" t="s">
        <v>74</v>
      </c>
      <c r="E698" s="21" t="s">
        <v>93</v>
      </c>
      <c r="F698" s="55">
        <v>2.6889151391116698E-4</v>
      </c>
      <c r="G698" s="21">
        <v>6.2175010000000004</v>
      </c>
      <c r="H698" s="21">
        <v>4.9955379999999998</v>
      </c>
      <c r="I698" s="21">
        <v>6.038303</v>
      </c>
      <c r="J698" s="21">
        <v>5.7270950000000003</v>
      </c>
      <c r="K698" s="21">
        <v>7.2726990000000002</v>
      </c>
      <c r="L698" s="24">
        <v>10.197039999999999</v>
      </c>
      <c r="M698" s="24">
        <v>2.3593000000000002</v>
      </c>
      <c r="N698" s="24">
        <v>4.9936156623635375</v>
      </c>
      <c r="O698" s="24">
        <v>4.141414141414141</v>
      </c>
      <c r="P698" s="24">
        <v>2.9649126315789474</v>
      </c>
      <c r="Q698" s="24">
        <v>5.0358324145534725</v>
      </c>
      <c r="R698" s="24">
        <v>6.85</v>
      </c>
      <c r="S698" s="24">
        <v>4.8882985471198932</v>
      </c>
      <c r="T698" s="24">
        <v>0.38215492358498787</v>
      </c>
      <c r="U698" s="21" t="s">
        <v>3693</v>
      </c>
      <c r="V698">
        <v>0</v>
      </c>
      <c r="W698" s="21">
        <v>0</v>
      </c>
      <c r="X698" s="56" t="str">
        <f>IFERROR(VLOOKUP(A698,Output!A:F,6,0),"-")</f>
        <v>-</v>
      </c>
    </row>
    <row r="699" spans="1:24" hidden="1" x14ac:dyDescent="0.25">
      <c r="A699" s="21" t="s">
        <v>532</v>
      </c>
      <c r="B699" s="40" t="s">
        <v>924</v>
      </c>
      <c r="C699" s="21" t="s">
        <v>244</v>
      </c>
      <c r="D699" s="21" t="s">
        <v>73</v>
      </c>
      <c r="E699" s="21" t="s">
        <v>92</v>
      </c>
      <c r="F699" s="55">
        <v>2.6779600187010465E-4</v>
      </c>
      <c r="G699" s="24">
        <v>5.7389599999999996</v>
      </c>
      <c r="H699" s="24">
        <v>3.7777820000000002</v>
      </c>
      <c r="I699" s="24">
        <v>7.4712589999999999</v>
      </c>
      <c r="J699" s="24">
        <v>5.6588529999999997</v>
      </c>
      <c r="K699" s="24">
        <v>2.4943089999999999</v>
      </c>
      <c r="L699" s="24">
        <v>15.115970000000001</v>
      </c>
      <c r="M699" s="24">
        <v>4.7430000000000003</v>
      </c>
      <c r="N699" s="24">
        <v>4.2021775568181825</v>
      </c>
      <c r="O699" s="24">
        <v>8.5858585858585847</v>
      </c>
      <c r="P699" s="24">
        <v>5.4706488343124668</v>
      </c>
      <c r="Q699" s="24">
        <v>10</v>
      </c>
      <c r="R699" s="24">
        <v>6.55</v>
      </c>
      <c r="S699" s="24">
        <v>6.8994176508104985</v>
      </c>
      <c r="T699" s="24">
        <v>1.1493560459278367</v>
      </c>
      <c r="U699" s="24" t="s">
        <v>2794</v>
      </c>
      <c r="V699">
        <v>0</v>
      </c>
      <c r="W699" s="21">
        <v>0</v>
      </c>
      <c r="X699" s="56" t="str">
        <f>IFERROR(VLOOKUP(A699,Output!A:F,6,0),"-")</f>
        <v>-</v>
      </c>
    </row>
    <row r="700" spans="1:24" x14ac:dyDescent="0.25">
      <c r="A700" s="21" t="s">
        <v>2099</v>
      </c>
      <c r="B700" s="40" t="s">
        <v>2100</v>
      </c>
      <c r="C700" s="21" t="s">
        <v>248</v>
      </c>
      <c r="D700" s="21" t="s">
        <v>75</v>
      </c>
      <c r="E700" s="21" t="s">
        <v>96</v>
      </c>
      <c r="F700" s="55">
        <v>2.6718944092827667E-4</v>
      </c>
      <c r="G700" s="24">
        <v>4.0755730000000003</v>
      </c>
      <c r="H700" s="24">
        <v>7.0167330000000003</v>
      </c>
      <c r="I700" s="24">
        <v>5.6855520000000004</v>
      </c>
      <c r="J700" s="24">
        <v>5.4409150000000004</v>
      </c>
      <c r="K700" s="24">
        <v>2.6305420000000002</v>
      </c>
      <c r="L700" s="24">
        <v>3.6230120000000001</v>
      </c>
      <c r="M700" s="24">
        <v>95.957099999999997</v>
      </c>
      <c r="N700" s="24">
        <v>0</v>
      </c>
      <c r="O700" s="24">
        <v>2.771084337349397</v>
      </c>
      <c r="P700" s="24">
        <v>4.0769230769230766</v>
      </c>
      <c r="Q700" s="24">
        <v>1.5593934690797837</v>
      </c>
      <c r="R700" s="24">
        <v>5.62</v>
      </c>
      <c r="S700" s="24">
        <v>3.805131564992454</v>
      </c>
      <c r="T700" s="24">
        <v>-4.8853624813657001E-2</v>
      </c>
      <c r="U700" s="24" t="s">
        <v>3754</v>
      </c>
      <c r="V700">
        <v>0</v>
      </c>
      <c r="W700" s="21">
        <v>0</v>
      </c>
      <c r="X700" s="56" t="str">
        <f>IFERROR(VLOOKUP(A700,Output!A:F,6,0),"-")</f>
        <v>-</v>
      </c>
    </row>
    <row r="701" spans="1:24" hidden="1" x14ac:dyDescent="0.25">
      <c r="A701" s="21" t="s">
        <v>112</v>
      </c>
      <c r="B701" s="40" t="s">
        <v>181</v>
      </c>
      <c r="C701" s="21" t="s">
        <v>244</v>
      </c>
      <c r="D701" s="21" t="s">
        <v>73</v>
      </c>
      <c r="E701" s="21" t="s">
        <v>99</v>
      </c>
      <c r="F701" s="55">
        <v>2.6717133162830502E-4</v>
      </c>
      <c r="G701" s="21">
        <v>2.93024</v>
      </c>
      <c r="H701" s="21">
        <v>2.004877</v>
      </c>
      <c r="I701" s="21">
        <v>5.8331340000000003</v>
      </c>
      <c r="J701" s="21">
        <v>3.5234990000000002</v>
      </c>
      <c r="K701" s="24">
        <v>2.5790120000000001</v>
      </c>
      <c r="L701" s="24">
        <v>6.9008260000000003</v>
      </c>
      <c r="M701" s="24">
        <v>98.855099999999993</v>
      </c>
      <c r="N701" s="24">
        <v>2.1625893577418589</v>
      </c>
      <c r="O701" s="24">
        <v>1.1458333333333333</v>
      </c>
      <c r="P701" s="24">
        <v>5.5820895522388057</v>
      </c>
      <c r="Q701" s="24">
        <v>8.6861281796126253</v>
      </c>
      <c r="R701" s="24">
        <v>8.25</v>
      </c>
      <c r="S701" s="24">
        <v>6.7707375681953099</v>
      </c>
      <c r="T701" s="24">
        <v>1.6533068009927634</v>
      </c>
      <c r="U701" s="24" t="s">
        <v>3136</v>
      </c>
      <c r="V701">
        <v>0</v>
      </c>
      <c r="W701" s="21">
        <v>1</v>
      </c>
      <c r="X701" s="56" t="str">
        <f>IFERROR(VLOOKUP(A701,Output!A:F,6,0),"-")</f>
        <v>-</v>
      </c>
    </row>
    <row r="702" spans="1:24" hidden="1" x14ac:dyDescent="0.25">
      <c r="A702" s="21" t="s">
        <v>2003</v>
      </c>
      <c r="B702" s="40" t="s">
        <v>2004</v>
      </c>
      <c r="C702" s="21" t="s">
        <v>250</v>
      </c>
      <c r="D702" s="21" t="s">
        <v>76</v>
      </c>
      <c r="E702" s="21" t="s">
        <v>93</v>
      </c>
      <c r="F702" s="55">
        <v>2.658172590265365E-4</v>
      </c>
      <c r="G702" s="24">
        <v>5.539263</v>
      </c>
      <c r="H702" s="24">
        <v>6.2087659999999998</v>
      </c>
      <c r="I702" s="24">
        <v>5.5907340000000003</v>
      </c>
      <c r="J702" s="24">
        <v>5.7916040000000004</v>
      </c>
      <c r="K702" s="24">
        <v>4.9757730000000002</v>
      </c>
      <c r="L702" s="24">
        <v>11.780900000000001</v>
      </c>
      <c r="M702" s="24">
        <v>1.4896</v>
      </c>
      <c r="N702" s="24">
        <v>10</v>
      </c>
      <c r="O702" s="24">
        <v>8.0952380952380967</v>
      </c>
      <c r="P702" s="24">
        <v>0</v>
      </c>
      <c r="Q702" s="24">
        <v>10</v>
      </c>
      <c r="R702" s="24">
        <v>5.47</v>
      </c>
      <c r="S702" s="24">
        <v>6.2324325675675674</v>
      </c>
      <c r="T702" s="24">
        <v>0.40213223965916478</v>
      </c>
      <c r="U702" s="24" t="s">
        <v>2834</v>
      </c>
      <c r="V702">
        <v>0</v>
      </c>
      <c r="W702" s="21">
        <v>0</v>
      </c>
      <c r="X702" s="56" t="str">
        <f>IFERROR(VLOOKUP(A702,Output!A:F,6,0),"-")</f>
        <v>-</v>
      </c>
    </row>
    <row r="703" spans="1:24" hidden="1" x14ac:dyDescent="0.25">
      <c r="A703" s="21" t="s">
        <v>540</v>
      </c>
      <c r="B703" s="40" t="s">
        <v>724</v>
      </c>
      <c r="C703" s="21" t="s">
        <v>244</v>
      </c>
      <c r="D703" s="21" t="s">
        <v>73</v>
      </c>
      <c r="E703" s="21" t="s">
        <v>85</v>
      </c>
      <c r="F703" s="55">
        <v>2.6548233758428316E-4</v>
      </c>
      <c r="G703" s="24">
        <v>3.1329549999999999</v>
      </c>
      <c r="H703" s="24">
        <v>3.8904339999999999</v>
      </c>
      <c r="I703" s="24">
        <v>4.5145109999999997</v>
      </c>
      <c r="J703" s="24">
        <v>3.8816169999999999</v>
      </c>
      <c r="K703" s="24">
        <v>4.8758660000000003</v>
      </c>
      <c r="L703" s="24">
        <v>9.9882589999999993</v>
      </c>
      <c r="M703" s="24">
        <v>6.3455000000000004</v>
      </c>
      <c r="N703" s="24">
        <v>3.106553385416666</v>
      </c>
      <c r="O703" s="24">
        <v>0.72164948453608235</v>
      </c>
      <c r="P703" s="24">
        <v>1.7875647668393784</v>
      </c>
      <c r="Q703" s="24">
        <v>7.971013577728387</v>
      </c>
      <c r="R703" s="24">
        <v>6.5</v>
      </c>
      <c r="S703" s="24">
        <v>4.5606164172995554</v>
      </c>
      <c r="T703" s="24">
        <v>1.5343360044677599</v>
      </c>
      <c r="U703" s="24" t="s">
        <v>3092</v>
      </c>
      <c r="V703">
        <v>0</v>
      </c>
      <c r="W703" s="21">
        <v>1</v>
      </c>
      <c r="X703" s="56" t="str">
        <f>IFERROR(VLOOKUP(A703,Output!A:F,6,0),"-")</f>
        <v>-</v>
      </c>
    </row>
    <row r="704" spans="1:24" hidden="1" x14ac:dyDescent="0.25">
      <c r="A704" s="21" t="s">
        <v>2290</v>
      </c>
      <c r="B704" s="40" t="s">
        <v>2291</v>
      </c>
      <c r="C704" s="21" t="s">
        <v>254</v>
      </c>
      <c r="D704" s="21" t="s">
        <v>74</v>
      </c>
      <c r="E704" s="21" t="s">
        <v>91</v>
      </c>
      <c r="F704" s="55">
        <v>2.6497849661618326E-4</v>
      </c>
      <c r="G704" s="24">
        <v>8.7082259999999998</v>
      </c>
      <c r="H704" s="24">
        <v>3.4414699999999998</v>
      </c>
      <c r="I704" s="24">
        <v>6.6166689999999999</v>
      </c>
      <c r="J704" s="24">
        <v>5.7649010000000001</v>
      </c>
      <c r="K704" s="24">
        <v>0.65754780000000002</v>
      </c>
      <c r="L704" s="24">
        <v>2.1414610000000001</v>
      </c>
      <c r="M704" s="24">
        <v>35.529400000000003</v>
      </c>
      <c r="N704" s="24">
        <v>4.7417515358361779</v>
      </c>
      <c r="O704" s="24">
        <v>3.0927835051546388</v>
      </c>
      <c r="P704" s="24">
        <v>7.2934472934472954</v>
      </c>
      <c r="Q704" s="24">
        <v>0.20773423463488394</v>
      </c>
      <c r="R704" s="24">
        <v>4.7</v>
      </c>
      <c r="S704" s="24">
        <v>3.3818788625976728</v>
      </c>
      <c r="T704" s="24">
        <v>0.83348425156748851</v>
      </c>
      <c r="U704" s="24" t="s">
        <v>3821</v>
      </c>
      <c r="V704">
        <v>0</v>
      </c>
      <c r="W704" s="21">
        <v>0</v>
      </c>
      <c r="X704" s="56" t="str">
        <f>IFERROR(VLOOKUP(A704,Output!A:F,6,0),"-")</f>
        <v>-</v>
      </c>
    </row>
    <row r="705" spans="1:24" x14ac:dyDescent="0.25">
      <c r="A705" s="21" t="s">
        <v>1922</v>
      </c>
      <c r="B705" s="40" t="s">
        <v>1923</v>
      </c>
      <c r="C705" s="21" t="s">
        <v>248</v>
      </c>
      <c r="D705" s="21" t="s">
        <v>75</v>
      </c>
      <c r="E705" s="21" t="s">
        <v>96</v>
      </c>
      <c r="F705" s="55">
        <v>2.6476108440930146E-4</v>
      </c>
      <c r="G705" s="24">
        <v>5.661168</v>
      </c>
      <c r="H705" s="24">
        <v>6.2688509999999997</v>
      </c>
      <c r="I705" s="24">
        <v>7.0683540000000002</v>
      </c>
      <c r="J705" s="24">
        <v>6.3455789999999999</v>
      </c>
      <c r="K705" s="24">
        <v>3.213635</v>
      </c>
      <c r="L705" s="24">
        <v>11.88153</v>
      </c>
      <c r="M705" s="24">
        <v>13.819000000000001</v>
      </c>
      <c r="N705" s="24">
        <v>0.9845104218698042</v>
      </c>
      <c r="O705" s="24">
        <v>6.236559139784946</v>
      </c>
      <c r="P705" s="24">
        <v>4.3939393939393936</v>
      </c>
      <c r="Q705" s="24">
        <v>6.7783895939855734</v>
      </c>
      <c r="R705" s="24">
        <v>5.51</v>
      </c>
      <c r="S705" s="24">
        <v>6.0676186284415472</v>
      </c>
      <c r="T705" s="24">
        <v>0.15585135009387832</v>
      </c>
      <c r="U705" s="24" t="s">
        <v>3651</v>
      </c>
      <c r="V705">
        <v>0</v>
      </c>
      <c r="W705" s="21">
        <v>0</v>
      </c>
      <c r="X705" s="56">
        <f>IFERROR(VLOOKUP(A705,Output!A:F,6,0),"-")</f>
        <v>5.0000000000000001E-3</v>
      </c>
    </row>
    <row r="706" spans="1:24" hidden="1" x14ac:dyDescent="0.25">
      <c r="A706" s="21" t="s">
        <v>508</v>
      </c>
      <c r="B706" s="40" t="s">
        <v>905</v>
      </c>
      <c r="C706" s="21" t="s">
        <v>244</v>
      </c>
      <c r="D706" s="21" t="s">
        <v>73</v>
      </c>
      <c r="E706" s="21" t="s">
        <v>99</v>
      </c>
      <c r="F706" s="55">
        <v>2.6431438834333425E-4</v>
      </c>
      <c r="G706" s="24">
        <v>4.0866990000000003</v>
      </c>
      <c r="H706" s="24">
        <v>3.9891359999999998</v>
      </c>
      <c r="I706" s="24">
        <v>5.7981109999999996</v>
      </c>
      <c r="J706" s="24">
        <v>4.6246489999999998</v>
      </c>
      <c r="K706" s="24">
        <v>0</v>
      </c>
      <c r="L706" s="24">
        <v>4.561134</v>
      </c>
      <c r="M706" s="24">
        <v>3.4283999999999999</v>
      </c>
      <c r="N706" s="24">
        <v>3.8141273728593026</v>
      </c>
      <c r="O706" s="24">
        <v>8.125</v>
      </c>
      <c r="P706" s="24">
        <v>3.4228859701492538</v>
      </c>
      <c r="Q706" s="24">
        <v>5.5254912078173568</v>
      </c>
      <c r="R706" s="24" t="e">
        <v>#N/A</v>
      </c>
      <c r="S706" s="24">
        <v>4.3978174311231086</v>
      </c>
      <c r="T706" s="24">
        <v>1.0246916031207007</v>
      </c>
      <c r="U706" s="24" t="s">
        <v>3011</v>
      </c>
      <c r="V706">
        <v>0</v>
      </c>
      <c r="W706" s="21">
        <v>0</v>
      </c>
      <c r="X706" s="56" t="str">
        <f>IFERROR(VLOOKUP(A706,Output!A:F,6,0),"-")</f>
        <v>-</v>
      </c>
    </row>
    <row r="707" spans="1:24" hidden="1" x14ac:dyDescent="0.25">
      <c r="A707" s="21" t="s">
        <v>1110</v>
      </c>
      <c r="B707" s="40" t="s">
        <v>1111</v>
      </c>
      <c r="C707" s="21" t="s">
        <v>244</v>
      </c>
      <c r="D707" s="21" t="s">
        <v>73</v>
      </c>
      <c r="E707" s="21" t="s">
        <v>89</v>
      </c>
      <c r="F707" s="55">
        <v>2.6352693561623399E-4</v>
      </c>
      <c r="G707" s="24">
        <v>3.6414140000000002</v>
      </c>
      <c r="H707" s="24">
        <v>3.964045</v>
      </c>
      <c r="I707" s="24">
        <v>5.0782290000000003</v>
      </c>
      <c r="J707" s="24">
        <v>4.2572200000000002</v>
      </c>
      <c r="K707" s="24">
        <v>3.5250919999999999</v>
      </c>
      <c r="L707" s="24">
        <v>7.6838810000000004</v>
      </c>
      <c r="M707" s="24">
        <v>3.8397000000000001</v>
      </c>
      <c r="N707" s="24">
        <v>3.1944440104166665</v>
      </c>
      <c r="O707" s="24">
        <v>5.7731958762886588</v>
      </c>
      <c r="P707" s="24">
        <v>3.1865284974093271</v>
      </c>
      <c r="Q707" s="24">
        <v>4.9232308884223404</v>
      </c>
      <c r="R707" s="24">
        <v>5.8</v>
      </c>
      <c r="S707" s="24">
        <v>4.1504532216270054</v>
      </c>
      <c r="T707" s="24">
        <v>1.2812816426023683</v>
      </c>
      <c r="U707" s="24" t="s">
        <v>3122</v>
      </c>
      <c r="V707">
        <v>0</v>
      </c>
      <c r="W707" s="21">
        <v>1</v>
      </c>
      <c r="X707" s="56" t="str">
        <f>IFERROR(VLOOKUP(A707,Output!A:F,6,0),"-")</f>
        <v>-</v>
      </c>
    </row>
    <row r="708" spans="1:24" hidden="1" x14ac:dyDescent="0.25">
      <c r="A708" s="21" t="s">
        <v>513</v>
      </c>
      <c r="B708" s="40" t="s">
        <v>997</v>
      </c>
      <c r="C708" s="21" t="s">
        <v>244</v>
      </c>
      <c r="D708" s="21" t="s">
        <v>73</v>
      </c>
      <c r="E708" s="21" t="s">
        <v>101</v>
      </c>
      <c r="F708" s="55">
        <v>2.6269300235253981E-4</v>
      </c>
      <c r="G708" s="24">
        <v>2.8172739999999998</v>
      </c>
      <c r="H708" s="24">
        <v>2.5775269999999999</v>
      </c>
      <c r="I708" s="24">
        <v>3.7272159999999999</v>
      </c>
      <c r="J708" s="24">
        <v>3.0853519999999999</v>
      </c>
      <c r="K708" s="24">
        <v>0</v>
      </c>
      <c r="L708" s="24">
        <v>2.0180419999999999</v>
      </c>
      <c r="M708" s="24">
        <v>14.3934</v>
      </c>
      <c r="N708" s="24">
        <v>7.1431595681012787</v>
      </c>
      <c r="O708" s="24">
        <v>3.1632653061224487</v>
      </c>
      <c r="P708" s="24">
        <v>5.6592881449828223</v>
      </c>
      <c r="Q708" s="24">
        <v>3.9550744219424105</v>
      </c>
      <c r="R708" s="24" t="e">
        <v>#N/A</v>
      </c>
      <c r="S708" s="24">
        <v>4.2829685644773852</v>
      </c>
      <c r="T708" s="24">
        <v>1.415145727121685</v>
      </c>
      <c r="U708" s="24" t="s">
        <v>3110</v>
      </c>
      <c r="V708">
        <v>0</v>
      </c>
      <c r="W708" s="21">
        <v>1</v>
      </c>
      <c r="X708" s="56" t="str">
        <f>IFERROR(VLOOKUP(A708,Output!A:F,6,0),"-")</f>
        <v>-</v>
      </c>
    </row>
    <row r="709" spans="1:24" x14ac:dyDescent="0.25">
      <c r="A709" s="21" t="s">
        <v>2101</v>
      </c>
      <c r="B709" s="40" t="s">
        <v>2102</v>
      </c>
      <c r="C709" s="21" t="s">
        <v>248</v>
      </c>
      <c r="D709" s="21" t="s">
        <v>75</v>
      </c>
      <c r="E709" s="21" t="s">
        <v>91</v>
      </c>
      <c r="F709" s="55">
        <v>2.6256472814440736E-4</v>
      </c>
      <c r="G709" s="24">
        <v>4.3755750000000004</v>
      </c>
      <c r="H709" s="24">
        <v>4.1652769999999997</v>
      </c>
      <c r="I709" s="24">
        <v>6.1699890000000002</v>
      </c>
      <c r="J709" s="24">
        <v>5.0092220000000003</v>
      </c>
      <c r="K709" s="24">
        <v>1.89011</v>
      </c>
      <c r="L709" s="24">
        <v>8.3685849999999995</v>
      </c>
      <c r="M709" s="24">
        <v>68.605999999999995</v>
      </c>
      <c r="N709" s="24">
        <v>5.7848102973241398</v>
      </c>
      <c r="O709" s="24">
        <v>9.615384615384615</v>
      </c>
      <c r="P709" s="24">
        <v>5.3149606299212593</v>
      </c>
      <c r="Q709" s="24">
        <v>9.8520481134359876</v>
      </c>
      <c r="R709" s="24">
        <v>6.17</v>
      </c>
      <c r="S709" s="24">
        <v>7.0061569720875738</v>
      </c>
      <c r="T709" s="24">
        <v>0.20131782874923881</v>
      </c>
      <c r="U709" s="24" t="s">
        <v>2837</v>
      </c>
      <c r="V709">
        <v>0</v>
      </c>
      <c r="W709" s="21">
        <v>0</v>
      </c>
      <c r="X709" s="56">
        <f>IFERROR(VLOOKUP(A709,Output!A:F,6,0),"-")</f>
        <v>2.0000000000000113E-3</v>
      </c>
    </row>
    <row r="710" spans="1:24" x14ac:dyDescent="0.25">
      <c r="A710" s="21" t="s">
        <v>1560</v>
      </c>
      <c r="B710" s="40" t="s">
        <v>1561</v>
      </c>
      <c r="C710" s="21" t="s">
        <v>248</v>
      </c>
      <c r="D710" s="21" t="s">
        <v>75</v>
      </c>
      <c r="E710" s="21" t="s">
        <v>99</v>
      </c>
      <c r="F710" s="55">
        <v>2.6216994540502556E-4</v>
      </c>
      <c r="G710" s="24">
        <v>3.510907</v>
      </c>
      <c r="H710" s="24">
        <v>7.6617319999999998</v>
      </c>
      <c r="I710" s="24">
        <v>2.9600680000000001</v>
      </c>
      <c r="J710" s="24">
        <v>4.7109030000000001</v>
      </c>
      <c r="K710" s="24">
        <v>1.104193</v>
      </c>
      <c r="L710" s="24">
        <v>8.1263349999999992</v>
      </c>
      <c r="M710" s="24">
        <v>14.420199999999999</v>
      </c>
      <c r="N710" s="24">
        <v>4.0276118864112771</v>
      </c>
      <c r="O710" s="24">
        <v>9.0000000000000018</v>
      </c>
      <c r="P710" s="24">
        <v>2.6457399103139005</v>
      </c>
      <c r="Q710" s="24">
        <v>7.4998043503890006</v>
      </c>
      <c r="R710" s="24">
        <v>4.25</v>
      </c>
      <c r="S710" s="24">
        <v>5.7104931341095524</v>
      </c>
      <c r="T710" s="24">
        <v>0.26309656826684452</v>
      </c>
      <c r="U710" s="24" t="s">
        <v>3421</v>
      </c>
      <c r="V710">
        <v>0</v>
      </c>
      <c r="W710" s="21">
        <v>0</v>
      </c>
      <c r="X710" s="56" t="str">
        <f>IFERROR(VLOOKUP(A710,Output!A:F,6,0),"-")</f>
        <v>-</v>
      </c>
    </row>
    <row r="711" spans="1:24" hidden="1" x14ac:dyDescent="0.25">
      <c r="A711" s="21" t="s">
        <v>4275</v>
      </c>
      <c r="B711" s="40" t="s">
        <v>4276</v>
      </c>
      <c r="C711" s="21" t="s">
        <v>244</v>
      </c>
      <c r="D711" s="21" t="s">
        <v>73</v>
      </c>
      <c r="E711" s="21" t="s">
        <v>89</v>
      </c>
      <c r="F711" s="55">
        <v>2.621060598190145E-4</v>
      </c>
      <c r="G711" s="24">
        <v>4.8123430000000003</v>
      </c>
      <c r="H711" s="24">
        <v>5.1346299999999996</v>
      </c>
      <c r="I711" s="24">
        <v>4.6670170000000004</v>
      </c>
      <c r="J711" s="24">
        <v>4.8654310000000001</v>
      </c>
      <c r="K711" s="24">
        <v>0</v>
      </c>
      <c r="L711" s="24">
        <v>13.748480000000001</v>
      </c>
      <c r="M711" s="24">
        <v>5.3034999999999999E-2</v>
      </c>
      <c r="N711" s="24">
        <v>6.3671874999999991</v>
      </c>
      <c r="O711" s="24">
        <v>5.8762886597938131</v>
      </c>
      <c r="P711" s="24">
        <v>5.5699481865284985</v>
      </c>
      <c r="Q711" s="24">
        <v>5.7738549836297901</v>
      </c>
      <c r="R711" s="24">
        <v>2.42</v>
      </c>
      <c r="S711" s="24">
        <v>6.3740814716898768</v>
      </c>
      <c r="T711" s="24">
        <v>1.0640323727445864</v>
      </c>
      <c r="U711" s="24" t="s">
        <v>4277</v>
      </c>
      <c r="V711">
        <v>0</v>
      </c>
      <c r="W711" s="21">
        <v>0</v>
      </c>
      <c r="X711" s="56">
        <f>IFERROR(VLOOKUP(A711,Output!A:F,6,0),"-")</f>
        <v>2.5253679203297609E-3</v>
      </c>
    </row>
    <row r="712" spans="1:24" hidden="1" x14ac:dyDescent="0.25">
      <c r="A712" s="21" t="s">
        <v>621</v>
      </c>
      <c r="B712" s="40" t="s">
        <v>943</v>
      </c>
      <c r="C712" s="21" t="s">
        <v>244</v>
      </c>
      <c r="D712" s="21" t="s">
        <v>73</v>
      </c>
      <c r="E712" s="21" t="s">
        <v>99</v>
      </c>
      <c r="F712" s="55">
        <v>2.6141659852620521E-4</v>
      </c>
      <c r="G712" s="24">
        <v>7.8520669999999999</v>
      </c>
      <c r="H712" s="24">
        <v>4.5475399999999997</v>
      </c>
      <c r="I712" s="24">
        <v>5.3256880000000004</v>
      </c>
      <c r="J712" s="24">
        <v>5.9084320000000004</v>
      </c>
      <c r="K712" s="24">
        <v>0</v>
      </c>
      <c r="L712" s="24">
        <v>2.776634</v>
      </c>
      <c r="M712" s="24">
        <v>4.2061999999999999</v>
      </c>
      <c r="N712" s="24">
        <v>4.5698504001460449</v>
      </c>
      <c r="O712" s="24">
        <v>7.8125</v>
      </c>
      <c r="P712" s="24">
        <v>0.31840800000000002</v>
      </c>
      <c r="Q712" s="24">
        <v>5.4316424788743145</v>
      </c>
      <c r="R712" s="24" t="e">
        <v>#N/A</v>
      </c>
      <c r="S712" s="24">
        <v>2.4825453105081703</v>
      </c>
      <c r="T712" s="24">
        <v>1.9170056487244282</v>
      </c>
      <c r="U712" s="24" t="s">
        <v>2987</v>
      </c>
      <c r="V712">
        <v>0</v>
      </c>
      <c r="W712" s="21">
        <v>0</v>
      </c>
      <c r="X712" s="56" t="str">
        <f>IFERROR(VLOOKUP(A712,Output!A:F,6,0),"-")</f>
        <v>-</v>
      </c>
    </row>
    <row r="713" spans="1:24" hidden="1" x14ac:dyDescent="0.25">
      <c r="A713" s="21" t="s">
        <v>473</v>
      </c>
      <c r="B713" s="40" t="s">
        <v>706</v>
      </c>
      <c r="C713" s="21" t="s">
        <v>244</v>
      </c>
      <c r="D713" s="21" t="s">
        <v>73</v>
      </c>
      <c r="E713" s="21" t="s">
        <v>102</v>
      </c>
      <c r="F713" s="55">
        <v>2.6055902256532591E-4</v>
      </c>
      <c r="G713" s="24">
        <v>3.845186</v>
      </c>
      <c r="H713" s="24">
        <v>4.8192320000000004</v>
      </c>
      <c r="I713" s="24">
        <v>5.3737510000000004</v>
      </c>
      <c r="J713" s="24">
        <v>4.3457080000000001</v>
      </c>
      <c r="K713" s="24">
        <v>2.4001359999999998</v>
      </c>
      <c r="L713" s="24">
        <v>11.77505</v>
      </c>
      <c r="M713" s="24">
        <v>1547.9169999999999</v>
      </c>
      <c r="N713" s="24">
        <v>5.1157889351801122</v>
      </c>
      <c r="O713" s="24">
        <v>3.9175257731958757</v>
      </c>
      <c r="P713" s="24">
        <v>2.6587301587301586</v>
      </c>
      <c r="Q713" s="69">
        <v>9.5761682070920919</v>
      </c>
      <c r="R713" s="24">
        <v>3.38</v>
      </c>
      <c r="S713" s="24">
        <v>5.2045762401279747</v>
      </c>
      <c r="T713" s="24">
        <v>0.83663791613762295</v>
      </c>
      <c r="U713" s="24" t="s">
        <v>2929</v>
      </c>
      <c r="V713">
        <v>1</v>
      </c>
      <c r="W713" s="21">
        <v>1</v>
      </c>
      <c r="X713" s="56" t="str">
        <f>IFERROR(VLOOKUP(A713,Output!A:F,6,0),"-")</f>
        <v>-</v>
      </c>
    </row>
    <row r="714" spans="1:24" hidden="1" x14ac:dyDescent="0.25">
      <c r="A714" s="21" t="s">
        <v>568</v>
      </c>
      <c r="B714" s="40" t="s">
        <v>1003</v>
      </c>
      <c r="C714" s="21" t="s">
        <v>244</v>
      </c>
      <c r="D714" s="21" t="s">
        <v>73</v>
      </c>
      <c r="E714" s="21" t="s">
        <v>99</v>
      </c>
      <c r="F714" s="55">
        <v>2.6013305158710401E-4</v>
      </c>
      <c r="G714" s="24">
        <v>4.5380909999999997</v>
      </c>
      <c r="H714" s="24">
        <v>6.9083399999999999</v>
      </c>
      <c r="I714" s="24">
        <v>7.2143220000000001</v>
      </c>
      <c r="J714" s="24">
        <v>6.2202510000000002</v>
      </c>
      <c r="K714" s="24">
        <v>0</v>
      </c>
      <c r="L714" s="24">
        <v>6.1105229999999997</v>
      </c>
      <c r="M714" s="24">
        <v>4.7022000000000004</v>
      </c>
      <c r="N714" s="24">
        <v>3.4313337357011631</v>
      </c>
      <c r="O714" s="24">
        <v>4.0625000000000009</v>
      </c>
      <c r="P714" s="24">
        <v>6.9253731343283578</v>
      </c>
      <c r="Q714" s="24">
        <v>6.2989672451274137</v>
      </c>
      <c r="R714" s="24" t="e">
        <v>#N/A</v>
      </c>
      <c r="S714" s="24">
        <v>6.1933961305605667</v>
      </c>
      <c r="T714" s="24">
        <v>0.7483462228035499</v>
      </c>
      <c r="U714" s="24" t="s">
        <v>3093</v>
      </c>
      <c r="V714">
        <v>0</v>
      </c>
      <c r="W714" s="21">
        <v>0</v>
      </c>
      <c r="X714" s="56" t="str">
        <f>IFERROR(VLOOKUP(A714,Output!A:F,6,0),"-")</f>
        <v>-</v>
      </c>
    </row>
    <row r="715" spans="1:24" hidden="1" x14ac:dyDescent="0.25">
      <c r="A715" s="21" t="s">
        <v>2260</v>
      </c>
      <c r="B715" s="40" t="s">
        <v>2261</v>
      </c>
      <c r="C715" s="21" t="s">
        <v>246</v>
      </c>
      <c r="D715" s="21" t="s">
        <v>74</v>
      </c>
      <c r="E715" s="21" t="s">
        <v>100</v>
      </c>
      <c r="F715" s="55">
        <v>2.5980919693927783E-4</v>
      </c>
      <c r="G715" s="21">
        <v>6.0107559999999998</v>
      </c>
      <c r="H715" s="21">
        <v>4.2036020000000001</v>
      </c>
      <c r="I715" s="21">
        <v>3.9092880000000001</v>
      </c>
      <c r="J715" s="21">
        <v>4.8381689999999997</v>
      </c>
      <c r="K715" s="24">
        <v>4.7496369999999999</v>
      </c>
      <c r="L715" s="24">
        <v>6.6760549999999999</v>
      </c>
      <c r="M715" s="24">
        <v>7.8349000000000002</v>
      </c>
      <c r="N715" s="24">
        <v>2.3743606605092191</v>
      </c>
      <c r="O715" s="24">
        <v>2</v>
      </c>
      <c r="P715" s="24">
        <v>6.1254612546125466</v>
      </c>
      <c r="Q715" s="24">
        <v>7.524989314373661</v>
      </c>
      <c r="R715" s="24">
        <v>4.41</v>
      </c>
      <c r="S715" s="24">
        <v>4.8869617756042523</v>
      </c>
      <c r="T715" s="24">
        <v>0.36898501937714606</v>
      </c>
      <c r="U715" s="24" t="s">
        <v>3772</v>
      </c>
      <c r="V715">
        <v>0</v>
      </c>
      <c r="W715" s="21">
        <v>0</v>
      </c>
      <c r="X715" s="56" t="str">
        <f>IFERROR(VLOOKUP(A715,Output!A:F,6,0),"-")</f>
        <v>-</v>
      </c>
    </row>
    <row r="716" spans="1:24" hidden="1" x14ac:dyDescent="0.25">
      <c r="A716" s="21" t="s">
        <v>2130</v>
      </c>
      <c r="B716" s="40" t="s">
        <v>2131</v>
      </c>
      <c r="C716" s="21" t="s">
        <v>257</v>
      </c>
      <c r="D716" s="21" t="s">
        <v>74</v>
      </c>
      <c r="E716" s="21" t="s">
        <v>87</v>
      </c>
      <c r="F716" s="55">
        <v>2.5951341170640763E-4</v>
      </c>
      <c r="G716" s="24">
        <v>6.7221830000000002</v>
      </c>
      <c r="H716" s="24">
        <v>6.2303940000000004</v>
      </c>
      <c r="I716" s="24">
        <v>4.8723599999999996</v>
      </c>
      <c r="J716" s="24">
        <v>5.9416460000000004</v>
      </c>
      <c r="K716" s="24">
        <v>1.1268180000000001</v>
      </c>
      <c r="L716" s="24">
        <v>3.229454</v>
      </c>
      <c r="M716" s="24">
        <v>75.245000000000005</v>
      </c>
      <c r="N716" s="24">
        <v>7.8342605242255754</v>
      </c>
      <c r="O716" s="24">
        <v>6.8041237113402069</v>
      </c>
      <c r="P716" s="24">
        <v>4.5901639344262302</v>
      </c>
      <c r="Q716" s="24">
        <v>0.67118141035309165</v>
      </c>
      <c r="R716" s="24">
        <v>2.68</v>
      </c>
      <c r="S716" s="24">
        <v>3.5553476569042624</v>
      </c>
      <c r="T716" s="24">
        <v>0.18148105665126774</v>
      </c>
      <c r="U716" s="24" t="s">
        <v>3729</v>
      </c>
      <c r="V716">
        <v>0</v>
      </c>
      <c r="W716" s="21">
        <v>0</v>
      </c>
      <c r="X716" s="56" t="str">
        <f>IFERROR(VLOOKUP(A716,Output!A:F,6,0),"-")</f>
        <v>-</v>
      </c>
    </row>
    <row r="717" spans="1:24" hidden="1" x14ac:dyDescent="0.25">
      <c r="A717" s="21" t="s">
        <v>4340</v>
      </c>
      <c r="B717" s="40" t="s">
        <v>4341</v>
      </c>
      <c r="C717" s="21" t="s">
        <v>244</v>
      </c>
      <c r="D717" s="21" t="s">
        <v>73</v>
      </c>
      <c r="E717" s="21" t="s">
        <v>95</v>
      </c>
      <c r="F717" s="55">
        <v>2.590081622371988E-4</v>
      </c>
      <c r="G717" s="24">
        <v>5.3932120000000001</v>
      </c>
      <c r="H717" s="24">
        <v>6.0791560000000002</v>
      </c>
      <c r="I717" s="24">
        <v>5.9699879999999999</v>
      </c>
      <c r="J717" s="24">
        <v>5.7034339999999997</v>
      </c>
      <c r="K717" s="24">
        <v>1.611092</v>
      </c>
      <c r="L717" s="24">
        <v>11.02678</v>
      </c>
      <c r="M717" s="24">
        <v>859.52269999999999</v>
      </c>
      <c r="N717" s="24">
        <v>4.4760482349671706</v>
      </c>
      <c r="O717" s="24">
        <v>1.4432989690721647</v>
      </c>
      <c r="P717" s="24">
        <v>3.7792642140468224</v>
      </c>
      <c r="Q717" s="24">
        <v>8.8581004249206998</v>
      </c>
      <c r="R717" s="24">
        <v>3.44</v>
      </c>
      <c r="S717" s="24">
        <v>5.0106495605651604</v>
      </c>
      <c r="T717" s="24">
        <v>0.80483065487653171</v>
      </c>
      <c r="U717" s="24" t="s">
        <v>4342</v>
      </c>
      <c r="V717">
        <v>1</v>
      </c>
      <c r="W717" s="21">
        <v>0</v>
      </c>
      <c r="X717" s="56" t="str">
        <f>IFERROR(VLOOKUP(A717,Output!A:F,6,0),"-")</f>
        <v>-</v>
      </c>
    </row>
    <row r="718" spans="1:24" hidden="1" x14ac:dyDescent="0.25">
      <c r="A718" s="21" t="s">
        <v>1518</v>
      </c>
      <c r="B718" s="40" t="s">
        <v>1519</v>
      </c>
      <c r="C718" s="21" t="s">
        <v>250</v>
      </c>
      <c r="D718" s="21" t="s">
        <v>76</v>
      </c>
      <c r="E718" s="21" t="s">
        <v>88</v>
      </c>
      <c r="F718" s="55">
        <v>2.5782824073682423E-4</v>
      </c>
      <c r="G718" s="24">
        <v>5.6211409999999997</v>
      </c>
      <c r="H718" s="24">
        <v>3.999091</v>
      </c>
      <c r="I718" s="24">
        <v>4.5019590000000003</v>
      </c>
      <c r="J718" s="24">
        <v>4.7073970000000003</v>
      </c>
      <c r="K718" s="24">
        <v>0</v>
      </c>
      <c r="L718" s="24">
        <v>7.6826650000000001</v>
      </c>
      <c r="M718" s="24">
        <v>267.42140000000001</v>
      </c>
      <c r="N718" s="24">
        <v>7.7251444325721561</v>
      </c>
      <c r="O718" s="24">
        <v>7.8787878787878789</v>
      </c>
      <c r="P718" s="24">
        <v>10</v>
      </c>
      <c r="Q718" s="24">
        <v>0.39336161661270508</v>
      </c>
      <c r="R718" s="24">
        <v>0.52</v>
      </c>
      <c r="S718" s="24">
        <v>5.0231582739226504</v>
      </c>
      <c r="T718" s="24">
        <v>0.72163576543525665</v>
      </c>
      <c r="U718" s="24" t="s">
        <v>3425</v>
      </c>
      <c r="V718">
        <v>0</v>
      </c>
      <c r="W718" s="21">
        <v>0</v>
      </c>
      <c r="X718" s="56" t="str">
        <f>IFERROR(VLOOKUP(A718,Output!A:F,6,0),"-")</f>
        <v>-</v>
      </c>
    </row>
    <row r="719" spans="1:24" hidden="1" x14ac:dyDescent="0.25">
      <c r="A719" s="21" t="s">
        <v>1026</v>
      </c>
      <c r="B719" s="40" t="s">
        <v>1027</v>
      </c>
      <c r="C719" s="21" t="s">
        <v>244</v>
      </c>
      <c r="D719" s="21" t="s">
        <v>73</v>
      </c>
      <c r="E719" s="21" t="s">
        <v>90</v>
      </c>
      <c r="F719" s="55">
        <v>2.5736826451754448E-4</v>
      </c>
      <c r="G719" s="24">
        <v>4.7268670000000004</v>
      </c>
      <c r="H719" s="24">
        <v>4.1853319999999998</v>
      </c>
      <c r="I719" s="24">
        <v>3.781145</v>
      </c>
      <c r="J719" s="24">
        <v>4.2806899999999999</v>
      </c>
      <c r="K719" s="24">
        <v>3.3730159999999998</v>
      </c>
      <c r="L719" s="24">
        <v>4.3948070000000001</v>
      </c>
      <c r="M719" s="24">
        <v>142.48240000000001</v>
      </c>
      <c r="N719" s="24">
        <v>7.3011290555155011</v>
      </c>
      <c r="O719" s="24">
        <v>7.9381443298969065</v>
      </c>
      <c r="P719" s="24">
        <v>0</v>
      </c>
      <c r="Q719" s="24">
        <v>5.2201309579990562</v>
      </c>
      <c r="R719" s="24">
        <v>4.8499990000000004</v>
      </c>
      <c r="S719" s="24">
        <v>3.5242991478702237</v>
      </c>
      <c r="T719" s="24">
        <v>0.4010357827039559</v>
      </c>
      <c r="U719" s="24" t="s">
        <v>3168</v>
      </c>
      <c r="V719">
        <v>0</v>
      </c>
      <c r="W719" s="21">
        <v>1</v>
      </c>
      <c r="X719" s="56" t="str">
        <f>IFERROR(VLOOKUP(A719,Output!A:F,6,0),"-")</f>
        <v>-</v>
      </c>
    </row>
    <row r="720" spans="1:24" hidden="1" x14ac:dyDescent="0.25">
      <c r="A720" s="21" t="s">
        <v>4537</v>
      </c>
      <c r="B720" s="40" t="s">
        <v>4457</v>
      </c>
      <c r="C720" s="21" t="s">
        <v>244</v>
      </c>
      <c r="D720" s="21" t="s">
        <v>73</v>
      </c>
      <c r="E720" s="21" t="s">
        <v>90</v>
      </c>
      <c r="F720" s="55">
        <v>2.5709793291185667E-4</v>
      </c>
      <c r="G720" s="24">
        <v>5.2446320000000002</v>
      </c>
      <c r="H720" s="24">
        <v>5.331696</v>
      </c>
      <c r="I720" s="24">
        <v>5.6676060000000001</v>
      </c>
      <c r="J720" s="24">
        <v>5.3976430000000004</v>
      </c>
      <c r="K720" s="24">
        <v>4.0097110000000002</v>
      </c>
      <c r="L720" s="24">
        <v>6.5699059999999996</v>
      </c>
      <c r="M720" s="24">
        <v>86.018699999999995</v>
      </c>
      <c r="N720" s="24">
        <v>2.984859408795963</v>
      </c>
      <c r="O720" s="24">
        <v>2.5773195876288657</v>
      </c>
      <c r="P720" s="24">
        <v>3.8174273858921164</v>
      </c>
      <c r="Q720" s="24">
        <v>5.2027288815478991</v>
      </c>
      <c r="R720" s="24">
        <v>6.4600010000000001</v>
      </c>
      <c r="S720" s="24">
        <v>5.1623732365771247</v>
      </c>
      <c r="T720" s="24">
        <v>0.29888035709589122</v>
      </c>
      <c r="U720" s="24" t="s">
        <v>2806</v>
      </c>
      <c r="V720">
        <v>0</v>
      </c>
      <c r="W720" s="21">
        <v>0</v>
      </c>
      <c r="X720" s="56">
        <f>IFERROR(VLOOKUP(A720,Output!A:F,6,0),"-")</f>
        <v>7.4999999999999997E-3</v>
      </c>
    </row>
    <row r="721" spans="1:24" hidden="1" x14ac:dyDescent="0.25">
      <c r="A721" s="21" t="s">
        <v>1836</v>
      </c>
      <c r="B721" s="40" t="s">
        <v>1837</v>
      </c>
      <c r="C721" s="21" t="s">
        <v>247</v>
      </c>
      <c r="D721" s="21" t="s">
        <v>74</v>
      </c>
      <c r="E721" s="21" t="s">
        <v>99</v>
      </c>
      <c r="F721" s="55">
        <v>2.5659499740875532E-4</v>
      </c>
      <c r="G721" s="24">
        <v>6.5755739999999996</v>
      </c>
      <c r="H721" s="24">
        <v>5.5260109999999996</v>
      </c>
      <c r="I721" s="24">
        <v>5.6078080000000003</v>
      </c>
      <c r="J721" s="24">
        <v>5.9031310000000001</v>
      </c>
      <c r="K721" s="24">
        <v>1.6211979999999999</v>
      </c>
      <c r="L721" s="24">
        <v>3.6818939999999998</v>
      </c>
      <c r="M721" s="24">
        <v>2.5051000000000001</v>
      </c>
      <c r="N721" s="24">
        <v>1.5606939696676767</v>
      </c>
      <c r="O721" s="24">
        <v>8.0219780219780237</v>
      </c>
      <c r="P721" s="24">
        <v>1.2268901665136247</v>
      </c>
      <c r="Q721" s="24">
        <v>3.2395832570293903</v>
      </c>
      <c r="R721" s="24">
        <v>6.8</v>
      </c>
      <c r="S721" s="24">
        <v>3.8946255815640187</v>
      </c>
      <c r="T721" s="24">
        <v>0.73341423983207832</v>
      </c>
      <c r="U721" s="24" t="s">
        <v>3603</v>
      </c>
      <c r="V721">
        <v>0</v>
      </c>
      <c r="W721" s="21">
        <v>0</v>
      </c>
      <c r="X721" s="56" t="str">
        <f>IFERROR(VLOOKUP(A721,Output!A:F,6,0),"-")</f>
        <v>-</v>
      </c>
    </row>
    <row r="722" spans="1:24" hidden="1" x14ac:dyDescent="0.25">
      <c r="A722" s="21" t="s">
        <v>110</v>
      </c>
      <c r="B722" s="40" t="s">
        <v>179</v>
      </c>
      <c r="C722" s="21" t="s">
        <v>244</v>
      </c>
      <c r="D722" s="21" t="s">
        <v>73</v>
      </c>
      <c r="E722" s="21" t="s">
        <v>98</v>
      </c>
      <c r="F722" s="55">
        <v>2.5658674761654604E-4</v>
      </c>
      <c r="G722" s="24">
        <v>6.1544999999999996</v>
      </c>
      <c r="H722" s="24">
        <v>4.1673689999999999</v>
      </c>
      <c r="I722" s="24">
        <v>8.0199160000000003</v>
      </c>
      <c r="J722" s="24">
        <v>6.1058139999999996</v>
      </c>
      <c r="K722" s="24">
        <v>4.6910730000000003</v>
      </c>
      <c r="L722" s="24">
        <v>8.0376019999999997</v>
      </c>
      <c r="M722" s="24">
        <v>13.2194</v>
      </c>
      <c r="N722" s="24">
        <v>0</v>
      </c>
      <c r="O722" s="24">
        <v>2.9591836734693877</v>
      </c>
      <c r="P722" s="24">
        <v>7.5168431088232657</v>
      </c>
      <c r="Q722" s="24">
        <v>7.5949655720178741</v>
      </c>
      <c r="R722" s="24">
        <v>8.06</v>
      </c>
      <c r="S722" s="24">
        <v>6.4330476720229024</v>
      </c>
      <c r="T722" s="24">
        <v>1.2377703466930099</v>
      </c>
      <c r="U722" s="24" t="s">
        <v>2798</v>
      </c>
      <c r="V722">
        <v>0</v>
      </c>
      <c r="W722" s="21">
        <v>0</v>
      </c>
      <c r="X722" s="56">
        <f>IFERROR(VLOOKUP(A722,Output!A:F,6,0),"-")</f>
        <v>7.4999999999999902E-3</v>
      </c>
    </row>
    <row r="723" spans="1:24" hidden="1" x14ac:dyDescent="0.25">
      <c r="A723" s="21" t="s">
        <v>622</v>
      </c>
      <c r="B723" s="40" t="s">
        <v>4452</v>
      </c>
      <c r="C723" s="21" t="s">
        <v>244</v>
      </c>
      <c r="D723" s="21" t="s">
        <v>73</v>
      </c>
      <c r="E723" s="21" t="s">
        <v>93</v>
      </c>
      <c r="F723" s="55">
        <v>2.563620916896756E-4</v>
      </c>
      <c r="G723" s="24">
        <v>3.5934300000000001</v>
      </c>
      <c r="H723" s="24">
        <v>2.5508280000000001</v>
      </c>
      <c r="I723" s="24">
        <v>3.736507</v>
      </c>
      <c r="J723" s="24">
        <v>3.2785959999999998</v>
      </c>
      <c r="K723" s="24">
        <v>1.8292630000000001</v>
      </c>
      <c r="L723" s="24">
        <v>17.65363</v>
      </c>
      <c r="M723" s="24">
        <v>0.49919999999999998</v>
      </c>
      <c r="N723" s="24">
        <v>4.1872825520833326</v>
      </c>
      <c r="O723" s="24">
        <v>3.4020618556701026</v>
      </c>
      <c r="P723" s="24">
        <v>6.4421409326424879</v>
      </c>
      <c r="Q723" s="24">
        <v>10</v>
      </c>
      <c r="R723" s="24">
        <v>3.91</v>
      </c>
      <c r="S723" s="24">
        <v>6.6223453776847858</v>
      </c>
      <c r="T723" s="24">
        <v>0.45538646537465977</v>
      </c>
      <c r="U723" s="24" t="s">
        <v>3082</v>
      </c>
      <c r="V723">
        <v>0</v>
      </c>
      <c r="W723" s="21">
        <v>1</v>
      </c>
      <c r="X723" s="56" t="str">
        <f>IFERROR(VLOOKUP(A723,Output!A:F,6,0),"-")</f>
        <v>-</v>
      </c>
    </row>
    <row r="724" spans="1:24" hidden="1" x14ac:dyDescent="0.25">
      <c r="A724" s="21" t="s">
        <v>4343</v>
      </c>
      <c r="B724" s="40" t="s">
        <v>4344</v>
      </c>
      <c r="C724" s="21" t="s">
        <v>244</v>
      </c>
      <c r="D724" s="21" t="s">
        <v>73</v>
      </c>
      <c r="E724" s="21" t="s">
        <v>85</v>
      </c>
      <c r="F724" s="55">
        <v>2.556616642096613E-4</v>
      </c>
      <c r="G724" s="21">
        <v>2.4948000000000001</v>
      </c>
      <c r="H724" s="21">
        <v>4.051742</v>
      </c>
      <c r="I724" s="21">
        <v>2.9538500000000001</v>
      </c>
      <c r="J724" s="21">
        <v>3.2003970000000002</v>
      </c>
      <c r="K724" s="24">
        <v>0.34377659999999999</v>
      </c>
      <c r="L724" s="24">
        <v>12.64756</v>
      </c>
      <c r="M724" s="24">
        <v>13.8537</v>
      </c>
      <c r="N724" s="24">
        <v>5.037976562499999</v>
      </c>
      <c r="O724" s="24">
        <v>5.0515463917525762</v>
      </c>
      <c r="P724" s="24">
        <v>6.2176165803108816</v>
      </c>
      <c r="Q724" s="24">
        <v>8.8549279546646069</v>
      </c>
      <c r="R724" s="24">
        <v>3.5</v>
      </c>
      <c r="S724" s="24">
        <v>6.1429114130500473</v>
      </c>
      <c r="T724" s="24">
        <v>1.0420845016974853</v>
      </c>
      <c r="U724" s="24" t="s">
        <v>4345</v>
      </c>
      <c r="V724">
        <v>0</v>
      </c>
      <c r="W724" s="21">
        <v>1</v>
      </c>
      <c r="X724" s="56" t="str">
        <f>IFERROR(VLOOKUP(A724,Output!A:F,6,0),"-")</f>
        <v>-</v>
      </c>
    </row>
    <row r="725" spans="1:24" hidden="1" x14ac:dyDescent="0.25">
      <c r="A725" s="21" t="s">
        <v>1051</v>
      </c>
      <c r="B725" s="40" t="s">
        <v>1052</v>
      </c>
      <c r="C725" s="21" t="s">
        <v>244</v>
      </c>
      <c r="D725" s="21" t="s">
        <v>73</v>
      </c>
      <c r="E725" s="21" t="s">
        <v>97</v>
      </c>
      <c r="F725" s="55">
        <v>2.5556870313647354E-4</v>
      </c>
      <c r="G725" s="24">
        <v>6.5483729999999998</v>
      </c>
      <c r="H725" s="24">
        <v>5.0802300000000002</v>
      </c>
      <c r="I725" s="24">
        <v>6.14506</v>
      </c>
      <c r="J725" s="24">
        <v>6.0934189999999999</v>
      </c>
      <c r="K725" s="24">
        <v>4.291334</v>
      </c>
      <c r="L725" s="24">
        <v>-1.832239</v>
      </c>
      <c r="M725" s="24">
        <v>110.386</v>
      </c>
      <c r="N725" s="24">
        <v>1.3943892088466647</v>
      </c>
      <c r="O725" s="24">
        <v>4.7422680412371134</v>
      </c>
      <c r="P725" s="24">
        <v>0.63636363636363591</v>
      </c>
      <c r="Q725" s="24">
        <v>6.2803764573676082</v>
      </c>
      <c r="R725" s="24">
        <v>3.59</v>
      </c>
      <c r="S725" s="24">
        <v>3.0050789303429504</v>
      </c>
      <c r="T725" s="24">
        <v>1.0210463413541777</v>
      </c>
      <c r="U725" s="24" t="s">
        <v>3205</v>
      </c>
      <c r="V725">
        <v>0</v>
      </c>
      <c r="W725" s="21">
        <v>0</v>
      </c>
      <c r="X725" s="56" t="str">
        <f>IFERROR(VLOOKUP(A725,Output!A:F,6,0),"-")</f>
        <v>-</v>
      </c>
    </row>
    <row r="726" spans="1:24" hidden="1" x14ac:dyDescent="0.25">
      <c r="A726" s="21" t="s">
        <v>553</v>
      </c>
      <c r="B726" s="40" t="s">
        <v>888</v>
      </c>
      <c r="C726" s="21" t="s">
        <v>244</v>
      </c>
      <c r="D726" s="21" t="s">
        <v>73</v>
      </c>
      <c r="E726" s="21" t="s">
        <v>101</v>
      </c>
      <c r="F726" s="55">
        <v>2.5126573224876707E-4</v>
      </c>
      <c r="G726" s="24">
        <v>3.9109060000000002</v>
      </c>
      <c r="H726" s="24">
        <v>7.109883</v>
      </c>
      <c r="I726" s="24">
        <v>3.9565320000000002</v>
      </c>
      <c r="J726" s="24">
        <v>5.2087469999999998</v>
      </c>
      <c r="K726" s="24">
        <v>0</v>
      </c>
      <c r="L726" s="24">
        <v>6.81562</v>
      </c>
      <c r="M726" s="24">
        <v>1208.1610000000001</v>
      </c>
      <c r="N726" s="24">
        <v>4.1659631192505273</v>
      </c>
      <c r="O726" s="24">
        <v>9.2857142857142847</v>
      </c>
      <c r="P726" s="24">
        <v>2.3772858224342097</v>
      </c>
      <c r="Q726" s="24">
        <v>6.1657874008226941</v>
      </c>
      <c r="R726" s="24" t="e">
        <v>#N/A</v>
      </c>
      <c r="S726" s="24">
        <v>3.6552427211995671</v>
      </c>
      <c r="T726" s="24">
        <v>2.210396786885434</v>
      </c>
      <c r="U726" s="24" t="s">
        <v>2980</v>
      </c>
      <c r="V726">
        <v>0</v>
      </c>
      <c r="W726" s="21">
        <v>0</v>
      </c>
      <c r="X726" s="56" t="str">
        <f>IFERROR(VLOOKUP(A726,Output!A:F,6,0),"-")</f>
        <v>-</v>
      </c>
    </row>
    <row r="727" spans="1:24" x14ac:dyDescent="0.25">
      <c r="A727" s="21" t="s">
        <v>2164</v>
      </c>
      <c r="B727" s="40" t="s">
        <v>2165</v>
      </c>
      <c r="C727" s="21" t="s">
        <v>248</v>
      </c>
      <c r="D727" s="21" t="s">
        <v>75</v>
      </c>
      <c r="E727" s="21" t="s">
        <v>90</v>
      </c>
      <c r="F727" s="55">
        <v>2.5105113704410308E-4</v>
      </c>
      <c r="G727" s="24">
        <v>4.992991</v>
      </c>
      <c r="H727" s="24">
        <v>4.8734549999999999</v>
      </c>
      <c r="I727" s="24">
        <v>3.8719579999999998</v>
      </c>
      <c r="J727" s="24">
        <v>4.6208210000000003</v>
      </c>
      <c r="K727" s="24">
        <v>2.4304299999999999</v>
      </c>
      <c r="L727" s="24">
        <v>7.0991759999999999</v>
      </c>
      <c r="M727" s="24">
        <v>46.8934</v>
      </c>
      <c r="N727" s="24">
        <v>2.8831967403958099</v>
      </c>
      <c r="O727" s="24">
        <v>6.3855421686746983</v>
      </c>
      <c r="P727" s="24">
        <v>1.5769230769230769</v>
      </c>
      <c r="Q727" s="24">
        <v>5.6767694249059364</v>
      </c>
      <c r="R727" s="24">
        <v>5.07</v>
      </c>
      <c r="S727" s="24">
        <v>4.2867880051629221</v>
      </c>
      <c r="T727" s="24">
        <v>0.25102246181728893</v>
      </c>
      <c r="U727" s="24" t="s">
        <v>3751</v>
      </c>
      <c r="V727">
        <v>0</v>
      </c>
      <c r="W727" s="21">
        <v>0</v>
      </c>
      <c r="X727" s="56" t="str">
        <f>IFERROR(VLOOKUP(A727,Output!A:F,6,0),"-")</f>
        <v>-</v>
      </c>
    </row>
    <row r="728" spans="1:24" x14ac:dyDescent="0.25">
      <c r="A728" s="21" t="s">
        <v>825</v>
      </c>
      <c r="B728" s="40" t="s">
        <v>826</v>
      </c>
      <c r="C728" s="21" t="s">
        <v>248</v>
      </c>
      <c r="D728" s="21" t="s">
        <v>75</v>
      </c>
      <c r="E728" s="21" t="s">
        <v>90</v>
      </c>
      <c r="F728" s="55">
        <v>2.5062164481310897E-4</v>
      </c>
      <c r="G728" s="24">
        <v>5.3569500000000003</v>
      </c>
      <c r="H728" s="24">
        <v>4.6438030000000001</v>
      </c>
      <c r="I728" s="24">
        <v>5.7048129999999997</v>
      </c>
      <c r="J728" s="24">
        <v>5.2473650000000003</v>
      </c>
      <c r="K728" s="24">
        <v>1.3376859999999999</v>
      </c>
      <c r="L728" s="24">
        <v>3.5590549999999999</v>
      </c>
      <c r="M728" s="24">
        <v>197.16900000000001</v>
      </c>
      <c r="N728" s="24">
        <v>5.3938696158323642</v>
      </c>
      <c r="O728" s="24">
        <v>4.4578313253012052</v>
      </c>
      <c r="P728" s="24">
        <v>5.7307692307692299</v>
      </c>
      <c r="Q728" s="24">
        <v>0.21218964198936099</v>
      </c>
      <c r="R728" s="24">
        <v>4.1500000000000004</v>
      </c>
      <c r="S728" s="24">
        <v>3.3902125199041766</v>
      </c>
      <c r="T728" s="24">
        <v>0.20729103728231482</v>
      </c>
      <c r="U728" s="24" t="s">
        <v>3752</v>
      </c>
      <c r="V728">
        <v>0</v>
      </c>
      <c r="W728" s="21">
        <v>0</v>
      </c>
      <c r="X728" s="56" t="str">
        <f>IFERROR(VLOOKUP(A728,Output!A:F,6,0),"-")</f>
        <v>-</v>
      </c>
    </row>
    <row r="729" spans="1:24" hidden="1" x14ac:dyDescent="0.25">
      <c r="A729" s="21" t="s">
        <v>1049</v>
      </c>
      <c r="B729" s="40" t="s">
        <v>1050</v>
      </c>
      <c r="C729" s="21" t="s">
        <v>244</v>
      </c>
      <c r="D729" s="21" t="s">
        <v>73</v>
      </c>
      <c r="E729" s="21" t="s">
        <v>97</v>
      </c>
      <c r="F729" s="55">
        <v>2.4924895987525847E-4</v>
      </c>
      <c r="G729" s="21">
        <v>7.1242919999999996</v>
      </c>
      <c r="H729" s="21">
        <v>4.4678509999999996</v>
      </c>
      <c r="I729" s="21">
        <v>6.0182500000000001</v>
      </c>
      <c r="J729" s="21">
        <v>6.1505869999999998</v>
      </c>
      <c r="K729" s="24">
        <v>3.080587</v>
      </c>
      <c r="L729" s="24">
        <v>1.3944620000000001</v>
      </c>
      <c r="M729" s="24">
        <v>70.365200000000002</v>
      </c>
      <c r="N729" s="24">
        <v>3.2590753697895432</v>
      </c>
      <c r="O729" s="24">
        <v>0.72164948453608235</v>
      </c>
      <c r="P729" s="24">
        <v>2.4545454545454541</v>
      </c>
      <c r="Q729" s="24">
        <v>4.1705295687596564</v>
      </c>
      <c r="R729" s="24">
        <v>4.8600000000000003</v>
      </c>
      <c r="S729" s="24">
        <v>2.9526805980599145</v>
      </c>
      <c r="T729" s="24">
        <v>0.72652292828063603</v>
      </c>
      <c r="U729" s="24" t="s">
        <v>3151</v>
      </c>
      <c r="V729">
        <v>0</v>
      </c>
      <c r="W729" s="21">
        <v>0</v>
      </c>
      <c r="X729" s="56" t="str">
        <f>IFERROR(VLOOKUP(A729,Output!A:F,6,0),"-")</f>
        <v>-</v>
      </c>
    </row>
    <row r="730" spans="1:24" hidden="1" x14ac:dyDescent="0.25">
      <c r="A730" s="21" t="s">
        <v>1063</v>
      </c>
      <c r="B730" s="40" t="s">
        <v>1064</v>
      </c>
      <c r="C730" s="21" t="s">
        <v>244</v>
      </c>
      <c r="D730" s="21" t="s">
        <v>73</v>
      </c>
      <c r="E730" s="21" t="s">
        <v>91</v>
      </c>
      <c r="F730" s="55">
        <v>2.4900096307286899E-4</v>
      </c>
      <c r="G730" s="21">
        <v>2.4912610000000002</v>
      </c>
      <c r="H730" s="21">
        <v>4.138217</v>
      </c>
      <c r="I730" s="21">
        <v>3.9810680000000001</v>
      </c>
      <c r="J730" s="21">
        <v>3.7459660000000001</v>
      </c>
      <c r="K730" s="24">
        <v>0</v>
      </c>
      <c r="L730" s="24">
        <v>1.684876</v>
      </c>
      <c r="M730" s="24">
        <v>32.139699999999998</v>
      </c>
      <c r="N730" s="24">
        <v>6.9070037284037911</v>
      </c>
      <c r="O730" s="24">
        <v>1.2121212121212119</v>
      </c>
      <c r="P730" s="24">
        <v>3.3887734162628962</v>
      </c>
      <c r="Q730" s="24">
        <v>2.0101920363919037</v>
      </c>
      <c r="R730" s="24" t="e">
        <v>#N/A</v>
      </c>
      <c r="S730" s="24">
        <v>3.6606965718718558</v>
      </c>
      <c r="T730" s="24">
        <v>0.71110516284673664</v>
      </c>
      <c r="U730" s="24" t="s">
        <v>3161</v>
      </c>
      <c r="V730">
        <v>0</v>
      </c>
      <c r="W730" s="21">
        <v>1</v>
      </c>
      <c r="X730" s="56" t="str">
        <f>IFERROR(VLOOKUP(A730,Output!A:F,6,0),"-")</f>
        <v>-</v>
      </c>
    </row>
    <row r="731" spans="1:24" hidden="1" x14ac:dyDescent="0.25">
      <c r="A731" s="21" t="s">
        <v>1108</v>
      </c>
      <c r="B731" s="40" t="s">
        <v>1109</v>
      </c>
      <c r="C731" s="21" t="s">
        <v>244</v>
      </c>
      <c r="D731" s="21" t="s">
        <v>73</v>
      </c>
      <c r="E731" s="21" t="s">
        <v>92</v>
      </c>
      <c r="F731" s="55">
        <v>2.4807145294821338E-4</v>
      </c>
      <c r="G731" s="24">
        <v>6.4984200000000003</v>
      </c>
      <c r="H731" s="24">
        <v>4.8271699999999997</v>
      </c>
      <c r="I731" s="24">
        <v>6.8383989999999999</v>
      </c>
      <c r="J731" s="24">
        <v>6.0990390000000003</v>
      </c>
      <c r="K731" s="24">
        <v>0.77351990000000004</v>
      </c>
      <c r="L731" s="24">
        <v>3.968791</v>
      </c>
      <c r="M731" s="24">
        <v>16.3734</v>
      </c>
      <c r="N731" s="24">
        <v>6.680870738636365</v>
      </c>
      <c r="O731" s="24">
        <v>3.333333333333333</v>
      </c>
      <c r="P731" s="24">
        <v>6.5705458431697394</v>
      </c>
      <c r="Q731" s="24">
        <v>5.4499601805149993</v>
      </c>
      <c r="R731" s="24">
        <v>4.28</v>
      </c>
      <c r="S731" s="24">
        <v>5.0827856879954627</v>
      </c>
      <c r="T731" s="24">
        <v>1.2330338549788225</v>
      </c>
      <c r="U731" s="24" t="s">
        <v>3187</v>
      </c>
      <c r="V731">
        <v>0</v>
      </c>
      <c r="W731" s="21">
        <v>0</v>
      </c>
      <c r="X731" s="56" t="str">
        <f>IFERROR(VLOOKUP(A731,Output!A:F,6,0),"-")</f>
        <v>-</v>
      </c>
    </row>
    <row r="732" spans="1:24" hidden="1" x14ac:dyDescent="0.25">
      <c r="A732" s="21" t="s">
        <v>4138</v>
      </c>
      <c r="B732" s="40" t="s">
        <v>4139</v>
      </c>
      <c r="C732" s="21" t="s">
        <v>244</v>
      </c>
      <c r="D732" s="21" t="s">
        <v>73</v>
      </c>
      <c r="E732" s="21" t="s">
        <v>90</v>
      </c>
      <c r="F732" s="55">
        <v>2.4775786023703778E-4</v>
      </c>
      <c r="G732" s="24">
        <v>3.1776949999999999</v>
      </c>
      <c r="H732" s="24">
        <v>4.2820039999999997</v>
      </c>
      <c r="I732" s="24">
        <v>4.7376469999999999</v>
      </c>
      <c r="J732" s="24">
        <v>3.9769730000000001</v>
      </c>
      <c r="K732" s="24">
        <v>1.220178</v>
      </c>
      <c r="L732" s="24">
        <v>5.4586249999999996</v>
      </c>
      <c r="M732" s="24">
        <v>304.46749999999997</v>
      </c>
      <c r="N732" s="24">
        <v>8.3537620764239353</v>
      </c>
      <c r="O732" s="24">
        <v>8.3505154639175245</v>
      </c>
      <c r="P732" s="24">
        <v>5.8921161825726145</v>
      </c>
      <c r="Q732" s="24">
        <v>3.3559462010382251</v>
      </c>
      <c r="R732" s="24">
        <v>3.62</v>
      </c>
      <c r="S732" s="24">
        <v>4.6477284503102236</v>
      </c>
      <c r="T732" s="24">
        <v>0.77977128948827068</v>
      </c>
      <c r="U732" s="24" t="s">
        <v>4140</v>
      </c>
      <c r="V732">
        <v>0</v>
      </c>
      <c r="W732" s="21">
        <v>1</v>
      </c>
      <c r="X732" s="56" t="str">
        <f>IFERROR(VLOOKUP(A732,Output!A:F,6,0),"-")</f>
        <v>-</v>
      </c>
    </row>
    <row r="733" spans="1:24" x14ac:dyDescent="0.25">
      <c r="A733" s="21" t="s">
        <v>1558</v>
      </c>
      <c r="B733" s="40" t="s">
        <v>1559</v>
      </c>
      <c r="C733" s="21" t="s">
        <v>248</v>
      </c>
      <c r="D733" s="21" t="s">
        <v>75</v>
      </c>
      <c r="E733" s="21" t="s">
        <v>95</v>
      </c>
      <c r="F733" s="55">
        <v>2.4678227200467656E-4</v>
      </c>
      <c r="G733" s="21">
        <v>5.5866069999999999</v>
      </c>
      <c r="H733" s="21">
        <v>5.605442</v>
      </c>
      <c r="I733" s="21">
        <v>3.2670400000000002</v>
      </c>
      <c r="J733" s="21">
        <v>4.8945040000000004</v>
      </c>
      <c r="K733" s="24">
        <v>3.1245609999999999</v>
      </c>
      <c r="L733" s="24">
        <v>14.30612</v>
      </c>
      <c r="M733" s="24">
        <v>371.32330000000002</v>
      </c>
      <c r="N733" s="24">
        <v>10</v>
      </c>
      <c r="O733" s="24">
        <v>1.5789473684210522</v>
      </c>
      <c r="P733" s="24">
        <v>0</v>
      </c>
      <c r="Q733" s="24">
        <v>0</v>
      </c>
      <c r="R733" s="24">
        <v>3.31</v>
      </c>
      <c r="S733" s="24">
        <v>4.25</v>
      </c>
      <c r="T733" s="24">
        <v>0.4228949606422599</v>
      </c>
      <c r="U733" s="24" t="s">
        <v>3419</v>
      </c>
      <c r="V733">
        <v>0</v>
      </c>
      <c r="W733" s="21">
        <v>0</v>
      </c>
      <c r="X733" s="56" t="str">
        <f>IFERROR(VLOOKUP(A733,Output!A:F,6,0),"-")</f>
        <v>-</v>
      </c>
    </row>
    <row r="734" spans="1:24" hidden="1" x14ac:dyDescent="0.25">
      <c r="A734" s="21" t="s">
        <v>2204</v>
      </c>
      <c r="B734" s="40" t="s">
        <v>2205</v>
      </c>
      <c r="C734" s="21" t="s">
        <v>250</v>
      </c>
      <c r="D734" s="21" t="s">
        <v>76</v>
      </c>
      <c r="E734" s="21" t="s">
        <v>101</v>
      </c>
      <c r="F734" s="55">
        <v>2.465862891360946E-4</v>
      </c>
      <c r="G734" s="21">
        <v>5.1114759999999997</v>
      </c>
      <c r="H734" s="21">
        <v>5.7590180000000002</v>
      </c>
      <c r="I734" s="21">
        <v>3.9799950000000002</v>
      </c>
      <c r="J734" s="21">
        <v>4.9179009999999996</v>
      </c>
      <c r="K734" s="21">
        <v>1.7018800000000001</v>
      </c>
      <c r="L734" s="24">
        <v>5.2901870000000004</v>
      </c>
      <c r="M734" s="24">
        <v>5.9733999999999998</v>
      </c>
      <c r="N734" s="24">
        <v>9.5445544554455441</v>
      </c>
      <c r="O734" s="24">
        <v>9.0277777777777786</v>
      </c>
      <c r="P734" s="24">
        <v>6.6037735849056602</v>
      </c>
      <c r="Q734" s="24">
        <v>3.7815676719805831</v>
      </c>
      <c r="R734" s="24">
        <v>4.51</v>
      </c>
      <c r="S734" s="24">
        <v>6.7139400989393634</v>
      </c>
      <c r="T734" s="24">
        <v>0.2477380998562026</v>
      </c>
      <c r="U734" s="21" t="s">
        <v>2838</v>
      </c>
      <c r="V734">
        <v>0</v>
      </c>
      <c r="W734" s="21">
        <v>0</v>
      </c>
      <c r="X734" s="56">
        <f>IFERROR(VLOOKUP(A734,Output!A:F,6,0),"-")</f>
        <v>2.0000000000000551E-3</v>
      </c>
    </row>
    <row r="735" spans="1:24" hidden="1" x14ac:dyDescent="0.25">
      <c r="A735" s="21" t="s">
        <v>633</v>
      </c>
      <c r="B735" s="40" t="s">
        <v>728</v>
      </c>
      <c r="C735" s="21" t="s">
        <v>244</v>
      </c>
      <c r="D735" s="21" t="s">
        <v>73</v>
      </c>
      <c r="E735" s="21" t="s">
        <v>89</v>
      </c>
      <c r="F735" s="55">
        <v>2.4627913528713107E-4</v>
      </c>
      <c r="G735" s="24">
        <v>4.4261049999999997</v>
      </c>
      <c r="H735" s="24">
        <v>5.8176050000000004</v>
      </c>
      <c r="I735" s="24">
        <v>5.7997740000000002</v>
      </c>
      <c r="J735" s="24">
        <v>5.3939139999999997</v>
      </c>
      <c r="K735" s="24">
        <v>0.91786319999999999</v>
      </c>
      <c r="L735" s="24">
        <v>3.7054130000000001</v>
      </c>
      <c r="M735" s="24">
        <v>4.9390000000000001</v>
      </c>
      <c r="N735" s="24">
        <v>4.921875</v>
      </c>
      <c r="O735" s="24">
        <v>2.1649484536082468</v>
      </c>
      <c r="P735" s="24">
        <v>9.119170984455959</v>
      </c>
      <c r="Q735" s="24">
        <v>1.3129572319750629</v>
      </c>
      <c r="R735" s="24">
        <v>3.98</v>
      </c>
      <c r="S735" s="24">
        <v>4.3481961586298059</v>
      </c>
      <c r="T735" s="24">
        <v>0.80828515970646564</v>
      </c>
      <c r="U735" s="24" t="s">
        <v>3107</v>
      </c>
      <c r="V735">
        <v>0</v>
      </c>
      <c r="W735" s="21">
        <v>0</v>
      </c>
      <c r="X735" s="56" t="str">
        <f>IFERROR(VLOOKUP(A735,Output!A:F,6,0),"-")</f>
        <v>-</v>
      </c>
    </row>
    <row r="736" spans="1:24" hidden="1" x14ac:dyDescent="0.25">
      <c r="A736" s="21" t="s">
        <v>512</v>
      </c>
      <c r="B736" s="40" t="s">
        <v>987</v>
      </c>
      <c r="C736" s="21" t="s">
        <v>244</v>
      </c>
      <c r="D736" s="21" t="s">
        <v>73</v>
      </c>
      <c r="E736" s="21" t="s">
        <v>91</v>
      </c>
      <c r="F736" s="55">
        <v>2.4488119793654234E-4</v>
      </c>
      <c r="G736" s="21">
        <v>4.4730290000000004</v>
      </c>
      <c r="H736" s="21">
        <v>6.4328000000000003</v>
      </c>
      <c r="I736" s="21">
        <v>7.4188789999999996</v>
      </c>
      <c r="J736" s="21">
        <v>6.4352780000000003</v>
      </c>
      <c r="K736" s="24">
        <v>2.200561</v>
      </c>
      <c r="L736" s="24">
        <v>6.5117209999999996</v>
      </c>
      <c r="M736" s="24">
        <v>36.385599999999997</v>
      </c>
      <c r="N736" s="24">
        <v>1.935705907168229</v>
      </c>
      <c r="O736" s="24">
        <v>0.80808080808080818</v>
      </c>
      <c r="P736" s="24">
        <v>6.0706860870241748</v>
      </c>
      <c r="Q736" s="24">
        <v>8.5425007917542395</v>
      </c>
      <c r="R736" s="24">
        <v>7.32</v>
      </c>
      <c r="S736" s="24">
        <v>6.5904355230331975</v>
      </c>
      <c r="T736" s="24">
        <v>0.24378078290962885</v>
      </c>
      <c r="U736" s="24" t="s">
        <v>3094</v>
      </c>
      <c r="V736">
        <v>0</v>
      </c>
      <c r="W736" s="21">
        <v>0</v>
      </c>
      <c r="X736" s="56" t="str">
        <f>IFERROR(VLOOKUP(A736,Output!A:F,6,0),"-")</f>
        <v>-</v>
      </c>
    </row>
    <row r="737" spans="1:24" hidden="1" x14ac:dyDescent="0.25">
      <c r="A737" s="21" t="s">
        <v>503</v>
      </c>
      <c r="B737" s="40" t="s">
        <v>654</v>
      </c>
      <c r="C737" s="21" t="s">
        <v>244</v>
      </c>
      <c r="D737" s="21" t="s">
        <v>73</v>
      </c>
      <c r="E737" s="21" t="s">
        <v>92</v>
      </c>
      <c r="F737" s="55">
        <v>2.4432926671629548E-4</v>
      </c>
      <c r="G737" s="24">
        <v>4.7373760000000003</v>
      </c>
      <c r="H737" s="24">
        <v>4.4973229999999997</v>
      </c>
      <c r="I737" s="24">
        <v>3.7802899999999999</v>
      </c>
      <c r="J737" s="24">
        <v>4.378234</v>
      </c>
      <c r="K737" s="24">
        <v>2.4318149999999998</v>
      </c>
      <c r="L737" s="24">
        <v>6.7373079999999996</v>
      </c>
      <c r="M737" s="53">
        <v>29.910699999999999</v>
      </c>
      <c r="N737" s="24">
        <v>3.3641093750000008</v>
      </c>
      <c r="O737" s="24">
        <v>2.7272727272727275</v>
      </c>
      <c r="P737" s="24">
        <v>7.9917610793336324</v>
      </c>
      <c r="Q737" s="24">
        <v>7.9523939474382797</v>
      </c>
      <c r="R737" s="24">
        <v>7.84</v>
      </c>
      <c r="S737" s="24">
        <v>6.8134204194326937</v>
      </c>
      <c r="T737" s="24">
        <v>0.88367909177197657</v>
      </c>
      <c r="U737" s="24" t="s">
        <v>2797</v>
      </c>
      <c r="V737">
        <v>0</v>
      </c>
      <c r="W737" s="21">
        <v>1</v>
      </c>
      <c r="X737" s="56" t="str">
        <f>IFERROR(VLOOKUP(A737,Output!A:F,6,0),"-")</f>
        <v>-</v>
      </c>
    </row>
    <row r="738" spans="1:24" hidden="1" x14ac:dyDescent="0.25">
      <c r="A738" s="21" t="s">
        <v>2158</v>
      </c>
      <c r="B738" s="40" t="s">
        <v>2159</v>
      </c>
      <c r="C738" s="21" t="s">
        <v>298</v>
      </c>
      <c r="D738" s="21" t="s">
        <v>74</v>
      </c>
      <c r="E738" s="21" t="s">
        <v>91</v>
      </c>
      <c r="F738" s="55">
        <v>2.442055198331559E-4</v>
      </c>
      <c r="G738" s="24">
        <v>6.926545</v>
      </c>
      <c r="H738" s="24">
        <v>4.9823680000000001</v>
      </c>
      <c r="I738" s="24">
        <v>5.9263769999999996</v>
      </c>
      <c r="J738" s="24">
        <v>5.7488070000000002</v>
      </c>
      <c r="K738" s="24">
        <v>4.3281929999999997</v>
      </c>
      <c r="L738" s="24">
        <v>6.5685560000000001</v>
      </c>
      <c r="M738" s="24">
        <v>11.8988</v>
      </c>
      <c r="N738" s="24">
        <v>1.954492832764505</v>
      </c>
      <c r="O738" s="24">
        <v>8.144329896907216</v>
      </c>
      <c r="P738" s="24">
        <v>2.4786324786324792</v>
      </c>
      <c r="Q738" s="24">
        <v>9.1243926591360545</v>
      </c>
      <c r="R738" s="24">
        <v>5.45</v>
      </c>
      <c r="S738" s="24">
        <v>5.5567422080118689</v>
      </c>
      <c r="T738" s="24">
        <v>0.23840741583249481</v>
      </c>
      <c r="U738" s="24" t="s">
        <v>3778</v>
      </c>
      <c r="V738">
        <v>0</v>
      </c>
      <c r="W738" s="21">
        <v>0</v>
      </c>
      <c r="X738" s="56" t="str">
        <f>IFERROR(VLOOKUP(A738,Output!A:F,6,0),"-")</f>
        <v>-</v>
      </c>
    </row>
    <row r="739" spans="1:24" hidden="1" x14ac:dyDescent="0.25">
      <c r="A739" s="21" t="s">
        <v>763</v>
      </c>
      <c r="B739" s="40" t="s">
        <v>764</v>
      </c>
      <c r="C739" s="21" t="s">
        <v>257</v>
      </c>
      <c r="D739" s="21" t="s">
        <v>74</v>
      </c>
      <c r="E739" s="21" t="s">
        <v>85</v>
      </c>
      <c r="F739" s="55">
        <v>2.4407654137446899E-4</v>
      </c>
      <c r="G739" s="24">
        <v>5.716043</v>
      </c>
      <c r="H739" s="24">
        <v>5.9430750000000003</v>
      </c>
      <c r="I739" s="24">
        <v>5.6197609999999996</v>
      </c>
      <c r="J739" s="24">
        <v>5.761806</v>
      </c>
      <c r="K739" s="24">
        <v>4.3386610000000001</v>
      </c>
      <c r="L739" s="24">
        <v>18.1631</v>
      </c>
      <c r="M739" s="24">
        <v>11.460599999999999</v>
      </c>
      <c r="N739" s="24">
        <v>7.4898916782201894</v>
      </c>
      <c r="O739" s="24">
        <v>1.0101010101010102</v>
      </c>
      <c r="P739" s="24">
        <v>2.2894736842105265</v>
      </c>
      <c r="Q739" s="24">
        <v>9.269568908489525</v>
      </c>
      <c r="R739" s="24">
        <v>4.43</v>
      </c>
      <c r="S739" s="24">
        <v>5.3401408722775869</v>
      </c>
      <c r="T739" s="24">
        <v>0.35103384782068009</v>
      </c>
      <c r="U739" s="24" t="s">
        <v>3694</v>
      </c>
      <c r="V739">
        <v>0</v>
      </c>
      <c r="W739" s="21">
        <v>0</v>
      </c>
      <c r="X739" s="56" t="str">
        <f>IFERROR(VLOOKUP(A739,Output!A:F,6,0),"-")</f>
        <v>-</v>
      </c>
    </row>
    <row r="740" spans="1:24" x14ac:dyDescent="0.25">
      <c r="A740" s="21" t="s">
        <v>752</v>
      </c>
      <c r="B740" s="40" t="s">
        <v>753</v>
      </c>
      <c r="C740" s="21" t="s">
        <v>248</v>
      </c>
      <c r="D740" s="21" t="s">
        <v>75</v>
      </c>
      <c r="E740" s="21" t="s">
        <v>85</v>
      </c>
      <c r="F740" s="55">
        <v>2.4406869401114796E-4</v>
      </c>
      <c r="G740" s="24">
        <v>6.1680659999999996</v>
      </c>
      <c r="H740" s="24">
        <v>4.8214860000000002</v>
      </c>
      <c r="I740" s="24">
        <v>4.1112650000000004</v>
      </c>
      <c r="J740" s="24">
        <v>4.9768819999999998</v>
      </c>
      <c r="K740" s="24">
        <v>3.654693</v>
      </c>
      <c r="L740" s="24">
        <v>4.2191939999999999</v>
      </c>
      <c r="M740" s="24">
        <v>3.7082999999999999</v>
      </c>
      <c r="N740" s="24">
        <v>1.3026311420926739</v>
      </c>
      <c r="O740" s="24">
        <v>7.3118279569892479</v>
      </c>
      <c r="P740" s="24">
        <v>0.52486187845303856</v>
      </c>
      <c r="Q740" s="24">
        <v>6.1024917724494596</v>
      </c>
      <c r="R740" s="24">
        <v>6.34</v>
      </c>
      <c r="S740" s="24">
        <v>2.9568618140105514</v>
      </c>
      <c r="T740" s="24">
        <v>0.11874373339899059</v>
      </c>
      <c r="U740" s="24" t="s">
        <v>3531</v>
      </c>
      <c r="V740">
        <v>0</v>
      </c>
      <c r="W740" s="21">
        <v>0</v>
      </c>
      <c r="X740" s="56" t="str">
        <f>IFERROR(VLOOKUP(A740,Output!A:F,6,0),"-")</f>
        <v>-</v>
      </c>
    </row>
    <row r="741" spans="1:24" hidden="1" x14ac:dyDescent="0.25">
      <c r="A741" s="21" t="s">
        <v>2303</v>
      </c>
      <c r="B741" s="40" t="s">
        <v>2304</v>
      </c>
      <c r="C741" s="21" t="s">
        <v>257</v>
      </c>
      <c r="D741" s="21" t="s">
        <v>74</v>
      </c>
      <c r="E741" s="21" t="s">
        <v>93</v>
      </c>
      <c r="F741" s="55">
        <v>2.427441999326664E-4</v>
      </c>
      <c r="G741" s="24">
        <v>5.2331240000000001</v>
      </c>
      <c r="H741" s="24">
        <v>7.9788100000000002</v>
      </c>
      <c r="I741" s="24">
        <v>5.3107369999999996</v>
      </c>
      <c r="J741" s="24">
        <v>6.221279</v>
      </c>
      <c r="K741" s="24">
        <v>3.1953290000000001</v>
      </c>
      <c r="L741" s="24">
        <v>8.4253300000000007</v>
      </c>
      <c r="M741" s="53">
        <v>9.5777000000000001E-2</v>
      </c>
      <c r="N741" s="24">
        <v>8.5092571618861186</v>
      </c>
      <c r="O741" s="24">
        <v>7.0707070707070709</v>
      </c>
      <c r="P741" s="24">
        <v>5.4912284210526305</v>
      </c>
      <c r="Q741" s="24">
        <v>3.8368246968026458</v>
      </c>
      <c r="R741" s="24">
        <v>4.4400000000000004</v>
      </c>
      <c r="S741" s="24">
        <v>5.5033487002403714</v>
      </c>
      <c r="T741" s="24">
        <v>0.28178081891848089</v>
      </c>
      <c r="U741" s="24" t="s">
        <v>3859</v>
      </c>
      <c r="V741">
        <v>0</v>
      </c>
      <c r="W741" s="21">
        <v>0</v>
      </c>
      <c r="X741" s="56" t="str">
        <f>IFERROR(VLOOKUP(A741,Output!A:F,6,0),"-")</f>
        <v>-</v>
      </c>
    </row>
    <row r="742" spans="1:24" hidden="1" x14ac:dyDescent="0.25">
      <c r="A742" s="21" t="s">
        <v>652</v>
      </c>
      <c r="B742" s="40" t="s">
        <v>1011</v>
      </c>
      <c r="C742" s="21" t="s">
        <v>244</v>
      </c>
      <c r="D742" s="21" t="s">
        <v>73</v>
      </c>
      <c r="E742" s="21" t="s">
        <v>92</v>
      </c>
      <c r="F742" s="55">
        <v>2.4167001662268181E-4</v>
      </c>
      <c r="G742" s="24">
        <v>4.7629549999999998</v>
      </c>
      <c r="H742" s="24">
        <v>3.9080699999999999</v>
      </c>
      <c r="I742" s="24">
        <v>6.2302809999999997</v>
      </c>
      <c r="J742" s="24">
        <v>4.9466869999999998</v>
      </c>
      <c r="K742" s="24">
        <v>0</v>
      </c>
      <c r="L742" s="24">
        <v>4.2145770000000002</v>
      </c>
      <c r="M742" s="24">
        <v>2.4859</v>
      </c>
      <c r="N742" s="24">
        <v>1.4015142045454549</v>
      </c>
      <c r="O742" s="24">
        <v>4.4444444444444446</v>
      </c>
      <c r="P742" s="24">
        <v>3.9443872546060259</v>
      </c>
      <c r="Q742" s="24">
        <v>3.3669583222723656</v>
      </c>
      <c r="R742" s="24" t="e">
        <v>#N/A</v>
      </c>
      <c r="S742" s="24">
        <v>2.5263570399149309</v>
      </c>
      <c r="T742" s="24">
        <v>1.5116010278878065</v>
      </c>
      <c r="U742" s="24" t="s">
        <v>3085</v>
      </c>
      <c r="V742">
        <v>0</v>
      </c>
      <c r="W742" s="21">
        <v>0</v>
      </c>
      <c r="X742" s="56" t="str">
        <f>IFERROR(VLOOKUP(A742,Output!A:F,6,0),"-")</f>
        <v>-</v>
      </c>
    </row>
    <row r="743" spans="1:24" hidden="1" x14ac:dyDescent="0.25">
      <c r="A743" s="21" t="s">
        <v>516</v>
      </c>
      <c r="B743" s="40" t="s">
        <v>934</v>
      </c>
      <c r="C743" s="21" t="s">
        <v>244</v>
      </c>
      <c r="D743" s="21" t="s">
        <v>73</v>
      </c>
      <c r="E743" s="21" t="s">
        <v>92</v>
      </c>
      <c r="F743" s="55">
        <v>2.4109072023803334E-4</v>
      </c>
      <c r="G743" s="24">
        <v>4.7935910000000002</v>
      </c>
      <c r="H743" s="24">
        <v>4.1886830000000002</v>
      </c>
      <c r="I743" s="24">
        <v>4.4368530000000002</v>
      </c>
      <c r="J743" s="24">
        <v>4.5050970000000001</v>
      </c>
      <c r="K743" s="24">
        <v>0</v>
      </c>
      <c r="L743" s="24">
        <v>5.2411339999999997</v>
      </c>
      <c r="M743" s="24">
        <v>4.4355000000000002</v>
      </c>
      <c r="N743" s="24">
        <v>0</v>
      </c>
      <c r="O743" s="24">
        <v>4.6464646464646462</v>
      </c>
      <c r="P743" s="24">
        <v>2.6467559520216026</v>
      </c>
      <c r="Q743" s="24">
        <v>3.9145208388638175</v>
      </c>
      <c r="R743" s="24" t="e">
        <v>#N/A</v>
      </c>
      <c r="S743" s="24">
        <v>2.4359453307069501</v>
      </c>
      <c r="T743" s="24">
        <v>1.101236591955961</v>
      </c>
      <c r="U743" s="24" t="s">
        <v>3018</v>
      </c>
      <c r="V743">
        <v>0</v>
      </c>
      <c r="W743" s="21">
        <v>1</v>
      </c>
      <c r="X743" s="56" t="str">
        <f>IFERROR(VLOOKUP(A743,Output!A:F,6,0),"-")</f>
        <v>-</v>
      </c>
    </row>
    <row r="744" spans="1:24" hidden="1" x14ac:dyDescent="0.25">
      <c r="A744" s="21" t="s">
        <v>1905</v>
      </c>
      <c r="B744" s="40" t="s">
        <v>1906</v>
      </c>
      <c r="C744" s="21" t="s">
        <v>254</v>
      </c>
      <c r="D744" s="21" t="s">
        <v>74</v>
      </c>
      <c r="E744" s="21" t="s">
        <v>92</v>
      </c>
      <c r="F744" s="55">
        <v>2.4071193404695985E-4</v>
      </c>
      <c r="G744" s="21">
        <v>6.1416880000000003</v>
      </c>
      <c r="H744" s="21">
        <v>3.1004459999999998</v>
      </c>
      <c r="I744" s="21">
        <v>4.7192850000000002</v>
      </c>
      <c r="J744" s="21">
        <v>4.8025950000000002</v>
      </c>
      <c r="K744" s="24">
        <v>1.3789370000000001</v>
      </c>
      <c r="L744" s="24">
        <v>1.7000040000000001</v>
      </c>
      <c r="M744" s="24">
        <v>35.6175</v>
      </c>
      <c r="N744" s="24">
        <v>7.3160503703703705</v>
      </c>
      <c r="O744" s="24">
        <v>8.0612244897959187</v>
      </c>
      <c r="P744" s="24">
        <v>7.0136986301369859</v>
      </c>
      <c r="Q744" s="24">
        <v>0</v>
      </c>
      <c r="R744" s="24">
        <v>4.96</v>
      </c>
      <c r="S744" s="24">
        <v>3.6839022603451332</v>
      </c>
      <c r="T744" s="24">
        <v>1.11591221397383</v>
      </c>
      <c r="U744" s="24" t="s">
        <v>3615</v>
      </c>
      <c r="V744">
        <v>0</v>
      </c>
      <c r="W744" s="21">
        <v>0</v>
      </c>
      <c r="X744" s="56" t="str">
        <f>IFERROR(VLOOKUP(A744,Output!A:F,6,0),"-")</f>
        <v>-</v>
      </c>
    </row>
    <row r="745" spans="1:24" hidden="1" x14ac:dyDescent="0.25">
      <c r="A745" s="21" t="s">
        <v>2095</v>
      </c>
      <c r="B745" s="40" t="s">
        <v>2096</v>
      </c>
      <c r="C745" s="21" t="s">
        <v>250</v>
      </c>
      <c r="D745" s="21" t="s">
        <v>76</v>
      </c>
      <c r="E745" s="21" t="s">
        <v>95</v>
      </c>
      <c r="F745" s="55">
        <v>2.3990596959099967E-4</v>
      </c>
      <c r="G745" s="24">
        <v>4.6135619999999999</v>
      </c>
      <c r="H745" s="24">
        <v>4.9094870000000004</v>
      </c>
      <c r="I745" s="24">
        <v>5.0685029999999998</v>
      </c>
      <c r="J745" s="24">
        <v>4.8092290000000002</v>
      </c>
      <c r="K745" s="24">
        <v>4.0392080000000004</v>
      </c>
      <c r="L745" s="24">
        <v>8.2133070000000004</v>
      </c>
      <c r="M745" s="24">
        <v>2735.07</v>
      </c>
      <c r="N745" s="24">
        <v>8.2812507961106814</v>
      </c>
      <c r="O745" s="24">
        <v>6.2921348314606735</v>
      </c>
      <c r="P745" s="24">
        <v>7.3317310257950927</v>
      </c>
      <c r="Q745" s="24">
        <v>6.8818920849163625</v>
      </c>
      <c r="R745" s="24">
        <v>4.9400000000000004</v>
      </c>
      <c r="S745" s="24">
        <v>6.201498792848648</v>
      </c>
      <c r="T745" s="24">
        <v>0.3880989168328608</v>
      </c>
      <c r="U745" s="24" t="s">
        <v>3716</v>
      </c>
      <c r="V745">
        <v>1</v>
      </c>
      <c r="W745" s="21">
        <v>0</v>
      </c>
      <c r="X745" s="56" t="str">
        <f>IFERROR(VLOOKUP(A745,Output!A:F,6,0),"-")</f>
        <v>-</v>
      </c>
    </row>
    <row r="746" spans="1:24" hidden="1" x14ac:dyDescent="0.25">
      <c r="A746" s="21" t="s">
        <v>638</v>
      </c>
      <c r="B746" s="40" t="s">
        <v>944</v>
      </c>
      <c r="C746" s="21" t="s">
        <v>244</v>
      </c>
      <c r="D746" s="21" t="s">
        <v>73</v>
      </c>
      <c r="E746" s="21" t="s">
        <v>92</v>
      </c>
      <c r="F746" s="55">
        <v>2.3981522187669732E-4</v>
      </c>
      <c r="G746" s="21">
        <v>5.3711970000000004</v>
      </c>
      <c r="H746" s="21">
        <v>5.1797389999999996</v>
      </c>
      <c r="I746" s="21">
        <v>6.534713</v>
      </c>
      <c r="J746" s="21">
        <v>5.7600199999999999</v>
      </c>
      <c r="K746" s="24">
        <v>1.158544</v>
      </c>
      <c r="L746" s="24">
        <v>3.4161109999999999</v>
      </c>
      <c r="M746" s="24">
        <v>5.6224999999999996</v>
      </c>
      <c r="N746" s="24">
        <v>3.7352198032465895</v>
      </c>
      <c r="O746" s="24">
        <v>1.9387755102040813</v>
      </c>
      <c r="P746" s="24">
        <v>7.4302213568054718</v>
      </c>
      <c r="Q746" s="24">
        <v>2.8798853460393654</v>
      </c>
      <c r="R746" s="24">
        <v>5.99</v>
      </c>
      <c r="S746" s="24">
        <v>4.5300480755548422</v>
      </c>
      <c r="T746" s="24">
        <v>1.2642827583175698</v>
      </c>
      <c r="U746" s="24" t="s">
        <v>3064</v>
      </c>
      <c r="V746">
        <v>0</v>
      </c>
      <c r="W746" s="21">
        <v>0</v>
      </c>
      <c r="X746" s="56" t="str">
        <f>IFERROR(VLOOKUP(A746,Output!A:F,6,0),"-")</f>
        <v>-</v>
      </c>
    </row>
    <row r="747" spans="1:24" x14ac:dyDescent="0.25">
      <c r="A747" s="21" t="s">
        <v>322</v>
      </c>
      <c r="B747" s="40" t="s">
        <v>323</v>
      </c>
      <c r="C747" s="21" t="s">
        <v>248</v>
      </c>
      <c r="D747" s="21" t="s">
        <v>75</v>
      </c>
      <c r="E747" s="21" t="s">
        <v>85</v>
      </c>
      <c r="F747" s="55">
        <v>2.396658201519313E-4</v>
      </c>
      <c r="G747" s="21">
        <v>5.5901680000000002</v>
      </c>
      <c r="H747" s="21">
        <v>8.2131310000000006</v>
      </c>
      <c r="I747" s="21">
        <v>8.799728</v>
      </c>
      <c r="J747" s="21">
        <v>7.339925</v>
      </c>
      <c r="K747" s="24">
        <v>3.1786400000000001</v>
      </c>
      <c r="L747" s="24">
        <v>7.667205</v>
      </c>
      <c r="M747" s="24">
        <v>310.7697</v>
      </c>
      <c r="N747" s="24">
        <v>2.083732095293148</v>
      </c>
      <c r="O747" s="24">
        <v>8.4946236559139781</v>
      </c>
      <c r="P747" s="24">
        <v>3.6464088397790051</v>
      </c>
      <c r="Q747" s="24">
        <v>8.1288199341795959</v>
      </c>
      <c r="R747" s="24">
        <v>4.33</v>
      </c>
      <c r="S747" s="24">
        <v>4.484033671023969</v>
      </c>
      <c r="T747" s="24">
        <v>0.22616220427401459</v>
      </c>
      <c r="U747" s="24" t="s">
        <v>3913</v>
      </c>
      <c r="V747">
        <v>0</v>
      </c>
      <c r="W747" s="21">
        <v>0</v>
      </c>
      <c r="X747" s="56" t="str">
        <f>IFERROR(VLOOKUP(A747,Output!A:F,6,0),"-")</f>
        <v>-</v>
      </c>
    </row>
    <row r="748" spans="1:24" hidden="1" x14ac:dyDescent="0.25">
      <c r="A748" s="21" t="s">
        <v>1474</v>
      </c>
      <c r="B748" s="40" t="s">
        <v>1475</v>
      </c>
      <c r="C748" s="21" t="s">
        <v>244</v>
      </c>
      <c r="D748" s="21" t="s">
        <v>73</v>
      </c>
      <c r="E748" s="21" t="s">
        <v>90</v>
      </c>
      <c r="F748" s="55">
        <v>2.395541461354395E-4</v>
      </c>
      <c r="G748" s="21">
        <v>4.4758050000000003</v>
      </c>
      <c r="H748" s="21">
        <v>4.8643299999999998</v>
      </c>
      <c r="I748" s="21">
        <v>2.2184360000000001</v>
      </c>
      <c r="J748" s="21">
        <v>3.915152</v>
      </c>
      <c r="K748" s="24">
        <v>1.6600250000000001</v>
      </c>
      <c r="L748" s="24">
        <v>3.087977</v>
      </c>
      <c r="M748" s="24">
        <v>54.402099999999997</v>
      </c>
      <c r="N748" s="24">
        <v>4.844989185291996</v>
      </c>
      <c r="O748" s="24">
        <v>1.8556701030927831</v>
      </c>
      <c r="P748" s="24">
        <v>5.4771784232365146</v>
      </c>
      <c r="Q748" s="24">
        <v>0.58872109485606416</v>
      </c>
      <c r="R748" s="24">
        <v>3.71</v>
      </c>
      <c r="S748" s="24">
        <v>2.6689208993331044</v>
      </c>
      <c r="T748" s="24">
        <v>0.74186989641474754</v>
      </c>
      <c r="U748" s="24" t="s">
        <v>3382</v>
      </c>
      <c r="V748">
        <v>0</v>
      </c>
      <c r="W748" s="21">
        <v>1</v>
      </c>
      <c r="X748" s="56" t="str">
        <f>IFERROR(VLOOKUP(A748,Output!A:F,6,0),"-")</f>
        <v>-</v>
      </c>
    </row>
    <row r="749" spans="1:24" hidden="1" x14ac:dyDescent="0.25">
      <c r="A749" s="21" t="s">
        <v>646</v>
      </c>
      <c r="B749" s="40" t="s">
        <v>933</v>
      </c>
      <c r="C749" s="21" t="s">
        <v>244</v>
      </c>
      <c r="D749" s="21" t="s">
        <v>73</v>
      </c>
      <c r="E749" s="21" t="s">
        <v>92</v>
      </c>
      <c r="F749" s="55">
        <v>2.390165011407258E-4</v>
      </c>
      <c r="G749" s="24">
        <v>4.4399179999999996</v>
      </c>
      <c r="H749" s="24">
        <v>3.2896899999999998</v>
      </c>
      <c r="I749" s="24">
        <v>4.1693889999999998</v>
      </c>
      <c r="J749" s="24">
        <v>4.0136900000000004</v>
      </c>
      <c r="K749" s="24">
        <v>1.0205839999999999</v>
      </c>
      <c r="L749" s="24">
        <v>4.7290910000000004</v>
      </c>
      <c r="M749" s="24">
        <v>17.1007</v>
      </c>
      <c r="N749" s="24">
        <v>7.6775568181818175</v>
      </c>
      <c r="O749" s="24">
        <v>7.6767676767676765</v>
      </c>
      <c r="P749" s="24">
        <v>8.2080329630977023</v>
      </c>
      <c r="Q749" s="24">
        <v>1.9748691266259621</v>
      </c>
      <c r="R749" s="24">
        <v>7.04</v>
      </c>
      <c r="S749" s="24">
        <v>6.1550946510814963</v>
      </c>
      <c r="T749" s="24">
        <v>1.0566755457101504</v>
      </c>
      <c r="U749" s="24" t="s">
        <v>3025</v>
      </c>
      <c r="V749">
        <v>0</v>
      </c>
      <c r="W749" s="21">
        <v>1</v>
      </c>
      <c r="X749" s="56" t="str">
        <f>IFERROR(VLOOKUP(A749,Output!A:F,6,0),"-")</f>
        <v>-</v>
      </c>
    </row>
    <row r="750" spans="1:24" hidden="1" x14ac:dyDescent="0.25">
      <c r="A750" s="21" t="s">
        <v>573</v>
      </c>
      <c r="B750" s="40" t="s">
        <v>952</v>
      </c>
      <c r="C750" s="21" t="s">
        <v>244</v>
      </c>
      <c r="D750" s="21" t="s">
        <v>73</v>
      </c>
      <c r="E750" s="21" t="s">
        <v>87</v>
      </c>
      <c r="F750" s="55">
        <v>2.385938502008321E-4</v>
      </c>
      <c r="G750" s="24">
        <v>4.3710709999999997</v>
      </c>
      <c r="H750" s="24">
        <v>4.791004</v>
      </c>
      <c r="I750" s="24">
        <v>7.3135199999999996</v>
      </c>
      <c r="J750" s="24">
        <v>5.4918649999999998</v>
      </c>
      <c r="K750" s="24">
        <v>2.2620619999999998</v>
      </c>
      <c r="L750" s="24">
        <v>7.9923380000000002</v>
      </c>
      <c r="M750" s="24">
        <v>760.2645</v>
      </c>
      <c r="N750" s="24">
        <v>2.5309913497412877</v>
      </c>
      <c r="O750" s="24">
        <v>5.0515463917525771</v>
      </c>
      <c r="P750" s="24">
        <v>8.3703703703703702</v>
      </c>
      <c r="Q750" s="24">
        <v>7.0024072612156658</v>
      </c>
      <c r="R750" s="24">
        <v>5.58</v>
      </c>
      <c r="S750" s="24">
        <v>6.8530970257105306</v>
      </c>
      <c r="T750" s="24">
        <v>0.62080956557997802</v>
      </c>
      <c r="U750" s="24" t="s">
        <v>3058</v>
      </c>
      <c r="V750">
        <v>0</v>
      </c>
      <c r="W750" s="21">
        <v>0</v>
      </c>
      <c r="X750" s="56">
        <f>IFERROR(VLOOKUP(A750,Output!A:F,6,0),"-")</f>
        <v>7.4999999999999468E-3</v>
      </c>
    </row>
    <row r="751" spans="1:24" hidden="1" x14ac:dyDescent="0.25">
      <c r="A751" s="21" t="s">
        <v>468</v>
      </c>
      <c r="B751" s="40" t="s">
        <v>859</v>
      </c>
      <c r="C751" s="21" t="s">
        <v>244</v>
      </c>
      <c r="D751" s="21" t="s">
        <v>73</v>
      </c>
      <c r="E751" s="21" t="s">
        <v>91</v>
      </c>
      <c r="F751" s="55">
        <v>2.3855491520589307E-4</v>
      </c>
      <c r="G751" s="24">
        <v>4.4821679999999997</v>
      </c>
      <c r="H751" s="24">
        <v>4.6377430000000004</v>
      </c>
      <c r="I751" s="24">
        <v>6.6891980000000002</v>
      </c>
      <c r="J751" s="24">
        <v>5.2697029999999998</v>
      </c>
      <c r="K751" s="24">
        <v>0</v>
      </c>
      <c r="L751" s="24">
        <v>23.62181</v>
      </c>
      <c r="M751" s="24" t="e">
        <v>#N/A</v>
      </c>
      <c r="N751" s="24">
        <v>3.2950633024052074</v>
      </c>
      <c r="O751" s="24">
        <v>8.0808080808080813</v>
      </c>
      <c r="P751" s="24">
        <v>5.1351351553632636</v>
      </c>
      <c r="Q751" s="24">
        <v>7.6235856390176497</v>
      </c>
      <c r="R751" s="24" t="e">
        <v>#N/A</v>
      </c>
      <c r="S751" s="24">
        <v>5.7683776994346019</v>
      </c>
      <c r="T751" s="24">
        <v>0.52366724005342657</v>
      </c>
      <c r="U751" s="24" t="s">
        <v>2951</v>
      </c>
      <c r="V751">
        <v>0</v>
      </c>
      <c r="W751" s="21">
        <v>0</v>
      </c>
      <c r="X751" s="56" t="str">
        <f>IFERROR(VLOOKUP(A751,Output!A:F,6,0),"-")</f>
        <v>-</v>
      </c>
    </row>
    <row r="752" spans="1:24" hidden="1" x14ac:dyDescent="0.25">
      <c r="A752" s="21" t="s">
        <v>466</v>
      </c>
      <c r="B752" s="40" t="s">
        <v>719</v>
      </c>
      <c r="C752" s="21" t="s">
        <v>244</v>
      </c>
      <c r="D752" s="21" t="s">
        <v>73</v>
      </c>
      <c r="E752" s="21" t="s">
        <v>92</v>
      </c>
      <c r="F752" s="55">
        <v>2.3842895496386808E-4</v>
      </c>
      <c r="G752" s="24">
        <v>5.6526069999999997</v>
      </c>
      <c r="H752" s="24">
        <v>4.6024760000000002</v>
      </c>
      <c r="I752" s="24">
        <v>4.2548649999999997</v>
      </c>
      <c r="J752" s="24">
        <v>4.9182449999999998</v>
      </c>
      <c r="K752" s="24">
        <v>0.89808889999999997</v>
      </c>
      <c r="L752" s="24">
        <v>4.5295399999999999</v>
      </c>
      <c r="M752" s="24">
        <v>45.574800000000003</v>
      </c>
      <c r="N752" s="24">
        <v>7.5047343750000017</v>
      </c>
      <c r="O752" s="24">
        <v>8.1818181818181817</v>
      </c>
      <c r="P752" s="24">
        <v>9.5983522158667274</v>
      </c>
      <c r="Q752" s="24">
        <v>1.9272630740642422</v>
      </c>
      <c r="R752" s="24">
        <v>6.58</v>
      </c>
      <c r="S752" s="24">
        <v>6.1660605524612784</v>
      </c>
      <c r="T752" s="24">
        <v>1.4426608513712678</v>
      </c>
      <c r="U752" s="24" t="s">
        <v>2970</v>
      </c>
      <c r="V752">
        <v>0</v>
      </c>
      <c r="W752" s="21">
        <v>0</v>
      </c>
      <c r="X752" s="56" t="str">
        <f>IFERROR(VLOOKUP(A752,Output!A:F,6,0),"-")</f>
        <v>-</v>
      </c>
    </row>
    <row r="753" spans="1:24" hidden="1" x14ac:dyDescent="0.25">
      <c r="A753" s="21" t="s">
        <v>1085</v>
      </c>
      <c r="B753" s="40" t="s">
        <v>1086</v>
      </c>
      <c r="C753" s="21" t="s">
        <v>244</v>
      </c>
      <c r="D753" s="21" t="s">
        <v>73</v>
      </c>
      <c r="E753" s="21" t="s">
        <v>99</v>
      </c>
      <c r="F753" s="55">
        <v>2.3771866797609142E-4</v>
      </c>
      <c r="G753" s="24">
        <v>3.8920840000000001</v>
      </c>
      <c r="H753" s="24">
        <v>3.1808809999999998</v>
      </c>
      <c r="I753" s="24">
        <v>3.3007840000000002</v>
      </c>
      <c r="J753" s="24">
        <v>3.457916</v>
      </c>
      <c r="K753" s="24">
        <v>0</v>
      </c>
      <c r="L753" s="24">
        <v>7.6853020000000001</v>
      </c>
      <c r="M753" s="24">
        <v>7.5617999999999999</v>
      </c>
      <c r="N753" s="24">
        <v>2.943962742222789</v>
      </c>
      <c r="O753" s="24">
        <v>4.166666666666667</v>
      </c>
      <c r="P753" s="24">
        <v>5.7313432835820901</v>
      </c>
      <c r="Q753" s="24">
        <v>8.5692043912675757</v>
      </c>
      <c r="R753" s="24" t="e">
        <v>#N/A</v>
      </c>
      <c r="S753" s="24">
        <v>5.6178384740001226</v>
      </c>
      <c r="T753" s="24">
        <v>1.5630343819112773</v>
      </c>
      <c r="U753" s="24" t="s">
        <v>3102</v>
      </c>
      <c r="V753">
        <v>0</v>
      </c>
      <c r="W753" s="21">
        <v>1</v>
      </c>
      <c r="X753" s="56" t="str">
        <f>IFERROR(VLOOKUP(A753,Output!A:F,6,0),"-")</f>
        <v>-</v>
      </c>
    </row>
    <row r="754" spans="1:24" hidden="1" x14ac:dyDescent="0.25">
      <c r="A754" s="21" t="s">
        <v>293</v>
      </c>
      <c r="B754" s="40" t="s">
        <v>4137</v>
      </c>
      <c r="C754" s="21" t="s">
        <v>294</v>
      </c>
      <c r="D754" s="21" t="s">
        <v>77</v>
      </c>
      <c r="E754" s="21" t="s">
        <v>100</v>
      </c>
      <c r="F754" s="55">
        <v>2.3759703384461522E-4</v>
      </c>
      <c r="G754" s="24">
        <v>3.3259340000000002</v>
      </c>
      <c r="H754" s="24">
        <v>3.9645609999999998</v>
      </c>
      <c r="I754" s="24">
        <v>6.6630229999999999</v>
      </c>
      <c r="J754" s="24">
        <v>4.651173</v>
      </c>
      <c r="K754" s="24">
        <v>0</v>
      </c>
      <c r="L754" s="24">
        <v>5.2161989999999996</v>
      </c>
      <c r="M754" s="24">
        <v>9.0328999999999997</v>
      </c>
      <c r="N754" s="24" t="e">
        <v>#N/A</v>
      </c>
      <c r="O754" s="24" t="e">
        <v>#N/A</v>
      </c>
      <c r="P754" s="24" t="e">
        <v>#N/A</v>
      </c>
      <c r="Q754" s="24" t="e">
        <v>#N/A</v>
      </c>
      <c r="R754" s="24" t="e">
        <v>#N/A</v>
      </c>
      <c r="S754" s="24" t="e">
        <v>#N/A</v>
      </c>
      <c r="T754" s="24">
        <v>0.84351667173123102</v>
      </c>
      <c r="U754" s="24" t="s">
        <v>2824</v>
      </c>
      <c r="V754">
        <v>0</v>
      </c>
      <c r="W754" s="21">
        <v>0</v>
      </c>
      <c r="X754" s="56" t="str">
        <f>IFERROR(VLOOKUP(A754,Output!A:F,6,0),"-")</f>
        <v>-</v>
      </c>
    </row>
    <row r="755" spans="1:24" hidden="1" x14ac:dyDescent="0.25">
      <c r="A755" s="21" t="s">
        <v>1774</v>
      </c>
      <c r="B755" s="40" t="s">
        <v>1775</v>
      </c>
      <c r="C755" s="21" t="s">
        <v>305</v>
      </c>
      <c r="D755" s="21" t="s">
        <v>74</v>
      </c>
      <c r="E755" s="21" t="s">
        <v>96</v>
      </c>
      <c r="F755" s="55">
        <v>2.3706944957210802E-4</v>
      </c>
      <c r="G755" s="24">
        <v>5.9255360000000001</v>
      </c>
      <c r="H755" s="24">
        <v>3.9731350000000001</v>
      </c>
      <c r="I755" s="24">
        <v>7.5573050000000004</v>
      </c>
      <c r="J755" s="24">
        <v>5.8186590000000002</v>
      </c>
      <c r="K755" s="24">
        <v>1.8002629999999999</v>
      </c>
      <c r="L755" s="24">
        <v>6.8239359999999998</v>
      </c>
      <c r="M755" s="24">
        <v>15.642200000000001</v>
      </c>
      <c r="N755" s="24">
        <v>8.6203758409597917</v>
      </c>
      <c r="O755" s="24">
        <v>6.6666666666666661</v>
      </c>
      <c r="P755" s="24">
        <v>8.6350148367952535</v>
      </c>
      <c r="Q755" s="24">
        <v>3.2365843895395101</v>
      </c>
      <c r="R755" s="24">
        <v>3.84</v>
      </c>
      <c r="S755" s="24">
        <v>6.0113437097503155</v>
      </c>
      <c r="T755" s="24">
        <v>0.6050317379482345</v>
      </c>
      <c r="U755" s="24" t="s">
        <v>3474</v>
      </c>
      <c r="V755">
        <v>0</v>
      </c>
      <c r="W755" s="21">
        <v>0</v>
      </c>
      <c r="X755" s="56" t="str">
        <f>IFERROR(VLOOKUP(A755,Output!A:F,6,0),"-")</f>
        <v>-</v>
      </c>
    </row>
    <row r="756" spans="1:24" hidden="1" x14ac:dyDescent="0.25">
      <c r="A756" s="21" t="s">
        <v>2318</v>
      </c>
      <c r="B756" s="40" t="s">
        <v>2319</v>
      </c>
      <c r="C756" s="21" t="s">
        <v>1441</v>
      </c>
      <c r="D756" s="21" t="s">
        <v>74</v>
      </c>
      <c r="E756" s="21" t="s">
        <v>92</v>
      </c>
      <c r="F756" s="55">
        <v>2.3570320349646965E-4</v>
      </c>
      <c r="G756" s="24">
        <v>7.2084590000000004</v>
      </c>
      <c r="H756" s="24">
        <v>5.7387980000000001</v>
      </c>
      <c r="I756" s="24">
        <v>4.8327359999999997</v>
      </c>
      <c r="J756" s="24">
        <v>6.0548440000000001</v>
      </c>
      <c r="K756" s="24">
        <v>4.3063549999999999</v>
      </c>
      <c r="L756" s="24">
        <v>4.4821109999999997</v>
      </c>
      <c r="M756" s="24">
        <v>14.5709</v>
      </c>
      <c r="N756" s="24">
        <v>2.5086429629629632</v>
      </c>
      <c r="O756" s="24">
        <v>3.4693877551020402</v>
      </c>
      <c r="P756" s="24">
        <v>7.7534246575342465</v>
      </c>
      <c r="Q756" s="24">
        <v>3.4054238877727112</v>
      </c>
      <c r="R756" s="24">
        <v>7.54</v>
      </c>
      <c r="S756" s="24">
        <v>5.303454974752551</v>
      </c>
      <c r="T756" s="24">
        <v>0.37044064808848665</v>
      </c>
      <c r="U756" s="24" t="s">
        <v>3874</v>
      </c>
      <c r="V756">
        <v>0</v>
      </c>
      <c r="W756" s="21">
        <v>0</v>
      </c>
      <c r="X756" s="56" t="str">
        <f>IFERROR(VLOOKUP(A756,Output!A:F,6,0),"-")</f>
        <v>-</v>
      </c>
    </row>
    <row r="757" spans="1:24" hidden="1" x14ac:dyDescent="0.25">
      <c r="A757" s="21" t="s">
        <v>4334</v>
      </c>
      <c r="B757" s="40" t="s">
        <v>4335</v>
      </c>
      <c r="C757" s="21" t="s">
        <v>244</v>
      </c>
      <c r="D757" s="21" t="s">
        <v>73</v>
      </c>
      <c r="E757" s="21" t="s">
        <v>99</v>
      </c>
      <c r="F757" s="55">
        <v>2.3566396667986441E-4</v>
      </c>
      <c r="G757" s="24">
        <v>3.7958509999999999</v>
      </c>
      <c r="H757" s="24">
        <v>4.6904130000000004</v>
      </c>
      <c r="I757" s="24">
        <v>6.0857830000000002</v>
      </c>
      <c r="J757" s="24">
        <v>5.0696479999999999</v>
      </c>
      <c r="K757" s="24">
        <v>0</v>
      </c>
      <c r="L757" s="24">
        <v>-4.685181</v>
      </c>
      <c r="M757" s="24">
        <v>6.0643000000000002</v>
      </c>
      <c r="N757" s="24">
        <v>3.978041212506962</v>
      </c>
      <c r="O757" s="24">
        <v>2.6530612244897962</v>
      </c>
      <c r="P757" s="24">
        <v>0.76997105204993688</v>
      </c>
      <c r="Q757" s="24">
        <v>1.4278565587273522</v>
      </c>
      <c r="R757" s="24" t="e">
        <v>#N/A</v>
      </c>
      <c r="S757" s="24">
        <v>1.3090094458641466</v>
      </c>
      <c r="T757" s="24">
        <v>1.7417076666400089</v>
      </c>
      <c r="U757" s="24" t="s">
        <v>4336</v>
      </c>
      <c r="V757">
        <v>0</v>
      </c>
      <c r="W757" s="21">
        <v>0</v>
      </c>
      <c r="X757" s="56" t="str">
        <f>IFERROR(VLOOKUP(A757,Output!A:F,6,0),"-")</f>
        <v>-</v>
      </c>
    </row>
    <row r="758" spans="1:24" hidden="1" x14ac:dyDescent="0.25">
      <c r="A758" s="21" t="s">
        <v>4313</v>
      </c>
      <c r="B758" s="40" t="s">
        <v>4314</v>
      </c>
      <c r="C758" s="21" t="s">
        <v>244</v>
      </c>
      <c r="D758" s="21" t="s">
        <v>73</v>
      </c>
      <c r="E758" s="21" t="s">
        <v>92</v>
      </c>
      <c r="F758" s="55">
        <v>2.3565923814042737E-4</v>
      </c>
      <c r="G758" s="24">
        <v>4.8597200000000003</v>
      </c>
      <c r="H758" s="24">
        <v>3.3181910000000001</v>
      </c>
      <c r="I758" s="24">
        <v>5.2068719999999997</v>
      </c>
      <c r="J758" s="24">
        <v>4.5014070000000004</v>
      </c>
      <c r="K758" s="24">
        <v>1.0835239999999999</v>
      </c>
      <c r="L758" s="24">
        <v>3.7131069999999999</v>
      </c>
      <c r="M758" s="24">
        <v>56.8386</v>
      </c>
      <c r="N758" s="24">
        <v>6.4157187500000026</v>
      </c>
      <c r="O758" s="24">
        <v>6.1616161616161609</v>
      </c>
      <c r="P758" s="24">
        <v>10</v>
      </c>
      <c r="Q758" s="24">
        <v>1.6563132466153438</v>
      </c>
      <c r="R758" s="24">
        <v>7.21</v>
      </c>
      <c r="S758" s="24">
        <v>5.9740088150090269</v>
      </c>
      <c r="T758" s="24">
        <v>1.1298172664406052</v>
      </c>
      <c r="U758" s="24" t="s">
        <v>4315</v>
      </c>
      <c r="V758">
        <v>0</v>
      </c>
      <c r="W758" s="21">
        <v>1</v>
      </c>
      <c r="X758" s="56" t="str">
        <f>IFERROR(VLOOKUP(A758,Output!A:F,6,0),"-")</f>
        <v>-</v>
      </c>
    </row>
    <row r="759" spans="1:24" hidden="1" x14ac:dyDescent="0.25">
      <c r="A759" s="21" t="s">
        <v>738</v>
      </c>
      <c r="B759" s="40" t="s">
        <v>739</v>
      </c>
      <c r="C759" s="21" t="s">
        <v>244</v>
      </c>
      <c r="D759" s="21" t="s">
        <v>73</v>
      </c>
      <c r="E759" s="21" t="s">
        <v>95</v>
      </c>
      <c r="F759" s="55">
        <v>2.338952917159673E-4</v>
      </c>
      <c r="G759" s="21">
        <v>5.7532310000000004</v>
      </c>
      <c r="H759" s="21">
        <v>6.3839050000000004</v>
      </c>
      <c r="I759" s="21">
        <v>4.7911729999999997</v>
      </c>
      <c r="J759" s="21">
        <v>5.653816</v>
      </c>
      <c r="K759" s="24">
        <v>0</v>
      </c>
      <c r="L759" s="24">
        <v>2.6149830000000001</v>
      </c>
      <c r="M759" s="24">
        <v>9.9772999999999996</v>
      </c>
      <c r="N759" s="24">
        <v>0</v>
      </c>
      <c r="O759" s="24">
        <v>0.92783505154639168</v>
      </c>
      <c r="P759" s="24">
        <v>8.1605351170568561</v>
      </c>
      <c r="Q759" s="24">
        <v>0</v>
      </c>
      <c r="R759" s="24" t="e">
        <v>#N/A</v>
      </c>
      <c r="S759" s="24">
        <v>2.0767191451178726</v>
      </c>
      <c r="T759" s="24">
        <v>2.1470104014827838</v>
      </c>
      <c r="U759" s="24" t="s">
        <v>2805</v>
      </c>
      <c r="V759">
        <v>0</v>
      </c>
      <c r="W759" s="21">
        <v>0</v>
      </c>
      <c r="X759" s="56" t="str">
        <f>IFERROR(VLOOKUP(A759,Output!A:F,6,0),"-")</f>
        <v>-</v>
      </c>
    </row>
    <row r="760" spans="1:24" x14ac:dyDescent="0.25">
      <c r="A760" s="21" t="s">
        <v>2105</v>
      </c>
      <c r="B760" s="40" t="s">
        <v>2106</v>
      </c>
      <c r="C760" s="21" t="s">
        <v>248</v>
      </c>
      <c r="D760" s="21" t="s">
        <v>75</v>
      </c>
      <c r="E760" s="21" t="s">
        <v>92</v>
      </c>
      <c r="F760" s="55">
        <v>2.336907572335098E-4</v>
      </c>
      <c r="G760" s="24">
        <v>6.0785980000000004</v>
      </c>
      <c r="H760" s="24">
        <v>6.0677050000000001</v>
      </c>
      <c r="I760" s="24">
        <v>5.5019640000000001</v>
      </c>
      <c r="J760" s="24">
        <v>5.9023399999999997</v>
      </c>
      <c r="K760" s="24">
        <v>2.213241</v>
      </c>
      <c r="L760" s="24">
        <v>8.2207620000000006</v>
      </c>
      <c r="M760" s="24">
        <v>38.957500000000003</v>
      </c>
      <c r="N760" s="24">
        <v>4.5440204514081941</v>
      </c>
      <c r="O760" s="24">
        <v>7.6842105263157894</v>
      </c>
      <c r="P760" s="24">
        <v>4.5828573904979475</v>
      </c>
      <c r="Q760" s="24">
        <v>6.31157264505259</v>
      </c>
      <c r="R760" s="24">
        <v>4.8499999999999996</v>
      </c>
      <c r="S760" s="24">
        <v>5.5730848860640503</v>
      </c>
      <c r="T760" s="24">
        <v>0.35605794810613989</v>
      </c>
      <c r="U760" s="24" t="s">
        <v>3686</v>
      </c>
      <c r="V760">
        <v>0</v>
      </c>
      <c r="W760" s="21">
        <v>0</v>
      </c>
      <c r="X760" s="56" t="str">
        <f>IFERROR(VLOOKUP(A760,Output!A:F,6,0),"-")</f>
        <v>-</v>
      </c>
    </row>
    <row r="761" spans="1:24" hidden="1" x14ac:dyDescent="0.25">
      <c r="A761" s="21" t="s">
        <v>524</v>
      </c>
      <c r="B761" s="40" t="s">
        <v>923</v>
      </c>
      <c r="C761" s="21" t="s">
        <v>244</v>
      </c>
      <c r="D761" s="21" t="s">
        <v>73</v>
      </c>
      <c r="E761" s="21" t="s">
        <v>92</v>
      </c>
      <c r="F761" s="55">
        <v>2.334098618695052E-4</v>
      </c>
      <c r="G761" s="24">
        <v>7.0656169999999996</v>
      </c>
      <c r="H761" s="24">
        <v>4.2916340000000002</v>
      </c>
      <c r="I761" s="24">
        <v>5.3594609999999996</v>
      </c>
      <c r="J761" s="24">
        <v>5.7215749999999996</v>
      </c>
      <c r="K761" s="24">
        <v>3.487536</v>
      </c>
      <c r="L761" s="24">
        <v>4.3176750000000004</v>
      </c>
      <c r="M761" s="24">
        <v>32.937199999999997</v>
      </c>
      <c r="N761" s="24">
        <v>3.7689389204545467</v>
      </c>
      <c r="O761" s="24">
        <v>2.5252525252525255</v>
      </c>
      <c r="P761" s="24">
        <v>2.0906282509139933</v>
      </c>
      <c r="Q761" s="24">
        <v>7.7855938412529859</v>
      </c>
      <c r="R761" s="24">
        <v>5.93</v>
      </c>
      <c r="S761" s="24">
        <v>4.5808013735067812</v>
      </c>
      <c r="T761" s="24">
        <v>1.3893522545390213</v>
      </c>
      <c r="U761" s="24" t="s">
        <v>3052</v>
      </c>
      <c r="V761">
        <v>0</v>
      </c>
      <c r="W761" s="21">
        <v>0</v>
      </c>
      <c r="X761" s="56" t="str">
        <f>IFERROR(VLOOKUP(A761,Output!A:F,6,0),"-")</f>
        <v>-</v>
      </c>
    </row>
    <row r="762" spans="1:24" hidden="1" x14ac:dyDescent="0.25">
      <c r="A762" s="21" t="s">
        <v>2208</v>
      </c>
      <c r="B762" s="40" t="s">
        <v>2209</v>
      </c>
      <c r="C762" s="21" t="s">
        <v>254</v>
      </c>
      <c r="D762" s="21" t="s">
        <v>74</v>
      </c>
      <c r="E762" s="21" t="s">
        <v>91</v>
      </c>
      <c r="F762" s="55">
        <v>2.3277814912216107E-4</v>
      </c>
      <c r="G762" s="24">
        <v>8.0867730000000009</v>
      </c>
      <c r="H762" s="24">
        <v>7.6297360000000003</v>
      </c>
      <c r="I762" s="24">
        <v>8.8951030000000006</v>
      </c>
      <c r="J762" s="24">
        <v>8.22729</v>
      </c>
      <c r="K762" s="24">
        <v>1.70936</v>
      </c>
      <c r="L762" s="24">
        <v>3.7096290000000001</v>
      </c>
      <c r="M762" s="24">
        <v>12.0037</v>
      </c>
      <c r="N762" s="24">
        <v>2.8100109215017071</v>
      </c>
      <c r="O762" s="24">
        <v>5.463917525773196</v>
      </c>
      <c r="P762" s="24">
        <v>7.4074074074074083</v>
      </c>
      <c r="Q762" s="24">
        <v>3.4913575854605829</v>
      </c>
      <c r="R762" s="24">
        <v>4.46</v>
      </c>
      <c r="S762" s="24">
        <v>4.8715131477505089</v>
      </c>
      <c r="T762" s="24">
        <v>0.74132897718922419</v>
      </c>
      <c r="U762" s="24" t="s">
        <v>3805</v>
      </c>
      <c r="V762">
        <v>0</v>
      </c>
      <c r="W762" s="21">
        <v>0</v>
      </c>
      <c r="X762" s="56" t="str">
        <f>IFERROR(VLOOKUP(A762,Output!A:F,6,0),"-")</f>
        <v>-</v>
      </c>
    </row>
    <row r="763" spans="1:24" hidden="1" x14ac:dyDescent="0.25">
      <c r="A763" s="21" t="s">
        <v>2065</v>
      </c>
      <c r="B763" s="40" t="s">
        <v>4291</v>
      </c>
      <c r="C763" s="21" t="s">
        <v>257</v>
      </c>
      <c r="D763" s="21" t="s">
        <v>74</v>
      </c>
      <c r="E763" s="21" t="s">
        <v>88</v>
      </c>
      <c r="F763" s="55">
        <v>2.3150828476526064E-4</v>
      </c>
      <c r="G763" s="24">
        <v>3.2560899999999999</v>
      </c>
      <c r="H763" s="24">
        <v>4.0906200000000004</v>
      </c>
      <c r="I763" s="24">
        <v>4.7741699999999998</v>
      </c>
      <c r="J763" s="24">
        <v>4.0402930000000001</v>
      </c>
      <c r="K763" s="24">
        <v>3.183516</v>
      </c>
      <c r="L763" s="24">
        <v>13.9422</v>
      </c>
      <c r="M763" s="24">
        <v>3950.8220000000001</v>
      </c>
      <c r="N763" s="24">
        <v>6.3604948148148157</v>
      </c>
      <c r="O763" s="24">
        <v>8.7755102040816304</v>
      </c>
      <c r="P763" s="24">
        <v>3.9726027397260273</v>
      </c>
      <c r="Q763" s="24">
        <v>9.2662508179546812</v>
      </c>
      <c r="R763" s="24">
        <v>5.94</v>
      </c>
      <c r="S763" s="24">
        <v>6.8953589221009119</v>
      </c>
      <c r="T763" s="24">
        <v>0.44665994530380115</v>
      </c>
      <c r="U763" s="24" t="s">
        <v>3700</v>
      </c>
      <c r="V763">
        <v>0</v>
      </c>
      <c r="W763" s="21">
        <v>1</v>
      </c>
      <c r="X763" s="56" t="str">
        <f>IFERROR(VLOOKUP(A763,Output!A:F,6,0),"-")</f>
        <v>-</v>
      </c>
    </row>
    <row r="764" spans="1:24" x14ac:dyDescent="0.25">
      <c r="A764" s="21" t="s">
        <v>1869</v>
      </c>
      <c r="B764" s="40" t="s">
        <v>1870</v>
      </c>
      <c r="C764" s="21" t="s">
        <v>248</v>
      </c>
      <c r="D764" s="21" t="s">
        <v>75</v>
      </c>
      <c r="E764" s="21" t="s">
        <v>95</v>
      </c>
      <c r="F764" s="55">
        <v>2.3143282934871213E-4</v>
      </c>
      <c r="G764" s="24">
        <v>4.8500240000000003</v>
      </c>
      <c r="H764" s="24">
        <v>6.5636590000000004</v>
      </c>
      <c r="I764" s="24">
        <v>5.3321199999999997</v>
      </c>
      <c r="J764" s="24">
        <v>5.3373799999999996</v>
      </c>
      <c r="K764" s="24">
        <v>3.3563679999999998</v>
      </c>
      <c r="L764" s="24">
        <v>13.77657</v>
      </c>
      <c r="M764" s="24">
        <v>700.51509999999996</v>
      </c>
      <c r="N764" s="24">
        <v>7.8497962962962955</v>
      </c>
      <c r="O764" s="24">
        <v>0</v>
      </c>
      <c r="P764" s="24">
        <v>10</v>
      </c>
      <c r="Q764" s="24">
        <v>6.2017567207878654</v>
      </c>
      <c r="R764" s="24">
        <v>4.16</v>
      </c>
      <c r="S764" s="24">
        <v>7.1506976698180287</v>
      </c>
      <c r="T764" s="24">
        <v>0.17243652150313918</v>
      </c>
      <c r="U764" s="24" t="s">
        <v>3587</v>
      </c>
      <c r="V764">
        <v>0</v>
      </c>
      <c r="W764" s="21">
        <v>0</v>
      </c>
      <c r="X764" s="56">
        <f>IFERROR(VLOOKUP(A764,Output!A:F,6,0),"-")</f>
        <v>5.0000000000000001E-3</v>
      </c>
    </row>
    <row r="765" spans="1:24" hidden="1" x14ac:dyDescent="0.25">
      <c r="A765" s="21" t="s">
        <v>4418</v>
      </c>
      <c r="B765" s="40" t="s">
        <v>4434</v>
      </c>
      <c r="C765" s="21" t="s">
        <v>244</v>
      </c>
      <c r="D765" s="21" t="s">
        <v>73</v>
      </c>
      <c r="E765" s="21" t="s">
        <v>99</v>
      </c>
      <c r="F765" s="55">
        <v>2.3042474498362404E-4</v>
      </c>
      <c r="G765" s="24">
        <v>3.300332</v>
      </c>
      <c r="H765" s="24">
        <v>4.6041809999999996</v>
      </c>
      <c r="I765" s="24">
        <v>5.7157179999999999</v>
      </c>
      <c r="J765" s="24">
        <v>4.5400770000000001</v>
      </c>
      <c r="K765" s="24">
        <v>0</v>
      </c>
      <c r="L765" s="24">
        <v>1.7966230000000001</v>
      </c>
      <c r="M765" s="24">
        <v>8.0554000000000006</v>
      </c>
      <c r="N765" s="24">
        <v>6.635754272750928</v>
      </c>
      <c r="O765" s="24">
        <v>9.2708333333333321</v>
      </c>
      <c r="P765" s="24">
        <v>10</v>
      </c>
      <c r="Q765" s="24">
        <v>0</v>
      </c>
      <c r="R765" s="24" t="e">
        <v>#N/A</v>
      </c>
      <c r="S765" s="24">
        <v>4.7432948678355684</v>
      </c>
      <c r="T765" s="24">
        <v>0.76680528850567753</v>
      </c>
      <c r="U765" s="24" t="s">
        <v>4435</v>
      </c>
      <c r="V765">
        <v>0</v>
      </c>
      <c r="W765" s="21">
        <v>1</v>
      </c>
      <c r="X765" s="56" t="str">
        <f>IFERROR(VLOOKUP(A765,Output!A:F,6,0),"-")</f>
        <v>-</v>
      </c>
    </row>
    <row r="766" spans="1:24" hidden="1" x14ac:dyDescent="0.25">
      <c r="A766" s="21" t="s">
        <v>1969</v>
      </c>
      <c r="B766" s="40" t="s">
        <v>1970</v>
      </c>
      <c r="C766" s="21" t="s">
        <v>247</v>
      </c>
      <c r="D766" s="21" t="s">
        <v>74</v>
      </c>
      <c r="E766" s="21" t="s">
        <v>94</v>
      </c>
      <c r="F766" s="55">
        <v>2.3034757924430042E-4</v>
      </c>
      <c r="G766" s="24">
        <v>8.2187870000000007</v>
      </c>
      <c r="H766" s="24">
        <v>5.361999</v>
      </c>
      <c r="I766" s="24">
        <v>6.5509130000000004</v>
      </c>
      <c r="J766" s="24">
        <v>6.4089229999999997</v>
      </c>
      <c r="K766" s="24">
        <v>2.4073760000000002</v>
      </c>
      <c r="L766" s="24">
        <v>6.3804239999999997</v>
      </c>
      <c r="M766" s="24">
        <v>3.5059999999999998</v>
      </c>
      <c r="N766" s="24">
        <v>5.9087817068056259</v>
      </c>
      <c r="O766" s="24">
        <v>8.5858585858585847</v>
      </c>
      <c r="P766" s="24">
        <v>4.2433234421364983</v>
      </c>
      <c r="Q766" s="24">
        <v>4.1091527825730392</v>
      </c>
      <c r="R766" s="24">
        <v>5.05</v>
      </c>
      <c r="S766" s="24">
        <v>5.2216332233182863</v>
      </c>
      <c r="T766" s="24">
        <v>0.53188684755361892</v>
      </c>
      <c r="U766" s="24" t="s">
        <v>3676</v>
      </c>
      <c r="V766">
        <v>0</v>
      </c>
      <c r="W766" s="21">
        <v>0</v>
      </c>
      <c r="X766" s="56" t="str">
        <f>IFERROR(VLOOKUP(A766,Output!A:F,6,0),"-")</f>
        <v>-</v>
      </c>
    </row>
    <row r="767" spans="1:24" hidden="1" x14ac:dyDescent="0.25">
      <c r="A767" s="21" t="s">
        <v>769</v>
      </c>
      <c r="B767" s="40" t="s">
        <v>770</v>
      </c>
      <c r="C767" s="21" t="s">
        <v>669</v>
      </c>
      <c r="D767" s="21" t="s">
        <v>74</v>
      </c>
      <c r="E767" s="21" t="s">
        <v>85</v>
      </c>
      <c r="F767" s="55">
        <v>2.3026246553443371E-4</v>
      </c>
      <c r="G767" s="21">
        <v>5.4913169999999996</v>
      </c>
      <c r="H767" s="21">
        <v>6.4416900000000004</v>
      </c>
      <c r="I767" s="21">
        <v>5.8150389999999996</v>
      </c>
      <c r="J767" s="21">
        <v>5.9372499999999997</v>
      </c>
      <c r="K767" s="24">
        <v>6.840973</v>
      </c>
      <c r="L767" s="24">
        <v>16.9693</v>
      </c>
      <c r="M767" s="24">
        <v>9.5446000000000009</v>
      </c>
      <c r="N767" s="24">
        <v>5.8703984567268321</v>
      </c>
      <c r="O767" s="24">
        <v>5.5555555555555554</v>
      </c>
      <c r="P767" s="24">
        <v>6.1578947368421044</v>
      </c>
      <c r="Q767" s="24">
        <v>7.7012127894156555</v>
      </c>
      <c r="R767" s="24">
        <v>6.11</v>
      </c>
      <c r="S767" s="24">
        <v>6.7089241024363409</v>
      </c>
      <c r="T767" s="24">
        <v>0.36803927578385975</v>
      </c>
      <c r="U767" s="24" t="s">
        <v>3738</v>
      </c>
      <c r="V767">
        <v>0</v>
      </c>
      <c r="W767" s="21">
        <v>0</v>
      </c>
      <c r="X767" s="56" t="str">
        <f>IFERROR(VLOOKUP(A767,Output!A:F,6,0),"-")</f>
        <v>-</v>
      </c>
    </row>
    <row r="768" spans="1:24" hidden="1" x14ac:dyDescent="0.25">
      <c r="A768" s="21" t="s">
        <v>609</v>
      </c>
      <c r="B768" s="40" t="s">
        <v>892</v>
      </c>
      <c r="C768" s="21" t="s">
        <v>244</v>
      </c>
      <c r="D768" s="21" t="s">
        <v>73</v>
      </c>
      <c r="E768" s="21" t="s">
        <v>87</v>
      </c>
      <c r="F768" s="55">
        <v>2.3012966400130832E-4</v>
      </c>
      <c r="G768" s="24">
        <v>5.4353290000000003</v>
      </c>
      <c r="H768" s="24">
        <v>2.5494340000000002</v>
      </c>
      <c r="I768" s="24">
        <v>3.393796</v>
      </c>
      <c r="J768" s="24">
        <v>3.792853</v>
      </c>
      <c r="K768" s="24">
        <v>1.604152</v>
      </c>
      <c r="L768" s="24">
        <v>6.1509470000000004</v>
      </c>
      <c r="M768" s="24">
        <v>37.616</v>
      </c>
      <c r="N768" s="24">
        <v>8.2283062101397828</v>
      </c>
      <c r="O768" s="24">
        <v>6.5979381443298966</v>
      </c>
      <c r="P768" s="24">
        <v>8.1111111111111107</v>
      </c>
      <c r="Q768" s="24">
        <v>3.0450714877611014</v>
      </c>
      <c r="R768" s="24">
        <v>7.84</v>
      </c>
      <c r="S768" s="24">
        <v>6.5909311099016215</v>
      </c>
      <c r="T768" s="24">
        <v>1.0386675050014738</v>
      </c>
      <c r="U768" s="24" t="s">
        <v>2989</v>
      </c>
      <c r="V768">
        <v>0</v>
      </c>
      <c r="W768" s="21">
        <v>1</v>
      </c>
      <c r="X768" s="56" t="str">
        <f>IFERROR(VLOOKUP(A768,Output!A:F,6,0),"-")</f>
        <v>-</v>
      </c>
    </row>
    <row r="769" spans="1:24" hidden="1" x14ac:dyDescent="0.25">
      <c r="A769" s="21" t="s">
        <v>2194</v>
      </c>
      <c r="B769" s="40" t="s">
        <v>2195</v>
      </c>
      <c r="C769" s="21" t="s">
        <v>252</v>
      </c>
      <c r="D769" s="21" t="s">
        <v>74</v>
      </c>
      <c r="E769" s="21" t="s">
        <v>91</v>
      </c>
      <c r="F769" s="55">
        <v>2.2989514856667554E-4</v>
      </c>
      <c r="G769" s="21">
        <v>5.4716189999999996</v>
      </c>
      <c r="H769" s="21">
        <v>5.7243430000000002</v>
      </c>
      <c r="I769" s="21">
        <v>4.5753899999999996</v>
      </c>
      <c r="J769" s="21">
        <v>5.2142169999999997</v>
      </c>
      <c r="K769" s="24">
        <v>1.227441</v>
      </c>
      <c r="L769" s="24">
        <v>5.5381479999999996</v>
      </c>
      <c r="M769" s="24">
        <v>7.9893000000000001</v>
      </c>
      <c r="N769" s="24">
        <v>1.7246866894197952</v>
      </c>
      <c r="O769" s="24">
        <v>9.3814432989690708</v>
      </c>
      <c r="P769" s="24">
        <v>2.5641025641025643</v>
      </c>
      <c r="Q769" s="24">
        <v>4.0086181031160137</v>
      </c>
      <c r="R769" s="24">
        <v>4.7699999999999996</v>
      </c>
      <c r="S769" s="24">
        <v>3.3059649012818193</v>
      </c>
      <c r="T769" s="24">
        <v>0.37701265506677306</v>
      </c>
      <c r="U769" s="24" t="s">
        <v>3768</v>
      </c>
      <c r="V769">
        <v>0</v>
      </c>
      <c r="W769" s="21">
        <v>0</v>
      </c>
      <c r="X769" s="56" t="str">
        <f>IFERROR(VLOOKUP(A769,Output!A:F,6,0),"-")</f>
        <v>-</v>
      </c>
    </row>
    <row r="770" spans="1:24" x14ac:dyDescent="0.25">
      <c r="A770" s="21" t="s">
        <v>2045</v>
      </c>
      <c r="B770" s="40" t="s">
        <v>2046</v>
      </c>
      <c r="C770" s="21" t="s">
        <v>248</v>
      </c>
      <c r="D770" s="21" t="s">
        <v>75</v>
      </c>
      <c r="E770" s="21" t="s">
        <v>98</v>
      </c>
      <c r="F770" s="55">
        <v>2.2901533840971987E-4</v>
      </c>
      <c r="G770" s="21">
        <v>3.586579</v>
      </c>
      <c r="H770" s="21">
        <v>6.3661329999999996</v>
      </c>
      <c r="I770" s="21">
        <v>4.1880810000000004</v>
      </c>
      <c r="J770" s="21">
        <v>4.9390020000000003</v>
      </c>
      <c r="K770" s="24">
        <v>1.0416669999999999</v>
      </c>
      <c r="L770" s="24">
        <v>1.523064</v>
      </c>
      <c r="M770" s="24">
        <v>51.280500000000004</v>
      </c>
      <c r="N770" s="24">
        <v>1.5483119906868454</v>
      </c>
      <c r="O770" s="24">
        <v>10</v>
      </c>
      <c r="P770" s="24">
        <v>0</v>
      </c>
      <c r="Q770" s="24">
        <v>3.0742049831516756</v>
      </c>
      <c r="R770" s="24">
        <v>2.8</v>
      </c>
      <c r="S770" s="24">
        <v>2.2570608589253833</v>
      </c>
      <c r="T770" s="24">
        <v>7.1078634101554947E-2</v>
      </c>
      <c r="U770" s="24" t="s">
        <v>3687</v>
      </c>
      <c r="V770">
        <v>0</v>
      </c>
      <c r="W770" s="21">
        <v>0</v>
      </c>
      <c r="X770" s="56" t="str">
        <f>IFERROR(VLOOKUP(A770,Output!A:F,6,0),"-")</f>
        <v>-</v>
      </c>
    </row>
    <row r="771" spans="1:24" hidden="1" x14ac:dyDescent="0.25">
      <c r="A771" s="21" t="s">
        <v>4534</v>
      </c>
      <c r="B771" s="40" t="s">
        <v>4535</v>
      </c>
      <c r="C771" s="21" t="s">
        <v>244</v>
      </c>
      <c r="D771" s="21" t="s">
        <v>73</v>
      </c>
      <c r="E771" s="21" t="s">
        <v>90</v>
      </c>
      <c r="F771" s="55">
        <v>2.2884792799220428E-4</v>
      </c>
      <c r="G771" s="24">
        <v>6.2408489999999999</v>
      </c>
      <c r="H771" s="24">
        <v>4.5000470000000004</v>
      </c>
      <c r="I771" s="24">
        <v>5.4316779999999998</v>
      </c>
      <c r="J771" s="24">
        <v>5.4758570000000004</v>
      </c>
      <c r="K771" s="24">
        <v>2.4548190000000001</v>
      </c>
      <c r="L771" s="24">
        <v>9.5970560000000003</v>
      </c>
      <c r="M771" s="24">
        <v>44.624600000000001</v>
      </c>
      <c r="N771" s="24">
        <v>4.268204758471521</v>
      </c>
      <c r="O771" s="24">
        <v>1.2371134020618555</v>
      </c>
      <c r="P771" s="24">
        <v>5.5601659751037342</v>
      </c>
      <c r="Q771" s="24">
        <v>10</v>
      </c>
      <c r="R771" s="24">
        <v>3.12</v>
      </c>
      <c r="S771" s="24">
        <v>6.3376942518207811</v>
      </c>
      <c r="T771" s="24">
        <v>0.60337690236700081</v>
      </c>
      <c r="U771" s="24" t="s">
        <v>2796</v>
      </c>
      <c r="V771">
        <v>0</v>
      </c>
      <c r="W771" s="21">
        <v>0</v>
      </c>
      <c r="X771" s="56">
        <f>IFERROR(VLOOKUP(A771,Output!A:F,6,0),"-")</f>
        <v>7.4999999999999997E-3</v>
      </c>
    </row>
    <row r="772" spans="1:24" hidden="1" x14ac:dyDescent="0.25">
      <c r="A772" s="21" t="s">
        <v>572</v>
      </c>
      <c r="B772" s="40" t="s">
        <v>816</v>
      </c>
      <c r="C772" s="21" t="s">
        <v>244</v>
      </c>
      <c r="D772" s="21" t="s">
        <v>73</v>
      </c>
      <c r="E772" s="21" t="s">
        <v>97</v>
      </c>
      <c r="F772" s="55">
        <v>2.2829559434306917E-4</v>
      </c>
      <c r="G772" s="24">
        <v>6.5009550000000003</v>
      </c>
      <c r="H772" s="24">
        <v>5.0246380000000004</v>
      </c>
      <c r="I772" s="24">
        <v>6.5835660000000003</v>
      </c>
      <c r="J772" s="24">
        <v>6.2387360000000003</v>
      </c>
      <c r="K772" s="24">
        <v>4.0711459999999997</v>
      </c>
      <c r="L772" s="24">
        <v>2.206658</v>
      </c>
      <c r="M772" s="24">
        <v>38.368600000000001</v>
      </c>
      <c r="N772" s="24">
        <v>0.12651153027862522</v>
      </c>
      <c r="O772" s="24">
        <v>3.4020618556701026</v>
      </c>
      <c r="P772" s="24">
        <v>6.0454545454545467</v>
      </c>
      <c r="Q772" s="24">
        <v>2.8473100154516082</v>
      </c>
      <c r="R772" s="24">
        <v>5.83</v>
      </c>
      <c r="S772" s="24">
        <v>3.9790129845131545</v>
      </c>
      <c r="T772" s="24">
        <v>0.79881928369283506</v>
      </c>
      <c r="U772" s="24" t="s">
        <v>3071</v>
      </c>
      <c r="V772">
        <v>0</v>
      </c>
      <c r="W772" s="21">
        <v>0</v>
      </c>
      <c r="X772" s="56" t="str">
        <f>IFERROR(VLOOKUP(A772,Output!A:F,6,0),"-")</f>
        <v>-</v>
      </c>
    </row>
    <row r="773" spans="1:24" hidden="1" x14ac:dyDescent="0.25">
      <c r="A773" s="21" t="s">
        <v>639</v>
      </c>
      <c r="B773" s="40" t="s">
        <v>957</v>
      </c>
      <c r="C773" s="21" t="s">
        <v>244</v>
      </c>
      <c r="D773" s="21" t="s">
        <v>73</v>
      </c>
      <c r="E773" s="21" t="s">
        <v>99</v>
      </c>
      <c r="F773" s="55">
        <v>2.2803482042347751E-4</v>
      </c>
      <c r="G773" s="21">
        <v>3.2864520000000002</v>
      </c>
      <c r="H773" s="21">
        <v>4.8165829999999996</v>
      </c>
      <c r="I773" s="21">
        <v>5.1284090000000004</v>
      </c>
      <c r="J773" s="21">
        <v>4.2980780000000003</v>
      </c>
      <c r="K773" s="24">
        <v>1.438374</v>
      </c>
      <c r="L773" s="24">
        <v>8.5334749999999993</v>
      </c>
      <c r="M773" s="24">
        <v>30.223500000000001</v>
      </c>
      <c r="N773" s="24">
        <v>4.1673247172316259</v>
      </c>
      <c r="O773" s="24">
        <v>2.083333333333333</v>
      </c>
      <c r="P773" s="24">
        <v>3.4626865671641789</v>
      </c>
      <c r="Q773" s="24">
        <v>8.7543991086874655</v>
      </c>
      <c r="R773" s="24">
        <v>6.71</v>
      </c>
      <c r="S773" s="24">
        <v>6.7151138310419043</v>
      </c>
      <c r="T773" s="24">
        <v>1.0628162914306143</v>
      </c>
      <c r="U773" s="24" t="s">
        <v>3084</v>
      </c>
      <c r="V773">
        <v>0</v>
      </c>
      <c r="W773" s="21">
        <v>1</v>
      </c>
      <c r="X773" s="56" t="str">
        <f>IFERROR(VLOOKUP(A773,Output!A:F,6,0),"-")</f>
        <v>-</v>
      </c>
    </row>
    <row r="774" spans="1:24" x14ac:dyDescent="0.25">
      <c r="A774" s="21" t="s">
        <v>2459</v>
      </c>
      <c r="B774" s="40" t="s">
        <v>2460</v>
      </c>
      <c r="C774" s="21" t="s">
        <v>255</v>
      </c>
      <c r="D774" s="21" t="s">
        <v>75</v>
      </c>
      <c r="E774" s="21" t="s">
        <v>100</v>
      </c>
      <c r="F774" s="55">
        <v>2.2777726593499193E-4</v>
      </c>
      <c r="G774" s="21">
        <v>6.2964589999999996</v>
      </c>
      <c r="H774" s="21">
        <v>6.4500200000000003</v>
      </c>
      <c r="I774" s="21">
        <v>5.7496939999999999</v>
      </c>
      <c r="J774" s="21">
        <v>6.1653909999999996</v>
      </c>
      <c r="K774" s="21">
        <v>4.8768849999999997</v>
      </c>
      <c r="L774" s="21">
        <v>5.8118540000000003</v>
      </c>
      <c r="M774" s="21">
        <v>53.340699999999998</v>
      </c>
      <c r="N774" s="21">
        <v>7.0978809034907595</v>
      </c>
      <c r="O774" s="21">
        <v>0.4545454545454542</v>
      </c>
      <c r="P774" s="21">
        <v>3.5384615384615383</v>
      </c>
      <c r="Q774" s="21">
        <v>1.1927005164197713</v>
      </c>
      <c r="R774" s="21">
        <v>5.62</v>
      </c>
      <c r="S774" s="21">
        <v>4.5115184617278885</v>
      </c>
      <c r="T774" s="21">
        <v>0.44878815281568563</v>
      </c>
      <c r="U774" s="21" t="s">
        <v>3925</v>
      </c>
      <c r="V774">
        <v>0</v>
      </c>
      <c r="W774" s="21">
        <v>0</v>
      </c>
      <c r="X774" s="56" t="str">
        <f>IFERROR(VLOOKUP(A774,Output!A:F,6,0),"-")</f>
        <v>-</v>
      </c>
    </row>
    <row r="775" spans="1:24" hidden="1" x14ac:dyDescent="0.25">
      <c r="A775" s="21" t="s">
        <v>554</v>
      </c>
      <c r="B775" s="40" t="s">
        <v>899</v>
      </c>
      <c r="C775" s="21" t="s">
        <v>244</v>
      </c>
      <c r="D775" s="21" t="s">
        <v>73</v>
      </c>
      <c r="E775" s="21" t="s">
        <v>97</v>
      </c>
      <c r="F775" s="55">
        <v>2.2769748440789464E-4</v>
      </c>
      <c r="G775" s="24">
        <v>6.1279409999999999</v>
      </c>
      <c r="H775" s="24">
        <v>7.4081099999999998</v>
      </c>
      <c r="I775" s="24">
        <v>6.1881009999999996</v>
      </c>
      <c r="J775" s="24">
        <v>6.4080389999999996</v>
      </c>
      <c r="K775" s="24">
        <v>4.2398550000000004</v>
      </c>
      <c r="L775" s="24">
        <v>5.1817589999999996</v>
      </c>
      <c r="M775" s="24">
        <v>100.0239</v>
      </c>
      <c r="N775" s="24">
        <v>2.9345440702072496</v>
      </c>
      <c r="O775" s="24">
        <v>8.4536082474226806</v>
      </c>
      <c r="P775" s="24">
        <v>7.7272727272727284</v>
      </c>
      <c r="Q775" s="24">
        <v>10</v>
      </c>
      <c r="R775" s="24">
        <v>5.18</v>
      </c>
      <c r="S775" s="24">
        <v>7.3110482572766111</v>
      </c>
      <c r="T775" s="24">
        <v>1.1893542948950675</v>
      </c>
      <c r="U775" s="24" t="s">
        <v>3004</v>
      </c>
      <c r="V775">
        <v>0</v>
      </c>
      <c r="W775" s="21">
        <v>0</v>
      </c>
      <c r="X775" s="56">
        <f>IFERROR(VLOOKUP(A775,Output!A:F,6,0),"-")</f>
        <v>7.499999999999854E-3</v>
      </c>
    </row>
    <row r="776" spans="1:24" hidden="1" x14ac:dyDescent="0.25">
      <c r="A776" s="21" t="s">
        <v>555</v>
      </c>
      <c r="B776" s="40" t="s">
        <v>910</v>
      </c>
      <c r="C776" s="21" t="s">
        <v>244</v>
      </c>
      <c r="D776" s="21" t="s">
        <v>73</v>
      </c>
      <c r="E776" s="21" t="s">
        <v>92</v>
      </c>
      <c r="F776" s="55">
        <v>2.2747504183990959E-4</v>
      </c>
      <c r="G776" s="24">
        <v>5.5882630000000004</v>
      </c>
      <c r="H776" s="24">
        <v>6.5814149999999998</v>
      </c>
      <c r="I776" s="24">
        <v>6.6152150000000001</v>
      </c>
      <c r="J776" s="24">
        <v>6.1942940000000002</v>
      </c>
      <c r="K776" s="24">
        <v>0.57011909999999999</v>
      </c>
      <c r="L776" s="24">
        <v>5.5930410000000004</v>
      </c>
      <c r="M776" s="24">
        <v>6.9813999999999998</v>
      </c>
      <c r="N776" s="24">
        <v>2.8906250000000004</v>
      </c>
      <c r="O776" s="24">
        <v>7.8787878787878789</v>
      </c>
      <c r="P776" s="24">
        <v>2.1524202177037273</v>
      </c>
      <c r="Q776" s="24">
        <v>4.1443238651446777</v>
      </c>
      <c r="R776" s="24">
        <v>3.01</v>
      </c>
      <c r="S776" s="24">
        <v>3.1238843303373702</v>
      </c>
      <c r="T776" s="24">
        <v>1.480005256491211</v>
      </c>
      <c r="U776" s="24" t="s">
        <v>3053</v>
      </c>
      <c r="V776">
        <v>0</v>
      </c>
      <c r="W776" s="21">
        <v>0</v>
      </c>
      <c r="X776" s="56" t="str">
        <f>IFERROR(VLOOKUP(A776,Output!A:F,6,0),"-")</f>
        <v>-</v>
      </c>
    </row>
    <row r="777" spans="1:24" hidden="1" x14ac:dyDescent="0.25">
      <c r="A777" s="21" t="s">
        <v>1038</v>
      </c>
      <c r="B777" s="40" t="s">
        <v>1039</v>
      </c>
      <c r="C777" s="21" t="s">
        <v>244</v>
      </c>
      <c r="D777" s="21" t="s">
        <v>73</v>
      </c>
      <c r="E777" s="21" t="s">
        <v>99</v>
      </c>
      <c r="F777" s="55">
        <v>2.2720883513032645E-4</v>
      </c>
      <c r="G777" s="21">
        <v>6.331137</v>
      </c>
      <c r="H777" s="21">
        <v>4.7784259999999996</v>
      </c>
      <c r="I777" s="21">
        <v>4.0322760000000004</v>
      </c>
      <c r="J777" s="21">
        <v>5.0472799999999998</v>
      </c>
      <c r="K777" s="24">
        <v>0</v>
      </c>
      <c r="L777" s="24">
        <v>3.5361340000000001</v>
      </c>
      <c r="M777" s="24">
        <v>2.9091999999999998</v>
      </c>
      <c r="N777" s="24">
        <v>3.4648783318767418</v>
      </c>
      <c r="O777" s="24">
        <v>1.4583333333333335</v>
      </c>
      <c r="P777" s="24">
        <v>7.4029850746268657</v>
      </c>
      <c r="Q777" s="24">
        <v>5.9743459986655054</v>
      </c>
      <c r="R777" s="24" t="e">
        <v>#N/A</v>
      </c>
      <c r="S777" s="24">
        <v>4.8399302234720487</v>
      </c>
      <c r="T777" s="24">
        <v>1.3716252280846792</v>
      </c>
      <c r="U777" s="24" t="s">
        <v>3120</v>
      </c>
      <c r="V777">
        <v>0</v>
      </c>
      <c r="W777" s="21">
        <v>0</v>
      </c>
      <c r="X777" s="56" t="str">
        <f>IFERROR(VLOOKUP(A777,Output!A:F,6,0),"-")</f>
        <v>-</v>
      </c>
    </row>
    <row r="778" spans="1:24" hidden="1" x14ac:dyDescent="0.25">
      <c r="A778" s="21" t="s">
        <v>273</v>
      </c>
      <c r="B778" s="40" t="s">
        <v>980</v>
      </c>
      <c r="C778" s="21" t="s">
        <v>245</v>
      </c>
      <c r="D778" s="21" t="s">
        <v>73</v>
      </c>
      <c r="E778" s="21" t="s">
        <v>103</v>
      </c>
      <c r="F778" s="55">
        <v>2.2703931196114749E-4</v>
      </c>
      <c r="G778" s="24">
        <v>4.3423569999999998</v>
      </c>
      <c r="H778" s="24">
        <v>4.2631750000000004</v>
      </c>
      <c r="I778" s="24">
        <v>5.7780209999999999</v>
      </c>
      <c r="J778" s="24">
        <v>4.7493020000000001</v>
      </c>
      <c r="K778" s="24">
        <v>3.5435669999999999</v>
      </c>
      <c r="L778" s="24">
        <v>10.554320000000001</v>
      </c>
      <c r="M778" s="53">
        <v>49.052100000000003</v>
      </c>
      <c r="N778" s="24">
        <v>3.1102201199696156</v>
      </c>
      <c r="O778" s="24">
        <v>0.61224489795918358</v>
      </c>
      <c r="P778" s="24">
        <v>4.9181905482894726</v>
      </c>
      <c r="Q778" s="24">
        <v>8.8230250091365061</v>
      </c>
      <c r="R778" s="24">
        <v>7.4</v>
      </c>
      <c r="S778" s="24">
        <v>6.6500358915641851</v>
      </c>
      <c r="T778" s="24">
        <v>1.1902123306046455</v>
      </c>
      <c r="U778" s="24" t="s">
        <v>3077</v>
      </c>
      <c r="V778">
        <v>0</v>
      </c>
      <c r="W778" s="21">
        <v>0</v>
      </c>
      <c r="X778" s="56" t="str">
        <f>IFERROR(VLOOKUP(A778,Output!A:F,6,0),"-")</f>
        <v>-</v>
      </c>
    </row>
    <row r="779" spans="1:24" hidden="1" x14ac:dyDescent="0.25">
      <c r="A779" s="21" t="s">
        <v>1943</v>
      </c>
      <c r="B779" s="40" t="s">
        <v>1944</v>
      </c>
      <c r="C779" s="21" t="s">
        <v>247</v>
      </c>
      <c r="D779" s="21" t="s">
        <v>74</v>
      </c>
      <c r="E779" s="21" t="s">
        <v>97</v>
      </c>
      <c r="F779" s="55">
        <v>2.2674956316160117E-4</v>
      </c>
      <c r="G779" s="24">
        <v>6.9490069999999999</v>
      </c>
      <c r="H779" s="24">
        <v>5.8757029999999997</v>
      </c>
      <c r="I779" s="24">
        <v>6.5441560000000001</v>
      </c>
      <c r="J779" s="24">
        <v>6.5724049999999998</v>
      </c>
      <c r="K779" s="24">
        <v>3.3957069999999998</v>
      </c>
      <c r="L779" s="24">
        <v>3.9706190000000001</v>
      </c>
      <c r="M779" s="53">
        <v>6.3638000000000003</v>
      </c>
      <c r="N779" s="24">
        <v>7.657495984738814</v>
      </c>
      <c r="O779" s="24">
        <v>2.9629629629629628</v>
      </c>
      <c r="P779" s="24">
        <v>4.227642276422765</v>
      </c>
      <c r="Q779" s="24">
        <v>2.4526648633108832</v>
      </c>
      <c r="R779" s="24">
        <v>4.66</v>
      </c>
      <c r="S779" s="24">
        <v>4.2569845794566445</v>
      </c>
      <c r="T779" s="24">
        <v>0.50503170745869319</v>
      </c>
      <c r="U779" s="24" t="s">
        <v>3659</v>
      </c>
      <c r="V779">
        <v>0</v>
      </c>
      <c r="W779" s="21">
        <v>0</v>
      </c>
      <c r="X779" s="56" t="str">
        <f>IFERROR(VLOOKUP(A779,Output!A:F,6,0),"-")</f>
        <v>-</v>
      </c>
    </row>
    <row r="780" spans="1:24" hidden="1" x14ac:dyDescent="0.25">
      <c r="A780" s="21" t="s">
        <v>602</v>
      </c>
      <c r="B780" s="40" t="s">
        <v>929</v>
      </c>
      <c r="C780" s="21" t="s">
        <v>244</v>
      </c>
      <c r="D780" s="21" t="s">
        <v>73</v>
      </c>
      <c r="E780" s="21" t="s">
        <v>98</v>
      </c>
      <c r="F780" s="55">
        <v>2.2663778853788732E-4</v>
      </c>
      <c r="G780" s="21">
        <v>6.2404999999999999</v>
      </c>
      <c r="H780" s="21">
        <v>5.2689190000000004</v>
      </c>
      <c r="I780" s="21">
        <v>6.9257809999999997</v>
      </c>
      <c r="J780" s="21">
        <v>6.1259800000000002</v>
      </c>
      <c r="K780" s="24">
        <v>0</v>
      </c>
      <c r="L780" s="24">
        <v>3.774794</v>
      </c>
      <c r="M780" s="24">
        <v>44.075600000000001</v>
      </c>
      <c r="N780" s="24">
        <v>5.5933286475217301</v>
      </c>
      <c r="O780" s="24">
        <v>6.8367346938775508</v>
      </c>
      <c r="P780" s="24">
        <v>6.3618864152526911</v>
      </c>
      <c r="Q780" s="24">
        <v>2.6240008223366469</v>
      </c>
      <c r="R780" s="24" t="e">
        <v>#N/A</v>
      </c>
      <c r="S780" s="24">
        <v>3.9610400076193089</v>
      </c>
      <c r="T780" s="24">
        <v>1.5322639894403622</v>
      </c>
      <c r="U780" s="24" t="s">
        <v>3020</v>
      </c>
      <c r="V780">
        <v>0</v>
      </c>
      <c r="W780" s="21">
        <v>0</v>
      </c>
      <c r="X780" s="56" t="str">
        <f>IFERROR(VLOOKUP(A780,Output!A:F,6,0),"-")</f>
        <v>-</v>
      </c>
    </row>
    <row r="781" spans="1:24" hidden="1" x14ac:dyDescent="0.25">
      <c r="A781" s="21" t="s">
        <v>279</v>
      </c>
      <c r="B781" s="40" t="s">
        <v>1013</v>
      </c>
      <c r="C781" s="21" t="s">
        <v>245</v>
      </c>
      <c r="D781" s="21" t="s">
        <v>73</v>
      </c>
      <c r="E781" s="21" t="s">
        <v>93</v>
      </c>
      <c r="F781" s="55">
        <v>2.2598977742056871E-4</v>
      </c>
      <c r="G781" s="24">
        <v>5.2187260000000002</v>
      </c>
      <c r="H781" s="24">
        <v>5.0866790000000002</v>
      </c>
      <c r="I781" s="24">
        <v>5.4198310000000003</v>
      </c>
      <c r="J781" s="24">
        <v>5.2428970000000001</v>
      </c>
      <c r="K781" s="24">
        <v>5.9701490000000002</v>
      </c>
      <c r="L781" s="24">
        <v>11.73921</v>
      </c>
      <c r="M781" s="24">
        <v>0.51341999999999999</v>
      </c>
      <c r="N781" s="24">
        <v>0.89084114583333329</v>
      </c>
      <c r="O781" s="24">
        <v>4.948453608247422</v>
      </c>
      <c r="P781" s="24">
        <v>2.2279792746113998</v>
      </c>
      <c r="Q781" s="24">
        <v>8.946762066665281</v>
      </c>
      <c r="R781" s="24">
        <v>7.59</v>
      </c>
      <c r="S781" s="24">
        <v>5.7212393547837079</v>
      </c>
      <c r="T781" s="24">
        <v>0.66661340794041235</v>
      </c>
      <c r="U781" s="24" t="s">
        <v>3156</v>
      </c>
      <c r="V781">
        <v>0</v>
      </c>
      <c r="W781" s="21">
        <v>0</v>
      </c>
      <c r="X781" s="56" t="str">
        <f>IFERROR(VLOOKUP(A781,Output!A:F,6,0),"-")</f>
        <v>-</v>
      </c>
    </row>
    <row r="782" spans="1:24" hidden="1" x14ac:dyDescent="0.25">
      <c r="A782" s="21" t="s">
        <v>550</v>
      </c>
      <c r="B782" s="40" t="s">
        <v>976</v>
      </c>
      <c r="C782" s="21" t="s">
        <v>244</v>
      </c>
      <c r="D782" s="21" t="s">
        <v>73</v>
      </c>
      <c r="E782" s="21" t="s">
        <v>103</v>
      </c>
      <c r="F782" s="55">
        <v>2.2586240867743484E-4</v>
      </c>
      <c r="G782" s="24">
        <v>3.4491849999999999</v>
      </c>
      <c r="H782" s="24">
        <v>5.9579259999999996</v>
      </c>
      <c r="I782" s="24">
        <v>4.6966130000000001</v>
      </c>
      <c r="J782" s="24">
        <v>4.9516530000000003</v>
      </c>
      <c r="K782" s="24">
        <v>2.1042200000000002</v>
      </c>
      <c r="L782" s="24">
        <v>8.7785700000000002</v>
      </c>
      <c r="M782" s="24">
        <v>21.021000000000001</v>
      </c>
      <c r="N782" s="24">
        <v>6.2943418571523404</v>
      </c>
      <c r="O782" s="24">
        <v>1.0204081632653059</v>
      </c>
      <c r="P782" s="24">
        <v>4.7160731269146225</v>
      </c>
      <c r="Q782" s="24">
        <v>7.6716369976527101</v>
      </c>
      <c r="R782" s="24" t="e">
        <v>#N/A</v>
      </c>
      <c r="S782" s="24">
        <v>6.9343777305194072</v>
      </c>
      <c r="T782" s="24">
        <v>0.93743412279598048</v>
      </c>
      <c r="U782" s="24" t="s">
        <v>3098</v>
      </c>
      <c r="V782">
        <v>0</v>
      </c>
      <c r="W782" s="21">
        <v>0</v>
      </c>
      <c r="X782" s="56" t="str">
        <f>IFERROR(VLOOKUP(A782,Output!A:F,6,0),"-")</f>
        <v>-</v>
      </c>
    </row>
    <row r="783" spans="1:24" hidden="1" x14ac:dyDescent="0.25">
      <c r="A783" s="21" t="s">
        <v>164</v>
      </c>
      <c r="B783" s="40" t="s">
        <v>231</v>
      </c>
      <c r="C783" s="21" t="s">
        <v>244</v>
      </c>
      <c r="D783" s="21" t="s">
        <v>73</v>
      </c>
      <c r="E783" s="21" t="s">
        <v>87</v>
      </c>
      <c r="F783" s="55">
        <v>2.255887570334189E-4</v>
      </c>
      <c r="G783" s="24">
        <v>4.4290729999999998</v>
      </c>
      <c r="H783" s="24">
        <v>6.3455170000000001</v>
      </c>
      <c r="I783" s="24">
        <v>4.3659030000000003</v>
      </c>
      <c r="J783" s="24">
        <v>5.0468310000000001</v>
      </c>
      <c r="K783" s="24">
        <v>1.3052760000000001</v>
      </c>
      <c r="L783" s="24">
        <v>3.1522960000000002</v>
      </c>
      <c r="M783" s="24">
        <v>325.80220000000003</v>
      </c>
      <c r="N783" s="24">
        <v>1.6038223968916523</v>
      </c>
      <c r="O783" s="24">
        <v>0</v>
      </c>
      <c r="P783" s="24">
        <v>3.2962962962962958</v>
      </c>
      <c r="Q783" s="24">
        <v>3.5398492626238776</v>
      </c>
      <c r="R783" s="24">
        <v>3</v>
      </c>
      <c r="S783" s="24">
        <v>2.2726172861325971</v>
      </c>
      <c r="T783" s="24">
        <v>1.9934815346918957</v>
      </c>
      <c r="U783" s="24" t="s">
        <v>3233</v>
      </c>
      <c r="V783">
        <v>0</v>
      </c>
      <c r="W783" s="21">
        <v>0</v>
      </c>
      <c r="X783" s="56" t="str">
        <f>IFERROR(VLOOKUP(A783,Output!A:F,6,0),"-")</f>
        <v>-</v>
      </c>
    </row>
    <row r="784" spans="1:24" hidden="1" x14ac:dyDescent="0.25">
      <c r="A784" s="21" t="s">
        <v>1882</v>
      </c>
      <c r="B784" s="40" t="s">
        <v>1883</v>
      </c>
      <c r="C784" s="21" t="s">
        <v>247</v>
      </c>
      <c r="D784" s="21" t="s">
        <v>74</v>
      </c>
      <c r="E784" s="21" t="s">
        <v>98</v>
      </c>
      <c r="F784" s="55">
        <v>2.252480003722858E-4</v>
      </c>
      <c r="G784" s="24">
        <v>5.8628850000000003</v>
      </c>
      <c r="H784" s="24">
        <v>6.1368</v>
      </c>
      <c r="I784" s="24">
        <v>5.4220459999999999</v>
      </c>
      <c r="J784" s="24">
        <v>5.7961150000000004</v>
      </c>
      <c r="K784" s="24">
        <v>2.4430049999999999</v>
      </c>
      <c r="L784" s="24">
        <v>7.092085</v>
      </c>
      <c r="M784" s="24">
        <v>16.988700000000001</v>
      </c>
      <c r="N784" s="24">
        <v>5.771499209176354</v>
      </c>
      <c r="O784" s="24">
        <v>9.5959595959595951</v>
      </c>
      <c r="P784" s="24">
        <v>7.9821958456973299</v>
      </c>
      <c r="Q784" s="24">
        <v>4.0585247647454761</v>
      </c>
      <c r="R784" s="24">
        <v>4.37</v>
      </c>
      <c r="S784" s="24">
        <v>6.0460973477027178</v>
      </c>
      <c r="T784" s="24">
        <v>0.35994785728605017</v>
      </c>
      <c r="U784" s="24" t="s">
        <v>3598</v>
      </c>
      <c r="V784">
        <v>0</v>
      </c>
      <c r="W784" s="21">
        <v>0</v>
      </c>
      <c r="X784" s="56" t="str">
        <f>IFERROR(VLOOKUP(A784,Output!A:F,6,0),"-")</f>
        <v>-</v>
      </c>
    </row>
    <row r="785" spans="1:24" hidden="1" x14ac:dyDescent="0.25">
      <c r="A785" s="21" t="s">
        <v>1075</v>
      </c>
      <c r="B785" s="40" t="s">
        <v>1076</v>
      </c>
      <c r="C785" s="21" t="s">
        <v>244</v>
      </c>
      <c r="D785" s="21" t="s">
        <v>73</v>
      </c>
      <c r="E785" s="21" t="s">
        <v>97</v>
      </c>
      <c r="F785" s="55">
        <v>2.2462795806270117E-4</v>
      </c>
      <c r="G785" s="24">
        <v>3.7891439999999998</v>
      </c>
      <c r="H785" s="24">
        <v>3.2092770000000002</v>
      </c>
      <c r="I785" s="24">
        <v>5.9947439999999999</v>
      </c>
      <c r="J785" s="24">
        <v>4.5554110000000003</v>
      </c>
      <c r="K785" s="24">
        <v>4.6075480000000004</v>
      </c>
      <c r="L785" s="24">
        <v>3.2361010000000001</v>
      </c>
      <c r="M785" s="24">
        <v>86.774600000000007</v>
      </c>
      <c r="N785" s="24">
        <v>3.578106670279428</v>
      </c>
      <c r="O785" s="24">
        <v>2.3711340206185563</v>
      </c>
      <c r="P785" s="24">
        <v>7.7272727272727284</v>
      </c>
      <c r="Q785" s="24">
        <v>6.3997752493327722</v>
      </c>
      <c r="R785" s="24">
        <v>6.74</v>
      </c>
      <c r="S785" s="24">
        <v>6.3950900512959272</v>
      </c>
      <c r="T785" s="24">
        <v>0.8622077004335239</v>
      </c>
      <c r="U785" s="24" t="s">
        <v>3165</v>
      </c>
      <c r="V785">
        <v>0</v>
      </c>
      <c r="W785" s="21">
        <v>1</v>
      </c>
      <c r="X785" s="56" t="str">
        <f>IFERROR(VLOOKUP(A785,Output!A:F,6,0),"-")</f>
        <v>-</v>
      </c>
    </row>
    <row r="786" spans="1:24" hidden="1" x14ac:dyDescent="0.25">
      <c r="A786" s="21" t="s">
        <v>2192</v>
      </c>
      <c r="B786" s="40" t="s">
        <v>2193</v>
      </c>
      <c r="C786" s="21" t="s">
        <v>247</v>
      </c>
      <c r="D786" s="21" t="s">
        <v>74</v>
      </c>
      <c r="E786" s="21" t="s">
        <v>92</v>
      </c>
      <c r="F786" s="55">
        <v>2.2340215966906509E-4</v>
      </c>
      <c r="G786" s="24">
        <v>4.7500749999999998</v>
      </c>
      <c r="H786" s="24">
        <v>5.4334509999999998</v>
      </c>
      <c r="I786" s="24">
        <v>6.2491440000000003</v>
      </c>
      <c r="J786" s="24">
        <v>5.4048090000000002</v>
      </c>
      <c r="K786" s="24">
        <v>1.876865</v>
      </c>
      <c r="L786" s="24">
        <v>5.3931060000000004</v>
      </c>
      <c r="M786" s="24">
        <v>56.832000000000001</v>
      </c>
      <c r="N786" s="24">
        <v>3.3925925925925933</v>
      </c>
      <c r="O786" s="24">
        <v>1.4285714285714284</v>
      </c>
      <c r="P786" s="24">
        <v>2.712328767123287</v>
      </c>
      <c r="Q786" s="24">
        <v>3.8060838565147614</v>
      </c>
      <c r="R786" s="24">
        <v>4.28</v>
      </c>
      <c r="S786" s="24">
        <v>3.2736517480185987</v>
      </c>
      <c r="T786" s="24">
        <v>0.85790321379940659</v>
      </c>
      <c r="U786" s="24" t="s">
        <v>3799</v>
      </c>
      <c r="V786">
        <v>0</v>
      </c>
      <c r="W786" s="21">
        <v>0</v>
      </c>
      <c r="X786" s="56" t="str">
        <f>IFERROR(VLOOKUP(A786,Output!A:F,6,0),"-")</f>
        <v>-</v>
      </c>
    </row>
    <row r="787" spans="1:24" hidden="1" x14ac:dyDescent="0.25">
      <c r="A787" s="21" t="s">
        <v>2268</v>
      </c>
      <c r="B787" s="40" t="s">
        <v>2269</v>
      </c>
      <c r="C787" s="21" t="s">
        <v>258</v>
      </c>
      <c r="D787" s="21" t="s">
        <v>74</v>
      </c>
      <c r="E787" s="21" t="s">
        <v>96</v>
      </c>
      <c r="F787" s="55">
        <v>2.2337469389744144E-4</v>
      </c>
      <c r="G787" s="24">
        <v>6.7488609999999998</v>
      </c>
      <c r="H787" s="24">
        <v>5.6644240000000003</v>
      </c>
      <c r="I787" s="24">
        <v>5.9546739999999998</v>
      </c>
      <c r="J787" s="24">
        <v>6.1226529999999997</v>
      </c>
      <c r="K787" s="24">
        <v>1.833102</v>
      </c>
      <c r="L787" s="24">
        <v>4.3368890000000002</v>
      </c>
      <c r="M787" s="24">
        <v>6.5716999999999999</v>
      </c>
      <c r="N787" s="24">
        <v>7.3905147779161462</v>
      </c>
      <c r="O787" s="24">
        <v>5.454545454545455</v>
      </c>
      <c r="P787" s="24">
        <v>10</v>
      </c>
      <c r="Q787" s="24">
        <v>1.6037611772239107</v>
      </c>
      <c r="R787" s="24">
        <v>4.54</v>
      </c>
      <c r="S787" s="24">
        <v>4.9129629267084756</v>
      </c>
      <c r="T787" s="24">
        <v>0.70196964753495761</v>
      </c>
      <c r="U787" s="24" t="s">
        <v>3808</v>
      </c>
      <c r="V787">
        <v>0</v>
      </c>
      <c r="W787" s="21">
        <v>0</v>
      </c>
      <c r="X787" s="56" t="str">
        <f>IFERROR(VLOOKUP(A787,Output!A:F,6,0),"-")</f>
        <v>-</v>
      </c>
    </row>
    <row r="788" spans="1:24" hidden="1" x14ac:dyDescent="0.25">
      <c r="A788" s="21" t="s">
        <v>756</v>
      </c>
      <c r="B788" s="40" t="s">
        <v>757</v>
      </c>
      <c r="C788" s="21" t="s">
        <v>254</v>
      </c>
      <c r="D788" s="21" t="s">
        <v>74</v>
      </c>
      <c r="E788" s="21" t="s">
        <v>99</v>
      </c>
      <c r="F788" s="55">
        <v>2.2274549633064891E-4</v>
      </c>
      <c r="G788" s="24">
        <v>6.9114899999999997</v>
      </c>
      <c r="H788" s="24">
        <v>4.1881399999999998</v>
      </c>
      <c r="I788" s="24">
        <v>7.4797370000000001</v>
      </c>
      <c r="J788" s="24">
        <v>6.2649590000000002</v>
      </c>
      <c r="K788" s="24">
        <v>1.300683</v>
      </c>
      <c r="L788" s="24">
        <v>6.5078319999999996</v>
      </c>
      <c r="M788" s="24">
        <v>3.6861000000000002</v>
      </c>
      <c r="N788" s="24">
        <v>0</v>
      </c>
      <c r="O788" s="24">
        <v>10</v>
      </c>
      <c r="P788" s="24">
        <v>7.680672112986362</v>
      </c>
      <c r="Q788" s="69">
        <v>6.2458460133529856</v>
      </c>
      <c r="R788" s="24">
        <v>7</v>
      </c>
      <c r="S788" s="24">
        <v>5.7693373219898554</v>
      </c>
      <c r="T788" s="24">
        <v>0.73208273260233014</v>
      </c>
      <c r="U788" s="24" t="s">
        <v>3579</v>
      </c>
      <c r="V788">
        <v>0</v>
      </c>
      <c r="W788" s="21">
        <v>0</v>
      </c>
      <c r="X788" s="56" t="str">
        <f>IFERROR(VLOOKUP(A788,Output!A:F,6,0),"-")</f>
        <v>-</v>
      </c>
    </row>
    <row r="789" spans="1:24" hidden="1" x14ac:dyDescent="0.25">
      <c r="A789" s="21" t="s">
        <v>563</v>
      </c>
      <c r="B789" s="40" t="s">
        <v>721</v>
      </c>
      <c r="C789" s="21" t="s">
        <v>244</v>
      </c>
      <c r="D789" s="21" t="s">
        <v>73</v>
      </c>
      <c r="E789" s="21" t="s">
        <v>85</v>
      </c>
      <c r="F789" s="55">
        <v>2.2259176849533408E-4</v>
      </c>
      <c r="G789" s="24">
        <v>5.2678950000000002</v>
      </c>
      <c r="H789" s="24">
        <v>4.3141429999999996</v>
      </c>
      <c r="I789" s="24">
        <v>4.4350059999999996</v>
      </c>
      <c r="J789" s="24">
        <v>4.6425700000000001</v>
      </c>
      <c r="K789" s="24">
        <v>5.3844469999999998</v>
      </c>
      <c r="L789" s="24">
        <v>8.3846919999999994</v>
      </c>
      <c r="M789" s="24">
        <v>6.9781000000000004</v>
      </c>
      <c r="N789" s="24">
        <v>2.6746966145833335</v>
      </c>
      <c r="O789" s="24">
        <v>1.7525773195876289</v>
      </c>
      <c r="P789" s="24">
        <v>2.2538860103626948</v>
      </c>
      <c r="Q789" s="24">
        <v>5.5603380042659767</v>
      </c>
      <c r="R789" s="24">
        <v>6.76</v>
      </c>
      <c r="S789" s="24">
        <v>3.7858673688369695</v>
      </c>
      <c r="T789" s="24">
        <v>1.696682398618645</v>
      </c>
      <c r="U789" s="24" t="s">
        <v>2982</v>
      </c>
      <c r="V789">
        <v>0</v>
      </c>
      <c r="W789" s="21">
        <v>0</v>
      </c>
      <c r="X789" s="56" t="str">
        <f>IFERROR(VLOOKUP(A789,Output!A:F,6,0),"-")</f>
        <v>-</v>
      </c>
    </row>
    <row r="790" spans="1:24" hidden="1" x14ac:dyDescent="0.25">
      <c r="A790" s="21" t="s">
        <v>619</v>
      </c>
      <c r="B790" s="40" t="s">
        <v>893</v>
      </c>
      <c r="C790" s="21" t="s">
        <v>244</v>
      </c>
      <c r="D790" s="21" t="s">
        <v>73</v>
      </c>
      <c r="E790" s="21" t="s">
        <v>91</v>
      </c>
      <c r="F790" s="55">
        <v>2.2241238581839276E-4</v>
      </c>
      <c r="G790" s="24">
        <v>3.4205009999999998</v>
      </c>
      <c r="H790" s="24">
        <v>3.5986419999999999</v>
      </c>
      <c r="I790" s="24">
        <v>3.1845850000000002</v>
      </c>
      <c r="J790" s="24">
        <v>3.3973909999999998</v>
      </c>
      <c r="K790" s="24">
        <v>4.3032399999999997</v>
      </c>
      <c r="L790" s="24">
        <v>26.337219999999999</v>
      </c>
      <c r="M790" s="24">
        <v>51.998800000000003</v>
      </c>
      <c r="N790" s="24">
        <v>2.7577499189207884</v>
      </c>
      <c r="O790" s="24">
        <v>4.4444444444444446</v>
      </c>
      <c r="P790" s="24">
        <v>1.7983368324393478</v>
      </c>
      <c r="Q790" s="24">
        <v>9.5490363631128901</v>
      </c>
      <c r="R790" s="24">
        <v>7.69</v>
      </c>
      <c r="S790" s="24">
        <v>5.5708524985045722</v>
      </c>
      <c r="T790" s="24">
        <v>0.80719317910357169</v>
      </c>
      <c r="U790" s="24" t="s">
        <v>2996</v>
      </c>
      <c r="V790">
        <v>0</v>
      </c>
      <c r="W790" s="21">
        <v>1</v>
      </c>
      <c r="X790" s="56" t="str">
        <f>IFERROR(VLOOKUP(A790,Output!A:F,6,0),"-")</f>
        <v>-</v>
      </c>
    </row>
    <row r="791" spans="1:24" hidden="1" x14ac:dyDescent="0.25">
      <c r="A791" s="21" t="s">
        <v>281</v>
      </c>
      <c r="B791" s="40" t="s">
        <v>282</v>
      </c>
      <c r="C791" s="21" t="s">
        <v>244</v>
      </c>
      <c r="D791" s="21" t="s">
        <v>73</v>
      </c>
      <c r="E791" s="21" t="s">
        <v>90</v>
      </c>
      <c r="F791" s="55">
        <v>2.2204174881230643E-4</v>
      </c>
      <c r="G791" s="24">
        <v>5.3032750000000002</v>
      </c>
      <c r="H791" s="24">
        <v>5.0059760000000004</v>
      </c>
      <c r="I791" s="24">
        <v>6.6257099999999998</v>
      </c>
      <c r="J791" s="24">
        <v>5.6108159999999998</v>
      </c>
      <c r="K791" s="24">
        <v>4.6963720000000002</v>
      </c>
      <c r="L791" s="24">
        <v>7.4014139999999999</v>
      </c>
      <c r="M791" s="24">
        <v>93.087800000000001</v>
      </c>
      <c r="N791" s="24">
        <v>1.0141788031723142</v>
      </c>
      <c r="O791" s="24">
        <v>1.0309278350515463</v>
      </c>
      <c r="P791" s="24">
        <v>1.1203319502074687</v>
      </c>
      <c r="Q791" s="24">
        <v>8.0985523831996211</v>
      </c>
      <c r="R791" s="24">
        <v>7.92</v>
      </c>
      <c r="S791" s="24">
        <v>4.8680821197451474</v>
      </c>
      <c r="T791" s="24">
        <v>0.29983747484702378</v>
      </c>
      <c r="U791" s="24" t="s">
        <v>2801</v>
      </c>
      <c r="V791">
        <v>0</v>
      </c>
      <c r="W791" s="21">
        <v>0</v>
      </c>
      <c r="X791" s="56" t="str">
        <f>IFERROR(VLOOKUP(A791,Output!A:F,6,0),"-")</f>
        <v>-</v>
      </c>
    </row>
    <row r="792" spans="1:24" hidden="1" x14ac:dyDescent="0.25">
      <c r="A792" s="21" t="s">
        <v>2248</v>
      </c>
      <c r="B792" s="40" t="s">
        <v>2249</v>
      </c>
      <c r="C792" s="21" t="s">
        <v>246</v>
      </c>
      <c r="D792" s="21" t="s">
        <v>74</v>
      </c>
      <c r="E792" s="21" t="s">
        <v>96</v>
      </c>
      <c r="F792" s="55">
        <v>2.2170803465671791E-4</v>
      </c>
      <c r="G792" s="24">
        <v>2.5679349999999999</v>
      </c>
      <c r="H792" s="24">
        <v>3.896741</v>
      </c>
      <c r="I792" s="24">
        <v>5.5626049999999996</v>
      </c>
      <c r="J792" s="24">
        <v>3.8649779999999998</v>
      </c>
      <c r="K792" s="24">
        <v>3.18479</v>
      </c>
      <c r="L792" s="24">
        <v>6.9042969999999997</v>
      </c>
      <c r="M792" s="53">
        <v>227.63659999999999</v>
      </c>
      <c r="N792" s="24">
        <v>0.76196347223184779</v>
      </c>
      <c r="O792" s="24">
        <v>1.0526315789473684</v>
      </c>
      <c r="P792" s="24">
        <v>5.5319148936170217</v>
      </c>
      <c r="Q792" s="24">
        <v>6.050940054299689</v>
      </c>
      <c r="R792" s="24">
        <v>5.86</v>
      </c>
      <c r="S792" s="24">
        <v>5.1616136405469462</v>
      </c>
      <c r="T792" s="24">
        <v>0.13184248162353734</v>
      </c>
      <c r="U792" s="24" t="s">
        <v>3796</v>
      </c>
      <c r="V792">
        <v>0</v>
      </c>
      <c r="W792" s="21">
        <v>1</v>
      </c>
      <c r="X792" s="56" t="str">
        <f>IFERROR(VLOOKUP(A792,Output!A:F,6,0),"-")</f>
        <v>-</v>
      </c>
    </row>
    <row r="793" spans="1:24" hidden="1" x14ac:dyDescent="0.25">
      <c r="A793" s="21" t="s">
        <v>4310</v>
      </c>
      <c r="B793" s="40" t="s">
        <v>4311</v>
      </c>
      <c r="C793" s="21" t="s">
        <v>254</v>
      </c>
      <c r="D793" s="21" t="s">
        <v>74</v>
      </c>
      <c r="E793" s="21" t="s">
        <v>92</v>
      </c>
      <c r="F793" s="55">
        <v>2.2162865555850887E-4</v>
      </c>
      <c r="G793" s="24">
        <v>5.5105899999999997</v>
      </c>
      <c r="H793" s="24">
        <v>7.1922750000000004</v>
      </c>
      <c r="I793" s="24">
        <v>4.194502</v>
      </c>
      <c r="J793" s="24">
        <v>5.6202690000000004</v>
      </c>
      <c r="K793" s="24">
        <v>3.6152139999999999</v>
      </c>
      <c r="L793" s="24">
        <v>4.6899740000000003</v>
      </c>
      <c r="M793" s="24">
        <v>53.053699999999999</v>
      </c>
      <c r="N793" s="24">
        <v>2.5876548148148149</v>
      </c>
      <c r="O793" s="24">
        <v>2.0408163265306118</v>
      </c>
      <c r="P793" s="24">
        <v>6.6849315068493151</v>
      </c>
      <c r="Q793" s="24">
        <v>3.045641699488542</v>
      </c>
      <c r="R793" s="24">
        <v>6.86</v>
      </c>
      <c r="S793" s="24">
        <v>4.9136011402570619</v>
      </c>
      <c r="T793" s="24">
        <v>0.34567968860652343</v>
      </c>
      <c r="U793" s="24" t="s">
        <v>4312</v>
      </c>
      <c r="V793">
        <v>0</v>
      </c>
      <c r="W793" s="21">
        <v>0</v>
      </c>
      <c r="X793" s="56" t="str">
        <f>IFERROR(VLOOKUP(A793,Output!A:F,6,0),"-")</f>
        <v>-</v>
      </c>
    </row>
    <row r="794" spans="1:24" hidden="1" x14ac:dyDescent="0.25">
      <c r="A794" s="21" t="s">
        <v>295</v>
      </c>
      <c r="B794" s="40" t="s">
        <v>296</v>
      </c>
      <c r="C794" s="21" t="s">
        <v>250</v>
      </c>
      <c r="D794" s="21" t="s">
        <v>76</v>
      </c>
      <c r="E794" s="21" t="s">
        <v>92</v>
      </c>
      <c r="F794" s="55">
        <v>2.2108145287769908E-4</v>
      </c>
      <c r="G794" s="24">
        <v>5.2199059999999999</v>
      </c>
      <c r="H794" s="24">
        <v>6.4635569999999998</v>
      </c>
      <c r="I794" s="24">
        <v>6.0896819999999998</v>
      </c>
      <c r="J794" s="24">
        <v>5.8539339999999997</v>
      </c>
      <c r="K794" s="24">
        <v>2.8894280000000001</v>
      </c>
      <c r="L794" s="24">
        <v>5.7072750000000001</v>
      </c>
      <c r="M794" s="24">
        <v>27.595099999999999</v>
      </c>
      <c r="N794" s="24">
        <v>6.5486729256977707</v>
      </c>
      <c r="O794" s="24">
        <v>5.7575757575757578</v>
      </c>
      <c r="P794" s="24">
        <v>6.3730569948186533</v>
      </c>
      <c r="Q794" s="24">
        <v>6.8687439991068446</v>
      </c>
      <c r="R794" s="24">
        <v>5.37</v>
      </c>
      <c r="S794" s="24">
        <v>6.8715713045740481</v>
      </c>
      <c r="T794" s="24">
        <v>0.4611075266063509</v>
      </c>
      <c r="U794" s="24" t="s">
        <v>2830</v>
      </c>
      <c r="V794">
        <v>0</v>
      </c>
      <c r="W794" s="21">
        <v>0</v>
      </c>
      <c r="X794" s="56">
        <f>IFERROR(VLOOKUP(A794,Output!A:F,6,0),"-")</f>
        <v>5.0000000000000001E-3</v>
      </c>
    </row>
    <row r="795" spans="1:24" hidden="1" x14ac:dyDescent="0.25">
      <c r="A795" s="21" t="s">
        <v>4242</v>
      </c>
      <c r="B795" s="40" t="s">
        <v>4243</v>
      </c>
      <c r="C795" s="21" t="s">
        <v>244</v>
      </c>
      <c r="D795" s="21" t="s">
        <v>73</v>
      </c>
      <c r="E795" s="21" t="s">
        <v>95</v>
      </c>
      <c r="F795" s="55">
        <v>2.2038454665045703E-4</v>
      </c>
      <c r="G795" s="24">
        <v>4.1489390000000004</v>
      </c>
      <c r="H795" s="24">
        <v>5.3805500000000004</v>
      </c>
      <c r="I795" s="24">
        <v>7.8211079999999997</v>
      </c>
      <c r="J795" s="24">
        <v>5.496912</v>
      </c>
      <c r="K795" s="24">
        <v>2.2909920000000001</v>
      </c>
      <c r="L795" s="24">
        <v>14.55936</v>
      </c>
      <c r="M795" s="24">
        <v>393.68740000000003</v>
      </c>
      <c r="N795" s="24">
        <v>8.035927063716942</v>
      </c>
      <c r="O795" s="24">
        <v>3.4020618556701026</v>
      </c>
      <c r="P795" s="24">
        <v>8.127090301003344</v>
      </c>
      <c r="Q795" s="24">
        <v>8.379915015859714</v>
      </c>
      <c r="R795" s="24">
        <v>7.25</v>
      </c>
      <c r="S795" s="24">
        <v>7.7829899472586703</v>
      </c>
      <c r="T795" s="24">
        <v>0.92394670356315256</v>
      </c>
      <c r="U795" s="24" t="s">
        <v>4244</v>
      </c>
      <c r="V795">
        <v>1</v>
      </c>
      <c r="W795" s="21">
        <v>0</v>
      </c>
      <c r="X795" s="56" t="str">
        <f>IFERROR(VLOOKUP(A795,Output!A:F,6,0),"-")</f>
        <v>-</v>
      </c>
    </row>
    <row r="796" spans="1:24" hidden="1" x14ac:dyDescent="0.25">
      <c r="A796" s="21" t="s">
        <v>630</v>
      </c>
      <c r="B796" s="40" t="s">
        <v>931</v>
      </c>
      <c r="C796" s="21" t="s">
        <v>244</v>
      </c>
      <c r="D796" s="21" t="s">
        <v>73</v>
      </c>
      <c r="E796" s="21" t="s">
        <v>86</v>
      </c>
      <c r="F796" s="55">
        <v>2.2022870606347881E-4</v>
      </c>
      <c r="G796" s="24">
        <v>7.4095579999999996</v>
      </c>
      <c r="H796" s="24">
        <v>5.4914680000000002</v>
      </c>
      <c r="I796" s="24">
        <v>5.3603709999999998</v>
      </c>
      <c r="J796" s="24">
        <v>6.0871320000000004</v>
      </c>
      <c r="K796" s="24">
        <v>4.767442</v>
      </c>
      <c r="L796" s="24">
        <v>6.0618489999999996</v>
      </c>
      <c r="M796" s="24">
        <v>605.96550000000002</v>
      </c>
      <c r="N796" s="24">
        <v>1.9679753082631868</v>
      </c>
      <c r="O796" s="24">
        <v>7.3195876288659791</v>
      </c>
      <c r="P796" s="24">
        <v>2.6296296296296302</v>
      </c>
      <c r="Q796" s="24">
        <v>6.4834482241413527</v>
      </c>
      <c r="R796" s="24">
        <v>6.73</v>
      </c>
      <c r="S796" s="24">
        <v>4.5359777895182285</v>
      </c>
      <c r="T796" s="24">
        <v>0.68130165586520131</v>
      </c>
      <c r="U796" s="24" t="s">
        <v>3012</v>
      </c>
      <c r="V796">
        <v>0</v>
      </c>
      <c r="W796" s="21">
        <v>0</v>
      </c>
      <c r="X796" s="56" t="str">
        <f>IFERROR(VLOOKUP(A796,Output!A:F,6,0),"-")</f>
        <v>-</v>
      </c>
    </row>
    <row r="797" spans="1:24" hidden="1" x14ac:dyDescent="0.25">
      <c r="A797" s="21" t="s">
        <v>280</v>
      </c>
      <c r="B797" s="40" t="s">
        <v>1019</v>
      </c>
      <c r="C797" s="21" t="s">
        <v>244</v>
      </c>
      <c r="D797" s="21" t="s">
        <v>73</v>
      </c>
      <c r="E797" s="21" t="s">
        <v>92</v>
      </c>
      <c r="F797" s="55">
        <v>2.1990183319899064E-4</v>
      </c>
      <c r="G797" s="24">
        <v>7.2404909999999996</v>
      </c>
      <c r="H797" s="24">
        <v>7.3285479999999996</v>
      </c>
      <c r="I797" s="24">
        <v>8.0148689999999991</v>
      </c>
      <c r="J797" s="24">
        <v>7.5279699999999998</v>
      </c>
      <c r="K797" s="24">
        <v>5.4142580000000002</v>
      </c>
      <c r="L797" s="24">
        <v>6.9453110000000002</v>
      </c>
      <c r="M797" s="24">
        <v>164.20269999999999</v>
      </c>
      <c r="N797" s="24">
        <v>5.1065326704545466</v>
      </c>
      <c r="O797" s="24">
        <v>2.9292929292929291</v>
      </c>
      <c r="P797" s="24">
        <v>6.9721936273030138</v>
      </c>
      <c r="Q797" s="24">
        <v>4.6427756835678267</v>
      </c>
      <c r="R797" s="24">
        <v>8.2100000000000009</v>
      </c>
      <c r="S797" s="24">
        <v>7.1282234756541136</v>
      </c>
      <c r="T797" s="24">
        <v>0.9408093891400382</v>
      </c>
      <c r="U797" s="24" t="s">
        <v>3119</v>
      </c>
      <c r="V797">
        <v>0</v>
      </c>
      <c r="W797" s="21">
        <v>0</v>
      </c>
      <c r="X797" s="56">
        <f>IFERROR(VLOOKUP(A797,Output!A:F,6,0),"-")</f>
        <v>7.4999999999997447E-3</v>
      </c>
    </row>
    <row r="798" spans="1:24" hidden="1" x14ac:dyDescent="0.25">
      <c r="A798" s="21" t="s">
        <v>487</v>
      </c>
      <c r="B798" s="40" t="s">
        <v>715</v>
      </c>
      <c r="C798" s="21" t="s">
        <v>244</v>
      </c>
      <c r="D798" s="21" t="s">
        <v>73</v>
      </c>
      <c r="E798" s="21" t="s">
        <v>92</v>
      </c>
      <c r="F798" s="55">
        <v>2.1985525205517472E-4</v>
      </c>
      <c r="G798" s="21">
        <v>4.9524049999999997</v>
      </c>
      <c r="H798" s="21">
        <v>7.475727</v>
      </c>
      <c r="I798" s="21">
        <v>6.4714770000000001</v>
      </c>
      <c r="J798" s="21">
        <v>6.1651230000000004</v>
      </c>
      <c r="K798" s="24">
        <v>1.4051070000000001</v>
      </c>
      <c r="L798" s="24">
        <v>9.6719460000000002</v>
      </c>
      <c r="M798" s="24">
        <v>520.7056</v>
      </c>
      <c r="N798" s="24">
        <v>6.2192230113636358</v>
      </c>
      <c r="O798" s="24">
        <v>8.6868686868686869</v>
      </c>
      <c r="P798" s="24">
        <v>9.134912464943719</v>
      </c>
      <c r="Q798" s="24">
        <v>6.1267140960976905</v>
      </c>
      <c r="R798" s="24">
        <v>7.42</v>
      </c>
      <c r="S798" s="24">
        <v>7.6795879194557291</v>
      </c>
      <c r="T798" s="24">
        <v>1.3779176652061413</v>
      </c>
      <c r="U798" s="24" t="s">
        <v>2963</v>
      </c>
      <c r="V798">
        <v>0</v>
      </c>
      <c r="W798" s="21">
        <v>0</v>
      </c>
      <c r="X798" s="56">
        <f>IFERROR(VLOOKUP(A798,Output!A:F,6,0),"-")</f>
        <v>3.9227197867994249E-3</v>
      </c>
    </row>
    <row r="799" spans="1:24" x14ac:dyDescent="0.25">
      <c r="A799" s="21" t="s">
        <v>1876</v>
      </c>
      <c r="B799" s="40" t="s">
        <v>1877</v>
      </c>
      <c r="C799" s="21" t="s">
        <v>248</v>
      </c>
      <c r="D799" s="21" t="s">
        <v>75</v>
      </c>
      <c r="E799" s="21" t="s">
        <v>92</v>
      </c>
      <c r="F799" s="55">
        <v>2.1937897746592051E-4</v>
      </c>
      <c r="G799" s="21">
        <v>7.488264</v>
      </c>
      <c r="H799" s="21">
        <v>6.2620810000000002</v>
      </c>
      <c r="I799" s="21">
        <v>4.913316</v>
      </c>
      <c r="J799" s="21">
        <v>6.347925</v>
      </c>
      <c r="K799" s="24">
        <v>1.7742690000000001</v>
      </c>
      <c r="L799" s="24">
        <v>5.1426819999999998</v>
      </c>
      <c r="M799" s="24">
        <v>22.547599999999999</v>
      </c>
      <c r="N799" s="24">
        <v>2.7516428648244795</v>
      </c>
      <c r="O799" s="24">
        <v>7.7894736842105274</v>
      </c>
      <c r="P799" s="24">
        <v>6.8457144299101973</v>
      </c>
      <c r="Q799" s="24">
        <v>4.3731213639948248</v>
      </c>
      <c r="R799" s="24">
        <v>4.0999999999999996</v>
      </c>
      <c r="S799" s="24">
        <v>5.2633979117637306</v>
      </c>
      <c r="T799" s="24">
        <v>6.4511698588199565E-2</v>
      </c>
      <c r="U799" s="24" t="s">
        <v>3593</v>
      </c>
      <c r="V799">
        <v>0</v>
      </c>
      <c r="W799" s="21">
        <v>0</v>
      </c>
      <c r="X799" s="56" t="str">
        <f>IFERROR(VLOOKUP(A799,Output!A:F,6,0),"-")</f>
        <v>-</v>
      </c>
    </row>
    <row r="800" spans="1:24" hidden="1" x14ac:dyDescent="0.25">
      <c r="A800" s="21" t="s">
        <v>2347</v>
      </c>
      <c r="B800" s="40" t="s">
        <v>2348</v>
      </c>
      <c r="C800" s="21" t="s">
        <v>298</v>
      </c>
      <c r="D800" s="21" t="s">
        <v>74</v>
      </c>
      <c r="E800" s="21" t="s">
        <v>86</v>
      </c>
      <c r="F800" s="55">
        <v>2.1859243020381881E-4</v>
      </c>
      <c r="G800" s="24">
        <v>2.5527570000000002</v>
      </c>
      <c r="H800" s="24">
        <v>3.1190959999999999</v>
      </c>
      <c r="I800" s="24">
        <v>5.7152159999999999</v>
      </c>
      <c r="J800" s="24">
        <v>3.7956889999999999</v>
      </c>
      <c r="K800" s="24">
        <v>1.999681</v>
      </c>
      <c r="L800" s="24">
        <v>16.071200000000001</v>
      </c>
      <c r="M800" s="24">
        <v>2121.0100000000002</v>
      </c>
      <c r="N800" s="24">
        <v>9.3089753772835593</v>
      </c>
      <c r="O800" s="24">
        <v>7.4226804123711334</v>
      </c>
      <c r="P800" s="24">
        <v>3.5737704918032787</v>
      </c>
      <c r="Q800" s="24">
        <v>9.3798609682757448</v>
      </c>
      <c r="R800" s="24">
        <v>3.88</v>
      </c>
      <c r="S800" s="24">
        <v>6.6547379492857619</v>
      </c>
      <c r="T800" s="24">
        <v>0.76453472143540402</v>
      </c>
      <c r="U800" s="24" t="s">
        <v>3822</v>
      </c>
      <c r="V800">
        <v>0</v>
      </c>
      <c r="W800" s="21">
        <v>1</v>
      </c>
      <c r="X800" s="56" t="str">
        <f>IFERROR(VLOOKUP(A800,Output!A:F,6,0),"-")</f>
        <v>-</v>
      </c>
    </row>
    <row r="801" spans="1:24" hidden="1" x14ac:dyDescent="0.25">
      <c r="A801" s="21" t="s">
        <v>141</v>
      </c>
      <c r="B801" s="40" t="s">
        <v>210</v>
      </c>
      <c r="C801" s="21" t="s">
        <v>254</v>
      </c>
      <c r="D801" s="21" t="s">
        <v>74</v>
      </c>
      <c r="E801" s="21" t="s">
        <v>92</v>
      </c>
      <c r="F801" s="55">
        <v>2.18222497448287E-4</v>
      </c>
      <c r="G801" s="24">
        <v>7.0840259999999997</v>
      </c>
      <c r="H801" s="24">
        <v>3.9215499999999999</v>
      </c>
      <c r="I801" s="24">
        <v>3.145734</v>
      </c>
      <c r="J801" s="24">
        <v>4.9537959999999996</v>
      </c>
      <c r="K801" s="24">
        <v>3.114849</v>
      </c>
      <c r="L801" s="24">
        <v>3.4368859999999999</v>
      </c>
      <c r="M801" s="24">
        <v>7.5857000000000001</v>
      </c>
      <c r="N801" s="24">
        <v>6.5432103703703701</v>
      </c>
      <c r="O801" s="24">
        <v>2.6530612244897962</v>
      </c>
      <c r="P801" s="24">
        <v>7.1506849315068504</v>
      </c>
      <c r="Q801" s="24">
        <v>3.4114147427911967</v>
      </c>
      <c r="R801" s="24">
        <v>6.34</v>
      </c>
      <c r="S801" s="24">
        <v>5.0332765671157205</v>
      </c>
      <c r="T801" s="24">
        <v>0.39366040176172762</v>
      </c>
      <c r="U801" s="24" t="s">
        <v>3966</v>
      </c>
      <c r="V801">
        <v>0</v>
      </c>
      <c r="W801" s="21">
        <v>0</v>
      </c>
      <c r="X801" s="56">
        <f>IFERROR(VLOOKUP(A801,Output!A:F,6,0),"-")</f>
        <v>5.0000000000000001E-3</v>
      </c>
    </row>
    <row r="802" spans="1:24" hidden="1" x14ac:dyDescent="0.25">
      <c r="A802" s="21" t="s">
        <v>4461</v>
      </c>
      <c r="B802" s="40" t="s">
        <v>4462</v>
      </c>
      <c r="C802" s="21" t="s">
        <v>244</v>
      </c>
      <c r="D802" s="21" t="s">
        <v>73</v>
      </c>
      <c r="E802" s="21" t="s">
        <v>88</v>
      </c>
      <c r="F802" s="55">
        <v>2.1730968812249413E-4</v>
      </c>
      <c r="G802" s="24">
        <v>2.3523869999999998</v>
      </c>
      <c r="H802" s="24">
        <v>4.4377709999999997</v>
      </c>
      <c r="I802" s="24">
        <v>3.423181</v>
      </c>
      <c r="J802" s="24">
        <v>3.2992409999999999</v>
      </c>
      <c r="K802" s="24">
        <v>2.4815100000000001</v>
      </c>
      <c r="L802" s="24">
        <v>3.431673</v>
      </c>
      <c r="M802" s="24">
        <v>20.991399999999999</v>
      </c>
      <c r="N802" s="24">
        <v>8.0516079545454549</v>
      </c>
      <c r="O802" s="24">
        <v>4.545454545454545</v>
      </c>
      <c r="P802" s="24">
        <v>9.5365602490769934</v>
      </c>
      <c r="Q802" s="24">
        <v>2.3136002123705866</v>
      </c>
      <c r="R802" s="24">
        <v>8.0300010000000004</v>
      </c>
      <c r="S802" s="24">
        <v>6.2229249571146941</v>
      </c>
      <c r="T802" s="24">
        <v>1.1746823287152692</v>
      </c>
      <c r="U802" s="24" t="s">
        <v>4463</v>
      </c>
      <c r="V802">
        <v>0</v>
      </c>
      <c r="W802" s="21">
        <v>1</v>
      </c>
      <c r="X802" s="56" t="str">
        <f>IFERROR(VLOOKUP(A802,Output!A:F,6,0),"-")</f>
        <v>-</v>
      </c>
    </row>
    <row r="803" spans="1:24" hidden="1" x14ac:dyDescent="0.25">
      <c r="A803" s="21" t="s">
        <v>2461</v>
      </c>
      <c r="B803" s="40" t="s">
        <v>2462</v>
      </c>
      <c r="C803" s="21" t="s">
        <v>257</v>
      </c>
      <c r="D803" s="21" t="s">
        <v>74</v>
      </c>
      <c r="E803" s="21" t="s">
        <v>96</v>
      </c>
      <c r="F803" s="55">
        <v>2.1715847546773093E-4</v>
      </c>
      <c r="G803" s="24">
        <v>5.9661559999999998</v>
      </c>
      <c r="H803" s="24">
        <v>7.6909960000000002</v>
      </c>
      <c r="I803" s="24">
        <v>6.296564</v>
      </c>
      <c r="J803" s="24">
        <v>6.5827299999999997</v>
      </c>
      <c r="K803" s="24">
        <v>2.5562909999999999</v>
      </c>
      <c r="L803" s="24">
        <v>6.436585</v>
      </c>
      <c r="M803" s="24">
        <v>32.293399999999998</v>
      </c>
      <c r="N803" s="24">
        <v>2.7796695559063545</v>
      </c>
      <c r="O803" s="24">
        <v>4.9494949494949498</v>
      </c>
      <c r="P803" s="24">
        <v>4.6884272997032648</v>
      </c>
      <c r="Q803" s="24">
        <v>5.2332217706003794</v>
      </c>
      <c r="R803" s="24">
        <v>4.8499999999999996</v>
      </c>
      <c r="S803" s="24">
        <v>5.2087688376989787</v>
      </c>
      <c r="T803" s="24">
        <v>9.8024090215170515E-2</v>
      </c>
      <c r="U803" s="24" t="s">
        <v>3926</v>
      </c>
      <c r="V803">
        <v>0</v>
      </c>
      <c r="W803" s="21">
        <v>0</v>
      </c>
      <c r="X803" s="56" t="str">
        <f>IFERROR(VLOOKUP(A803,Output!A:F,6,0),"-")</f>
        <v>-</v>
      </c>
    </row>
    <row r="804" spans="1:24" hidden="1" x14ac:dyDescent="0.25">
      <c r="A804" s="21" t="s">
        <v>670</v>
      </c>
      <c r="B804" s="40" t="s">
        <v>671</v>
      </c>
      <c r="C804" s="21" t="s">
        <v>246</v>
      </c>
      <c r="D804" s="21" t="s">
        <v>74</v>
      </c>
      <c r="E804" s="21" t="s">
        <v>85</v>
      </c>
      <c r="F804" s="55">
        <v>2.1702215268183328E-4</v>
      </c>
      <c r="G804" s="24">
        <v>7.9954270000000003</v>
      </c>
      <c r="H804" s="24">
        <v>5.1524799999999997</v>
      </c>
      <c r="I804" s="24">
        <v>4.4141859999999999</v>
      </c>
      <c r="J804" s="24">
        <v>5.7469609999999998</v>
      </c>
      <c r="K804" s="24">
        <v>9.6910900000000009</v>
      </c>
      <c r="L804" s="24">
        <v>10.980090000000001</v>
      </c>
      <c r="M804" s="24">
        <v>1.3503000000000001</v>
      </c>
      <c r="N804" s="24">
        <v>4.4722285143416478</v>
      </c>
      <c r="O804" s="24">
        <v>7.8787878787878789</v>
      </c>
      <c r="P804" s="24">
        <v>5.7631578947368425</v>
      </c>
      <c r="Q804" s="24">
        <v>5.3252480705622931</v>
      </c>
      <c r="R804" s="24">
        <v>7.1</v>
      </c>
      <c r="S804" s="24">
        <v>5.6864967532169217</v>
      </c>
      <c r="T804" s="24">
        <v>0.31725591505239992</v>
      </c>
      <c r="U804" s="24" t="s">
        <v>3762</v>
      </c>
      <c r="V804">
        <v>0</v>
      </c>
      <c r="W804" s="21">
        <v>0</v>
      </c>
      <c r="X804" s="56" t="str">
        <f>IFERROR(VLOOKUP(A804,Output!A:F,6,0),"-")</f>
        <v>-</v>
      </c>
    </row>
    <row r="805" spans="1:24" hidden="1" x14ac:dyDescent="0.25">
      <c r="A805" s="21" t="s">
        <v>4307</v>
      </c>
      <c r="B805" s="40" t="s">
        <v>4308</v>
      </c>
      <c r="C805" s="21" t="s">
        <v>244</v>
      </c>
      <c r="D805" s="21" t="s">
        <v>73</v>
      </c>
      <c r="E805" s="21" t="s">
        <v>95</v>
      </c>
      <c r="F805" s="55">
        <v>2.1690836591367811E-4</v>
      </c>
      <c r="G805" s="24">
        <v>7.3988269999999998</v>
      </c>
      <c r="H805" s="24">
        <v>5.3043509999999996</v>
      </c>
      <c r="I805" s="24">
        <v>4.3161740000000002</v>
      </c>
      <c r="J805" s="24">
        <v>6.0551360000000001</v>
      </c>
      <c r="K805" s="24">
        <v>1.796854</v>
      </c>
      <c r="L805" s="24">
        <v>4.2955139999999998</v>
      </c>
      <c r="M805" s="24">
        <v>108.6974</v>
      </c>
      <c r="N805" s="24">
        <v>9.0329329920399388</v>
      </c>
      <c r="O805" s="24">
        <v>2.7835051546391747</v>
      </c>
      <c r="P805" s="24">
        <v>5.3846153846153841</v>
      </c>
      <c r="Q805" s="24">
        <v>5.3703596863965517</v>
      </c>
      <c r="R805" s="24">
        <v>7.41</v>
      </c>
      <c r="S805" s="24">
        <v>5.0529504946228538</v>
      </c>
      <c r="T805" s="24">
        <v>0.98951515423965208</v>
      </c>
      <c r="U805" s="24" t="s">
        <v>4309</v>
      </c>
      <c r="V805">
        <v>1</v>
      </c>
      <c r="W805" s="21">
        <v>0</v>
      </c>
      <c r="X805" s="56" t="str">
        <f>IFERROR(VLOOKUP(A805,Output!A:F,6,0),"-")</f>
        <v>-</v>
      </c>
    </row>
    <row r="806" spans="1:24" hidden="1" x14ac:dyDescent="0.25">
      <c r="A806" s="21" t="s">
        <v>1407</v>
      </c>
      <c r="B806" s="40" t="s">
        <v>1408</v>
      </c>
      <c r="C806" s="21" t="s">
        <v>245</v>
      </c>
      <c r="D806" s="21" t="s">
        <v>73</v>
      </c>
      <c r="E806" s="21" t="s">
        <v>95</v>
      </c>
      <c r="F806" s="55">
        <v>2.166073491052606E-4</v>
      </c>
      <c r="G806" s="24">
        <v>4.3046150000000001</v>
      </c>
      <c r="H806" s="24">
        <v>2.8275570000000001</v>
      </c>
      <c r="I806" s="24">
        <v>3.4251339999999999</v>
      </c>
      <c r="J806" s="24">
        <v>3.7453590000000001</v>
      </c>
      <c r="K806" s="24">
        <v>2.4188529999999999</v>
      </c>
      <c r="L806" s="24">
        <v>11.492710000000001</v>
      </c>
      <c r="M806" s="24">
        <v>206.4752</v>
      </c>
      <c r="N806" s="24">
        <v>8.610777328695967</v>
      </c>
      <c r="O806" s="24">
        <v>6.1855670103092777</v>
      </c>
      <c r="P806" s="24">
        <v>6.0535117056856187</v>
      </c>
      <c r="Q806" s="24">
        <v>7.9711532706924393</v>
      </c>
      <c r="R806" s="24">
        <v>5.44</v>
      </c>
      <c r="S806" s="24">
        <v>7.0312720003319757</v>
      </c>
      <c r="T806" s="24">
        <v>0.64390437934822431</v>
      </c>
      <c r="U806" s="24" t="s">
        <v>3349</v>
      </c>
      <c r="V806">
        <v>1</v>
      </c>
      <c r="W806" s="21">
        <v>1</v>
      </c>
      <c r="X806" s="56" t="str">
        <f>IFERROR(VLOOKUP(A806,Output!A:F,6,0),"-")</f>
        <v>-</v>
      </c>
    </row>
    <row r="807" spans="1:24" x14ac:dyDescent="0.25">
      <c r="A807" s="21" t="s">
        <v>743</v>
      </c>
      <c r="B807" s="40" t="s">
        <v>744</v>
      </c>
      <c r="C807" s="21" t="s">
        <v>248</v>
      </c>
      <c r="D807" s="21" t="s">
        <v>75</v>
      </c>
      <c r="E807" s="21" t="s">
        <v>85</v>
      </c>
      <c r="F807" s="55">
        <v>2.160854994444111E-4</v>
      </c>
      <c r="G807" s="24">
        <v>4.3235359999999998</v>
      </c>
      <c r="H807" s="24">
        <v>3.8360180000000001</v>
      </c>
      <c r="I807" s="24">
        <v>3.8972060000000002</v>
      </c>
      <c r="J807" s="24">
        <v>4.0036889999999996</v>
      </c>
      <c r="K807" s="24">
        <v>2.401386</v>
      </c>
      <c r="L807" s="24">
        <v>9.0851290000000002</v>
      </c>
      <c r="M807" s="24">
        <v>10.804600000000001</v>
      </c>
      <c r="N807" s="24">
        <v>2.2344497979212932</v>
      </c>
      <c r="O807" s="24">
        <v>5.4838709677419359</v>
      </c>
      <c r="P807" s="24">
        <v>3.0202574585635356</v>
      </c>
      <c r="Q807" s="24">
        <v>8.6459802538787027</v>
      </c>
      <c r="R807" s="24">
        <v>3.22</v>
      </c>
      <c r="S807" s="24">
        <v>3.7415171568685053</v>
      </c>
      <c r="T807" s="24">
        <v>0.37033533211465802</v>
      </c>
      <c r="U807" s="24" t="s">
        <v>3469</v>
      </c>
      <c r="V807">
        <v>0</v>
      </c>
      <c r="W807" s="21">
        <v>1</v>
      </c>
      <c r="X807" s="56" t="str">
        <f>IFERROR(VLOOKUP(A807,Output!A:F,6,0),"-")</f>
        <v>-</v>
      </c>
    </row>
    <row r="808" spans="1:24" hidden="1" x14ac:dyDescent="0.25">
      <c r="A808" s="21" t="s">
        <v>2145</v>
      </c>
      <c r="B808" s="40" t="s">
        <v>2146</v>
      </c>
      <c r="C808" s="21" t="s">
        <v>250</v>
      </c>
      <c r="D808" s="21" t="s">
        <v>76</v>
      </c>
      <c r="E808" s="21" t="s">
        <v>98</v>
      </c>
      <c r="F808" s="55">
        <v>2.1587372124196491E-4</v>
      </c>
      <c r="G808" s="24">
        <v>7.1700499999999998</v>
      </c>
      <c r="H808" s="24">
        <v>4.6174929999999996</v>
      </c>
      <c r="I808" s="24">
        <v>5.9075470000000001</v>
      </c>
      <c r="J808" s="24">
        <v>5.6440260000000002</v>
      </c>
      <c r="K808" s="24">
        <v>3.9754149999999999</v>
      </c>
      <c r="L808" s="24">
        <v>4.2891940000000002</v>
      </c>
      <c r="M808" s="24">
        <v>41.793700000000001</v>
      </c>
      <c r="N808" s="24">
        <v>10</v>
      </c>
      <c r="O808" s="24">
        <v>7.4626865671641784</v>
      </c>
      <c r="P808" s="24">
        <v>10</v>
      </c>
      <c r="Q808" s="24">
        <v>4.8321459159397309</v>
      </c>
      <c r="R808" s="24">
        <v>7.16</v>
      </c>
      <c r="S808" s="24">
        <v>7.7741214908802538</v>
      </c>
      <c r="T808" s="24">
        <v>0.3769904533882022</v>
      </c>
      <c r="U808" s="24" t="s">
        <v>3740</v>
      </c>
      <c r="V808">
        <v>0</v>
      </c>
      <c r="W808" s="21">
        <v>0</v>
      </c>
      <c r="X808" s="56">
        <f>IFERROR(VLOOKUP(A808,Output!A:F,6,0),"-")</f>
        <v>5.0000000000000001E-3</v>
      </c>
    </row>
    <row r="809" spans="1:24" hidden="1" x14ac:dyDescent="0.25">
      <c r="A809" s="21" t="s">
        <v>2373</v>
      </c>
      <c r="B809" s="40" t="s">
        <v>2374</v>
      </c>
      <c r="C809" s="21" t="s">
        <v>256</v>
      </c>
      <c r="D809" s="21" t="s">
        <v>74</v>
      </c>
      <c r="E809" s="21" t="s">
        <v>92</v>
      </c>
      <c r="F809" s="55">
        <v>2.1580198829263279E-4</v>
      </c>
      <c r="G809" s="24">
        <v>7.3450119999999997</v>
      </c>
      <c r="H809" s="24">
        <v>7.9158369999999998</v>
      </c>
      <c r="I809" s="24">
        <v>7.0024879999999996</v>
      </c>
      <c r="J809" s="24">
        <v>7.4135030000000004</v>
      </c>
      <c r="K809" s="24">
        <v>4.9908739999999998</v>
      </c>
      <c r="L809" s="24">
        <v>7.0128430000000002</v>
      </c>
      <c r="M809" s="24">
        <v>60.317599999999999</v>
      </c>
      <c r="N809" s="24">
        <v>5.5506177777777772</v>
      </c>
      <c r="O809" s="24">
        <v>7.9591836734693864</v>
      </c>
      <c r="P809" s="24">
        <v>6.0000000000000009</v>
      </c>
      <c r="Q809" s="24">
        <v>4.9452480568650641</v>
      </c>
      <c r="R809" s="24">
        <v>6.82</v>
      </c>
      <c r="S809" s="24">
        <v>6.7780590286542841</v>
      </c>
      <c r="T809" s="24">
        <v>0.24670711358362779</v>
      </c>
      <c r="U809" s="24" t="s">
        <v>3870</v>
      </c>
      <c r="V809">
        <v>0</v>
      </c>
      <c r="W809" s="21">
        <v>0</v>
      </c>
      <c r="X809" s="56">
        <f>IFERROR(VLOOKUP(A809,Output!A:F,6,0),"-")</f>
        <v>5.0000000000000001E-3</v>
      </c>
    </row>
    <row r="810" spans="1:24" hidden="1" x14ac:dyDescent="0.25">
      <c r="A810" s="21" t="s">
        <v>584</v>
      </c>
      <c r="B810" s="40" t="s">
        <v>940</v>
      </c>
      <c r="C810" s="21" t="s">
        <v>244</v>
      </c>
      <c r="D810" s="21" t="s">
        <v>73</v>
      </c>
      <c r="E810" s="21" t="s">
        <v>93</v>
      </c>
      <c r="F810" s="55">
        <v>2.1574886767938264E-4</v>
      </c>
      <c r="G810" s="24">
        <v>0.92773369999999999</v>
      </c>
      <c r="H810" s="24">
        <v>3.5812430000000002</v>
      </c>
      <c r="I810" s="24">
        <v>3.0849410000000002</v>
      </c>
      <c r="J810" s="24">
        <v>2.6114850000000001</v>
      </c>
      <c r="K810" s="24">
        <v>0.31900319999999999</v>
      </c>
      <c r="L810" s="24">
        <v>9.2422970000000007</v>
      </c>
      <c r="M810" s="24">
        <v>2.9222000000000001</v>
      </c>
      <c r="N810" s="24">
        <v>3.2031249999999996</v>
      </c>
      <c r="O810" s="24">
        <v>9.6907216494845354</v>
      </c>
      <c r="P810" s="24">
        <v>3.2124352331606221</v>
      </c>
      <c r="Q810" s="24">
        <v>8.5966412860793486</v>
      </c>
      <c r="R810" s="24" t="e">
        <v>#N/A</v>
      </c>
      <c r="S810" s="24">
        <v>5.300524863125073</v>
      </c>
      <c r="T810" s="24">
        <v>0.64365804540946026</v>
      </c>
      <c r="U810" s="24" t="s">
        <v>3048</v>
      </c>
      <c r="V810">
        <v>0</v>
      </c>
      <c r="W810" s="21">
        <v>1</v>
      </c>
      <c r="X810" s="56" t="str">
        <f>IFERROR(VLOOKUP(A810,Output!A:F,6,0),"-")</f>
        <v>-</v>
      </c>
    </row>
    <row r="811" spans="1:24" hidden="1" x14ac:dyDescent="0.25">
      <c r="A811" s="21" t="s">
        <v>4292</v>
      </c>
      <c r="B811" s="40" t="s">
        <v>4293</v>
      </c>
      <c r="C811" s="21" t="s">
        <v>245</v>
      </c>
      <c r="D811" s="21" t="s">
        <v>73</v>
      </c>
      <c r="E811" s="21" t="s">
        <v>89</v>
      </c>
      <c r="F811" s="55">
        <v>2.1568739666670111E-4</v>
      </c>
      <c r="G811" s="21">
        <v>0</v>
      </c>
      <c r="H811" s="21">
        <v>0</v>
      </c>
      <c r="I811" s="21">
        <v>0</v>
      </c>
      <c r="J811" s="21">
        <v>0</v>
      </c>
      <c r="K811" s="21">
        <v>3.6392229999999999</v>
      </c>
      <c r="L811" s="21">
        <v>3.8312949999999999</v>
      </c>
      <c r="M811" s="21">
        <v>5.2253999999999996</v>
      </c>
      <c r="N811" s="21">
        <v>7.4164492187499995</v>
      </c>
      <c r="O811" s="21">
        <v>2.474226804123711</v>
      </c>
      <c r="P811" s="21">
        <v>9.119170984455959</v>
      </c>
      <c r="Q811" s="21">
        <v>6.1543973420120714</v>
      </c>
      <c r="R811" s="21">
        <v>7.06</v>
      </c>
      <c r="S811" s="21">
        <v>6.1725335831931041</v>
      </c>
      <c r="T811" s="21">
        <v>1.2728799268765347</v>
      </c>
      <c r="U811" s="21" t="s">
        <v>4294</v>
      </c>
      <c r="V811">
        <v>0</v>
      </c>
      <c r="W811" s="21">
        <v>1</v>
      </c>
      <c r="X811" s="56" t="str">
        <f>IFERROR(VLOOKUP(A811,Output!A:F,6,0),"-")</f>
        <v>-</v>
      </c>
    </row>
    <row r="812" spans="1:24" x14ac:dyDescent="0.25">
      <c r="A812" s="21" t="s">
        <v>2580</v>
      </c>
      <c r="B812" s="40" t="s">
        <v>2581</v>
      </c>
      <c r="C812" s="21" t="s">
        <v>253</v>
      </c>
      <c r="D812" s="21" t="s">
        <v>75</v>
      </c>
      <c r="E812" s="21" t="s">
        <v>97</v>
      </c>
      <c r="F812" s="55">
        <v>2.1551726985418975E-4</v>
      </c>
      <c r="G812" s="24">
        <v>5.7998900000000004</v>
      </c>
      <c r="H812" s="24">
        <v>5.8659650000000001</v>
      </c>
      <c r="I812" s="24">
        <v>6.3351059999999997</v>
      </c>
      <c r="J812" s="24">
        <v>6.0271910000000002</v>
      </c>
      <c r="K812" s="24">
        <v>5.220879</v>
      </c>
      <c r="L812" s="24">
        <v>8.2835959999999993</v>
      </c>
      <c r="M812" s="24">
        <v>58.825899999999997</v>
      </c>
      <c r="N812" s="24">
        <v>2.158824824824825</v>
      </c>
      <c r="O812" s="24">
        <v>2.1978021978021975</v>
      </c>
      <c r="P812" s="24">
        <v>6.6949152542372881</v>
      </c>
      <c r="Q812" s="24">
        <v>9.2320028510334993</v>
      </c>
      <c r="R812" s="24">
        <v>4.99</v>
      </c>
      <c r="S812" s="24">
        <v>5.9607277127998852</v>
      </c>
      <c r="T812" s="24">
        <v>0.46149757716881146</v>
      </c>
      <c r="U812" s="24" t="s">
        <v>4003</v>
      </c>
      <c r="V812">
        <v>0</v>
      </c>
      <c r="W812" s="21">
        <v>0</v>
      </c>
      <c r="X812" s="56" t="str">
        <f>IFERROR(VLOOKUP(A812,Output!A:F,6,0),"-")</f>
        <v>-</v>
      </c>
    </row>
    <row r="813" spans="1:24" hidden="1" x14ac:dyDescent="0.25">
      <c r="A813" s="21" t="s">
        <v>272</v>
      </c>
      <c r="B813" s="40" t="s">
        <v>946</v>
      </c>
      <c r="C813" s="21" t="s">
        <v>245</v>
      </c>
      <c r="D813" s="21" t="s">
        <v>73</v>
      </c>
      <c r="E813" s="21" t="s">
        <v>95</v>
      </c>
      <c r="F813" s="55">
        <v>2.1467398011884358E-4</v>
      </c>
      <c r="G813" s="24">
        <v>4.620622</v>
      </c>
      <c r="H813" s="24">
        <v>6.0948989999999998</v>
      </c>
      <c r="I813" s="24">
        <v>2.6181619999999999</v>
      </c>
      <c r="J813" s="24">
        <v>4.3147390000000003</v>
      </c>
      <c r="K813" s="24">
        <v>2.3980809999999999</v>
      </c>
      <c r="L813" s="24">
        <v>7.9842000000000004</v>
      </c>
      <c r="M813" s="24">
        <v>649.16750000000002</v>
      </c>
      <c r="N813" s="24">
        <v>3.5898195455197874</v>
      </c>
      <c r="O813" s="24">
        <v>3.1958762886597936</v>
      </c>
      <c r="P813" s="24">
        <v>4.9163879598662206</v>
      </c>
      <c r="Q813" s="24">
        <v>5.8842539948530712</v>
      </c>
      <c r="R813" s="24">
        <v>3.23</v>
      </c>
      <c r="S813" s="24">
        <v>4.6887569038176897</v>
      </c>
      <c r="T813" s="24">
        <v>0.47847020397420675</v>
      </c>
      <c r="U813" s="24" t="s">
        <v>3086</v>
      </c>
      <c r="V813">
        <v>1</v>
      </c>
      <c r="W813" s="21">
        <v>1</v>
      </c>
      <c r="X813" s="56" t="str">
        <f>IFERROR(VLOOKUP(A813,Output!A:F,6,0),"-")</f>
        <v>-</v>
      </c>
    </row>
    <row r="814" spans="1:24" x14ac:dyDescent="0.25">
      <c r="A814" s="21" t="s">
        <v>1713</v>
      </c>
      <c r="B814" s="40" t="s">
        <v>1714</v>
      </c>
      <c r="C814" s="21" t="s">
        <v>248</v>
      </c>
      <c r="D814" s="21" t="s">
        <v>75</v>
      </c>
      <c r="E814" s="21" t="s">
        <v>103</v>
      </c>
      <c r="F814" s="55">
        <v>2.1359617494886467E-4</v>
      </c>
      <c r="G814" s="21">
        <v>4.9252000000000002</v>
      </c>
      <c r="H814" s="21">
        <v>4.9065310000000002</v>
      </c>
      <c r="I814" s="21">
        <v>2.8516550000000001</v>
      </c>
      <c r="J814" s="21">
        <v>4.2975349999999999</v>
      </c>
      <c r="K814" s="24">
        <v>3.0132560000000002</v>
      </c>
      <c r="L814" s="24">
        <v>19.683499999999999</v>
      </c>
      <c r="M814" s="24">
        <v>23.558800000000002</v>
      </c>
      <c r="N814" s="24">
        <v>7.912837905636013</v>
      </c>
      <c r="O814" s="24">
        <v>8.6021505376344081</v>
      </c>
      <c r="P814" s="24">
        <v>7.1969696969696972</v>
      </c>
      <c r="Q814" s="24">
        <v>8.6617412192749015</v>
      </c>
      <c r="R814" s="24">
        <v>5.54</v>
      </c>
      <c r="S814" s="24">
        <v>7.6328031972633452</v>
      </c>
      <c r="T814" s="24">
        <v>0.45278074729961965</v>
      </c>
      <c r="U814" s="24" t="s">
        <v>3498</v>
      </c>
      <c r="V814">
        <v>0</v>
      </c>
      <c r="W814" s="21">
        <v>1</v>
      </c>
      <c r="X814" s="56" t="str">
        <f>IFERROR(VLOOKUP(A814,Output!A:F,6,0),"-")</f>
        <v>-</v>
      </c>
    </row>
    <row r="815" spans="1:24" x14ac:dyDescent="0.25">
      <c r="A815" s="21" t="s">
        <v>2309</v>
      </c>
      <c r="B815" s="40" t="s">
        <v>2310</v>
      </c>
      <c r="C815" s="21" t="s">
        <v>253</v>
      </c>
      <c r="D815" s="21" t="s">
        <v>75</v>
      </c>
      <c r="E815" s="21" t="s">
        <v>92</v>
      </c>
      <c r="F815" s="55">
        <v>2.1344123982688503E-4</v>
      </c>
      <c r="G815" s="24">
        <v>6</v>
      </c>
      <c r="H815" s="24">
        <v>6</v>
      </c>
      <c r="I815" s="24">
        <v>4.5</v>
      </c>
      <c r="J815" s="24">
        <v>5.55</v>
      </c>
      <c r="K815" s="24">
        <v>7.0306240000000004</v>
      </c>
      <c r="L815" s="24">
        <v>16.987819999999999</v>
      </c>
      <c r="M815" s="24">
        <v>25.781300000000002</v>
      </c>
      <c r="N815" s="24">
        <v>3.124836596566265</v>
      </c>
      <c r="O815" s="24">
        <v>1.5789473684210527</v>
      </c>
      <c r="P815" s="24">
        <v>1.9428575111836563</v>
      </c>
      <c r="Q815" s="24">
        <v>9.964122470268352</v>
      </c>
      <c r="R815" s="24">
        <v>7.17</v>
      </c>
      <c r="S815" s="24">
        <v>6.5709499386338193</v>
      </c>
      <c r="T815" s="24">
        <v>0.52023997672351086</v>
      </c>
      <c r="U815" s="24" t="s">
        <v>3865</v>
      </c>
      <c r="V815">
        <v>1</v>
      </c>
      <c r="W815" s="21">
        <v>0</v>
      </c>
      <c r="X815" s="56" t="str">
        <f>IFERROR(VLOOKUP(A815,Output!A:F,6,0),"-")</f>
        <v>-</v>
      </c>
    </row>
    <row r="816" spans="1:24" hidden="1" x14ac:dyDescent="0.25">
      <c r="A816" s="21" t="s">
        <v>2471</v>
      </c>
      <c r="B816" s="40" t="s">
        <v>2472</v>
      </c>
      <c r="C816" s="21" t="s">
        <v>257</v>
      </c>
      <c r="D816" s="21" t="s">
        <v>74</v>
      </c>
      <c r="E816" s="21" t="s">
        <v>96</v>
      </c>
      <c r="F816" s="55">
        <v>2.1304192976251033E-4</v>
      </c>
      <c r="G816" s="24">
        <v>7.7170769999999997</v>
      </c>
      <c r="H816" s="24">
        <v>6.9437100000000003</v>
      </c>
      <c r="I816" s="24">
        <v>6.9039130000000002</v>
      </c>
      <c r="J816" s="24">
        <v>7.2411180000000002</v>
      </c>
      <c r="K816" s="24">
        <v>0.76366630000000002</v>
      </c>
      <c r="L816" s="24">
        <v>3.2421690000000001</v>
      </c>
      <c r="M816" s="24">
        <v>13.276899999999999</v>
      </c>
      <c r="N816" s="24">
        <v>7.7019212253533205</v>
      </c>
      <c r="O816" s="24">
        <v>5.2631578947368416</v>
      </c>
      <c r="P816" s="24">
        <v>7.914893617021276</v>
      </c>
      <c r="Q816" s="24">
        <v>1.6555695671432493</v>
      </c>
      <c r="R816" s="24">
        <v>1.64</v>
      </c>
      <c r="S816" s="24">
        <v>5.1225648902035745</v>
      </c>
      <c r="T816" s="24">
        <v>0.19762147880570019</v>
      </c>
      <c r="U816" s="24" t="s">
        <v>3935</v>
      </c>
      <c r="V816">
        <v>0</v>
      </c>
      <c r="W816" s="21">
        <v>0</v>
      </c>
      <c r="X816" s="56" t="str">
        <f>IFERROR(VLOOKUP(A816,Output!A:F,6,0),"-")</f>
        <v>-</v>
      </c>
    </row>
    <row r="817" spans="1:24" x14ac:dyDescent="0.25">
      <c r="A817" s="21" t="s">
        <v>1874</v>
      </c>
      <c r="B817" s="40" t="s">
        <v>1875</v>
      </c>
      <c r="C817" s="21" t="s">
        <v>248</v>
      </c>
      <c r="D817" s="21" t="s">
        <v>75</v>
      </c>
      <c r="E817" s="21" t="s">
        <v>92</v>
      </c>
      <c r="F817" s="55">
        <v>2.1222630701323193E-4</v>
      </c>
      <c r="G817" s="24">
        <v>6.9743959999999996</v>
      </c>
      <c r="H817" s="24">
        <v>7.0404640000000001</v>
      </c>
      <c r="I817" s="24">
        <v>3.0642040000000001</v>
      </c>
      <c r="J817" s="24">
        <v>5.8211589999999998</v>
      </c>
      <c r="K817" s="24">
        <v>2.6574409999999999</v>
      </c>
      <c r="L817" s="24">
        <v>15.341699999999999</v>
      </c>
      <c r="M817" s="24">
        <v>15.765599999999999</v>
      </c>
      <c r="N817" s="24">
        <v>10</v>
      </c>
      <c r="O817" s="24">
        <v>9.3684210526315788</v>
      </c>
      <c r="P817" s="24">
        <v>6.3314287391346857</v>
      </c>
      <c r="Q817" s="24">
        <v>8.6054001158343727</v>
      </c>
      <c r="R817" s="24">
        <v>6.33</v>
      </c>
      <c r="S817" s="24">
        <v>7.6238369667039372</v>
      </c>
      <c r="T817" s="24">
        <v>0.54607680842470752</v>
      </c>
      <c r="U817" s="24" t="s">
        <v>3591</v>
      </c>
      <c r="V817">
        <v>0</v>
      </c>
      <c r="W817" s="21">
        <v>0</v>
      </c>
      <c r="X817" s="56">
        <f>IFERROR(VLOOKUP(A817,Output!A:F,6,0),"-")</f>
        <v>9.9999999999999343E-3</v>
      </c>
    </row>
    <row r="818" spans="1:24" hidden="1" x14ac:dyDescent="0.25">
      <c r="A818" s="21" t="s">
        <v>1343</v>
      </c>
      <c r="B818" s="40" t="s">
        <v>1344</v>
      </c>
      <c r="C818" s="21" t="s">
        <v>244</v>
      </c>
      <c r="D818" s="21" t="s">
        <v>73</v>
      </c>
      <c r="E818" s="21" t="s">
        <v>90</v>
      </c>
      <c r="F818" s="55">
        <v>2.1216795482443445E-4</v>
      </c>
      <c r="G818" s="24">
        <v>5.9268749999999999</v>
      </c>
      <c r="H818" s="24">
        <v>7.5359030000000002</v>
      </c>
      <c r="I818" s="24">
        <v>4.0267239999999997</v>
      </c>
      <c r="J818" s="24">
        <v>5.8395380000000001</v>
      </c>
      <c r="K818" s="24">
        <v>3.0787840000000002</v>
      </c>
      <c r="L818" s="24">
        <v>6.5522169999999997</v>
      </c>
      <c r="M818" s="24">
        <v>23.910599999999999</v>
      </c>
      <c r="N818" s="24">
        <v>8.4066330209084352</v>
      </c>
      <c r="O818" s="24">
        <v>5.1546391752577314</v>
      </c>
      <c r="P818" s="24">
        <v>2.2406639004149373</v>
      </c>
      <c r="Q818" s="24">
        <v>5.7283305804624813</v>
      </c>
      <c r="R818" s="24">
        <v>5.78</v>
      </c>
      <c r="S818" s="24">
        <v>5.6026716176287223</v>
      </c>
      <c r="T818" s="24">
        <v>0.471446778987265</v>
      </c>
      <c r="U818" s="24" t="s">
        <v>3359</v>
      </c>
      <c r="V818">
        <v>0</v>
      </c>
      <c r="W818" s="21">
        <v>0</v>
      </c>
      <c r="X818" s="56" t="str">
        <f>IFERROR(VLOOKUP(A818,Output!A:F,6,0),"-")</f>
        <v>-</v>
      </c>
    </row>
    <row r="819" spans="1:24" hidden="1" x14ac:dyDescent="0.25">
      <c r="A819" s="21" t="s">
        <v>4267</v>
      </c>
      <c r="B819" s="40" t="s">
        <v>4268</v>
      </c>
      <c r="C819" s="21" t="s">
        <v>245</v>
      </c>
      <c r="D819" s="21" t="s">
        <v>73</v>
      </c>
      <c r="E819" s="21" t="s">
        <v>99</v>
      </c>
      <c r="F819" s="55">
        <v>2.1180526578889124E-4</v>
      </c>
      <c r="G819" s="24">
        <v>3.7866040000000001</v>
      </c>
      <c r="H819" s="24">
        <v>4.0206010000000001</v>
      </c>
      <c r="I819" s="24">
        <v>3.249136</v>
      </c>
      <c r="J819" s="24">
        <v>3.6955629999999999</v>
      </c>
      <c r="K819" s="24">
        <v>1.46837</v>
      </c>
      <c r="L819" s="24">
        <v>4.8494529999999996</v>
      </c>
      <c r="M819" s="24">
        <v>25.480599999999999</v>
      </c>
      <c r="N819" s="24">
        <v>7.6756118923134871</v>
      </c>
      <c r="O819" s="24">
        <v>8.2291666666666661</v>
      </c>
      <c r="P819" s="24">
        <v>6.1194029850746272</v>
      </c>
      <c r="Q819" s="24">
        <v>2.4023538037541541</v>
      </c>
      <c r="R819" s="24">
        <v>6.27</v>
      </c>
      <c r="S819" s="24">
        <v>5.979783546657961</v>
      </c>
      <c r="T819" s="24">
        <v>0.81033538002344252</v>
      </c>
      <c r="U819" s="24" t="s">
        <v>2975</v>
      </c>
      <c r="V819">
        <v>0</v>
      </c>
      <c r="W819" s="21">
        <v>1</v>
      </c>
      <c r="X819" s="56" t="str">
        <f>IFERROR(VLOOKUP(A819,Output!A:F,6,0),"-")</f>
        <v>-</v>
      </c>
    </row>
    <row r="820" spans="1:24" hidden="1" x14ac:dyDescent="0.25">
      <c r="A820" s="21" t="s">
        <v>1256</v>
      </c>
      <c r="B820" s="40" t="s">
        <v>1257</v>
      </c>
      <c r="C820" s="21" t="s">
        <v>245</v>
      </c>
      <c r="D820" s="21" t="s">
        <v>73</v>
      </c>
      <c r="E820" s="21" t="s">
        <v>100</v>
      </c>
      <c r="F820" s="55">
        <v>2.1147597835107355E-4</v>
      </c>
      <c r="G820" s="24">
        <v>6.5071519999999996</v>
      </c>
      <c r="H820" s="24">
        <v>6.3342239999999999</v>
      </c>
      <c r="I820" s="24">
        <v>3.8479619999999999</v>
      </c>
      <c r="J820" s="24">
        <v>5.5631130000000004</v>
      </c>
      <c r="K820" s="24">
        <v>3.7030180000000001</v>
      </c>
      <c r="L820" s="24">
        <v>7.9418949999999997</v>
      </c>
      <c r="M820" s="24">
        <v>13.135400000000001</v>
      </c>
      <c r="N820" s="24">
        <v>9.0031863805745367</v>
      </c>
      <c r="O820" s="24">
        <v>3.7777777777777772</v>
      </c>
      <c r="P820" s="24">
        <v>5.01547987616099</v>
      </c>
      <c r="Q820" s="24">
        <v>4.6412140956270438</v>
      </c>
      <c r="R820" s="24">
        <v>7.25</v>
      </c>
      <c r="S820" s="24">
        <v>6.5722684574365413</v>
      </c>
      <c r="T820" s="24">
        <v>0.62960047584827261</v>
      </c>
      <c r="U820" s="24" t="s">
        <v>3272</v>
      </c>
      <c r="V820">
        <v>0</v>
      </c>
      <c r="W820" s="21">
        <v>0</v>
      </c>
      <c r="X820" s="56">
        <f>IFERROR(VLOOKUP(A820,Output!A:F,6,0),"-")</f>
        <v>2E-3</v>
      </c>
    </row>
    <row r="821" spans="1:24" hidden="1" x14ac:dyDescent="0.25">
      <c r="A821" s="21" t="s">
        <v>2479</v>
      </c>
      <c r="B821" s="40" t="s">
        <v>2480</v>
      </c>
      <c r="C821" s="21" t="s">
        <v>254</v>
      </c>
      <c r="D821" s="21" t="s">
        <v>74</v>
      </c>
      <c r="E821" s="21" t="s">
        <v>100</v>
      </c>
      <c r="F821" s="55">
        <v>2.1047714985041537E-4</v>
      </c>
      <c r="G821" s="24">
        <v>7.7978430000000003</v>
      </c>
      <c r="H821" s="24">
        <v>8.3949359999999995</v>
      </c>
      <c r="I821" s="24">
        <v>5.5600110000000003</v>
      </c>
      <c r="J821" s="24">
        <v>7.2509300000000003</v>
      </c>
      <c r="K821" s="24">
        <v>4.2145599999999996</v>
      </c>
      <c r="L821" s="24">
        <v>6.1084649999999998</v>
      </c>
      <c r="M821" s="24">
        <v>5.585</v>
      </c>
      <c r="N821" s="24">
        <v>4.1588922154012771</v>
      </c>
      <c r="O821" s="24">
        <v>0</v>
      </c>
      <c r="P821" s="24">
        <v>8.2287822878228774</v>
      </c>
      <c r="Q821" s="24">
        <v>2.5086717524565429</v>
      </c>
      <c r="R821" s="24">
        <v>4.53</v>
      </c>
      <c r="S821" s="24">
        <v>5.2827637547572195</v>
      </c>
      <c r="T821" s="24">
        <v>-0.11331223268650444</v>
      </c>
      <c r="U821" s="24" t="s">
        <v>3969</v>
      </c>
      <c r="V821">
        <v>0</v>
      </c>
      <c r="W821" s="21">
        <v>0</v>
      </c>
      <c r="X821" s="56" t="str">
        <f>IFERROR(VLOOKUP(A821,Output!A:F,6,0),"-")</f>
        <v>-</v>
      </c>
    </row>
    <row r="822" spans="1:24" x14ac:dyDescent="0.25">
      <c r="A822" s="21" t="s">
        <v>2103</v>
      </c>
      <c r="B822" s="40" t="s">
        <v>2104</v>
      </c>
      <c r="C822" s="21" t="s">
        <v>248</v>
      </c>
      <c r="D822" s="21" t="s">
        <v>75</v>
      </c>
      <c r="E822" s="21" t="s">
        <v>103</v>
      </c>
      <c r="F822" s="55">
        <v>2.1020641581583931E-4</v>
      </c>
      <c r="G822" s="24">
        <v>5.0603059999999997</v>
      </c>
      <c r="H822" s="24">
        <v>4.8911949999999997</v>
      </c>
      <c r="I822" s="24">
        <v>1.5187839999999999</v>
      </c>
      <c r="J822" s="24">
        <v>3.9471159999999998</v>
      </c>
      <c r="K822" s="24">
        <v>1.4985710000000001</v>
      </c>
      <c r="L822" s="24">
        <v>9.6268879999999992</v>
      </c>
      <c r="M822" s="24">
        <v>59.012799999999999</v>
      </c>
      <c r="N822" s="24">
        <v>8.1464945206875576</v>
      </c>
      <c r="O822" s="24">
        <v>9.6774193548387082</v>
      </c>
      <c r="P822" s="24">
        <v>1.0984848484848486</v>
      </c>
      <c r="Q822" s="24">
        <v>4.9069488626586937</v>
      </c>
      <c r="R822" s="24">
        <v>4.24</v>
      </c>
      <c r="S822" s="24">
        <v>4.4547669596101063</v>
      </c>
      <c r="T822" s="24">
        <v>0.63627362806348797</v>
      </c>
      <c r="U822" s="24" t="s">
        <v>3717</v>
      </c>
      <c r="V822">
        <v>0</v>
      </c>
      <c r="W822" s="21">
        <v>1</v>
      </c>
      <c r="X822" s="56" t="str">
        <f>IFERROR(VLOOKUP(A822,Output!A:F,6,0),"-")</f>
        <v>-</v>
      </c>
    </row>
    <row r="823" spans="1:24" hidden="1" x14ac:dyDescent="0.25">
      <c r="A823" s="21" t="s">
        <v>1499</v>
      </c>
      <c r="B823" s="40" t="s">
        <v>1500</v>
      </c>
      <c r="C823" s="21" t="s">
        <v>244</v>
      </c>
      <c r="D823" s="21" t="s">
        <v>73</v>
      </c>
      <c r="E823" s="21" t="s">
        <v>98</v>
      </c>
      <c r="F823" s="55">
        <v>2.100357859672176E-4</v>
      </c>
      <c r="G823" s="24">
        <v>4.9652859999999999</v>
      </c>
      <c r="H823" s="24">
        <v>5.362031</v>
      </c>
      <c r="I823" s="24">
        <v>5.8362230000000004</v>
      </c>
      <c r="J823" s="24">
        <v>5.472359</v>
      </c>
      <c r="K823" s="24">
        <v>8.1517230000000005</v>
      </c>
      <c r="L823" s="24">
        <v>12.91001</v>
      </c>
      <c r="M823" s="24">
        <v>14.813599999999999</v>
      </c>
      <c r="N823" s="24">
        <v>1.884162941600577</v>
      </c>
      <c r="O823" s="24">
        <v>0.20618556701030924</v>
      </c>
      <c r="P823" s="24">
        <v>0.33195020746887927</v>
      </c>
      <c r="Q823" s="24">
        <v>8.1748466257668699</v>
      </c>
      <c r="R823" s="24">
        <v>5.13</v>
      </c>
      <c r="S823" s="24">
        <v>4.6046135173588389</v>
      </c>
      <c r="T823" s="24">
        <v>0.96712807794741573</v>
      </c>
      <c r="U823" s="24" t="s">
        <v>3393</v>
      </c>
      <c r="V823">
        <v>0</v>
      </c>
      <c r="W823" s="21">
        <v>0</v>
      </c>
      <c r="X823" s="56" t="str">
        <f>IFERROR(VLOOKUP(A823,Output!A:F,6,0),"-")</f>
        <v>-</v>
      </c>
    </row>
    <row r="824" spans="1:24" hidden="1" x14ac:dyDescent="0.25">
      <c r="A824" s="21" t="s">
        <v>1776</v>
      </c>
      <c r="B824" s="40" t="s">
        <v>1777</v>
      </c>
      <c r="C824" s="21" t="s">
        <v>250</v>
      </c>
      <c r="D824" s="21" t="s">
        <v>76</v>
      </c>
      <c r="E824" s="21" t="s">
        <v>91</v>
      </c>
      <c r="F824" s="55">
        <v>2.0914118654861847E-4</v>
      </c>
      <c r="G824" s="24">
        <v>5.4221519999999996</v>
      </c>
      <c r="H824" s="24">
        <v>5.2080719999999996</v>
      </c>
      <c r="I824" s="24">
        <v>4.6466659999999997</v>
      </c>
      <c r="J824" s="24">
        <v>5.0263260000000001</v>
      </c>
      <c r="K824" s="24">
        <v>1.2245919999999999</v>
      </c>
      <c r="L824" s="24">
        <v>2.605121</v>
      </c>
      <c r="M824" s="24">
        <v>18.952400000000001</v>
      </c>
      <c r="N824" s="24">
        <v>7.7602954409721949</v>
      </c>
      <c r="O824" s="24">
        <v>10</v>
      </c>
      <c r="P824" s="24">
        <v>10</v>
      </c>
      <c r="Q824" s="24">
        <v>0</v>
      </c>
      <c r="R824" s="24">
        <v>4.5</v>
      </c>
      <c r="S824" s="24">
        <v>5.6772023642067788</v>
      </c>
      <c r="T824" s="24">
        <v>0.27151834158711613</v>
      </c>
      <c r="U824" s="24" t="s">
        <v>3533</v>
      </c>
      <c r="V824">
        <v>0</v>
      </c>
      <c r="W824" s="21">
        <v>0</v>
      </c>
      <c r="X824" s="56" t="str">
        <f>IFERROR(VLOOKUP(A824,Output!A:F,6,0),"-")</f>
        <v>-</v>
      </c>
    </row>
    <row r="825" spans="1:24" hidden="1" x14ac:dyDescent="0.25">
      <c r="A825" s="21" t="s">
        <v>2011</v>
      </c>
      <c r="B825" s="40" t="s">
        <v>2012</v>
      </c>
      <c r="C825" s="21" t="s">
        <v>302</v>
      </c>
      <c r="D825" s="21" t="s">
        <v>74</v>
      </c>
      <c r="E825" s="21" t="s">
        <v>88</v>
      </c>
      <c r="F825" s="55">
        <v>2.0792243066052691E-4</v>
      </c>
      <c r="G825" s="24">
        <v>6.889189</v>
      </c>
      <c r="H825" s="24">
        <v>5.3349080000000004</v>
      </c>
      <c r="I825" s="24">
        <v>4.6439729999999999</v>
      </c>
      <c r="J825" s="24">
        <v>5.7493400000000001</v>
      </c>
      <c r="K825" s="24">
        <v>0.66278950000000003</v>
      </c>
      <c r="L825" s="24">
        <v>4.7227709999999998</v>
      </c>
      <c r="M825" s="24">
        <v>58.640099999999997</v>
      </c>
      <c r="N825" s="24">
        <v>6.0493822222222224</v>
      </c>
      <c r="O825" s="24">
        <v>8.3673469387755084</v>
      </c>
      <c r="P825" s="24">
        <v>5.8356164383561646</v>
      </c>
      <c r="Q825" s="24">
        <v>4.0427083582533827</v>
      </c>
      <c r="R825" s="24">
        <v>1.76</v>
      </c>
      <c r="S825" s="24">
        <v>4.3168943546245879</v>
      </c>
      <c r="T825" s="24">
        <v>0.93373570633794567</v>
      </c>
      <c r="U825" s="24" t="s">
        <v>3668</v>
      </c>
      <c r="V825">
        <v>0</v>
      </c>
      <c r="W825" s="21">
        <v>0</v>
      </c>
      <c r="X825" s="56" t="str">
        <f>IFERROR(VLOOKUP(A825,Output!A:F,6,0),"-")</f>
        <v>-</v>
      </c>
    </row>
    <row r="826" spans="1:24" hidden="1" x14ac:dyDescent="0.25">
      <c r="A826" s="21" t="s">
        <v>616</v>
      </c>
      <c r="B826" s="40" t="s">
        <v>1008</v>
      </c>
      <c r="C826" s="21" t="s">
        <v>244</v>
      </c>
      <c r="D826" s="21" t="s">
        <v>73</v>
      </c>
      <c r="E826" s="21" t="s">
        <v>101</v>
      </c>
      <c r="F826" s="55">
        <v>2.0778651030351752E-4</v>
      </c>
      <c r="G826" s="24">
        <v>6.5963649999999996</v>
      </c>
      <c r="H826" s="24">
        <v>3.4614159999999998</v>
      </c>
      <c r="I826" s="24">
        <v>6.6757860000000004</v>
      </c>
      <c r="J826" s="24">
        <v>5.3741539999999999</v>
      </c>
      <c r="K826" s="24">
        <v>6.1549819999999998E-3</v>
      </c>
      <c r="L826" s="24">
        <v>5.5547120000000003</v>
      </c>
      <c r="M826" s="24">
        <v>87.763300000000001</v>
      </c>
      <c r="N826" s="24">
        <v>1.9087832616187943</v>
      </c>
      <c r="O826" s="24">
        <v>4.1836734693877551</v>
      </c>
      <c r="P826" s="24">
        <v>4.3407122015041857</v>
      </c>
      <c r="Q826" s="24">
        <v>6.8437403781139601</v>
      </c>
      <c r="R826" s="24">
        <v>4.33</v>
      </c>
      <c r="S826" s="24">
        <v>4.3245506030048659</v>
      </c>
      <c r="T826" s="24">
        <v>1.5820030168625006</v>
      </c>
      <c r="U826" s="24" t="s">
        <v>3133</v>
      </c>
      <c r="V826">
        <v>0</v>
      </c>
      <c r="W826" s="21">
        <v>0</v>
      </c>
      <c r="X826" s="56" t="str">
        <f>IFERROR(VLOOKUP(A826,Output!A:F,6,0),"-")</f>
        <v>-</v>
      </c>
    </row>
    <row r="827" spans="1:24" hidden="1" x14ac:dyDescent="0.25">
      <c r="A827" s="21" t="s">
        <v>460</v>
      </c>
      <c r="B827" s="40" t="s">
        <v>866</v>
      </c>
      <c r="C827" s="21" t="s">
        <v>244</v>
      </c>
      <c r="D827" s="21" t="s">
        <v>73</v>
      </c>
      <c r="E827" s="21" t="s">
        <v>98</v>
      </c>
      <c r="F827" s="55">
        <v>2.0760119180047439E-4</v>
      </c>
      <c r="G827" s="24">
        <v>5.1495220000000002</v>
      </c>
      <c r="H827" s="24">
        <v>6.2173999999999996</v>
      </c>
      <c r="I827" s="24">
        <v>5.0754780000000004</v>
      </c>
      <c r="J827" s="24">
        <v>5.5470550000000003</v>
      </c>
      <c r="K827" s="24">
        <v>0</v>
      </c>
      <c r="L827" s="24">
        <v>4.2104559999999998</v>
      </c>
      <c r="M827" s="24">
        <v>14.591799999999999</v>
      </c>
      <c r="N827" s="24">
        <v>1.5572207022332272</v>
      </c>
      <c r="O827" s="24">
        <v>5.1020408163265305</v>
      </c>
      <c r="P827" s="24">
        <v>2.5505293264697961</v>
      </c>
      <c r="Q827" s="24">
        <v>4.8975991681274387</v>
      </c>
      <c r="R827" s="24" t="e">
        <v>#N/A</v>
      </c>
      <c r="S827" s="24">
        <v>2.7787005671024714</v>
      </c>
      <c r="T827" s="24">
        <v>1.6000093405588149</v>
      </c>
      <c r="U827" s="24" t="s">
        <v>2995</v>
      </c>
      <c r="V827">
        <v>0</v>
      </c>
      <c r="W827" s="21">
        <v>0</v>
      </c>
      <c r="X827" s="56" t="str">
        <f>IFERROR(VLOOKUP(A827,Output!A:F,6,0),"-")</f>
        <v>-</v>
      </c>
    </row>
    <row r="828" spans="1:24" hidden="1" x14ac:dyDescent="0.25">
      <c r="A828" s="21" t="s">
        <v>480</v>
      </c>
      <c r="B828" s="40" t="s">
        <v>720</v>
      </c>
      <c r="C828" s="21" t="s">
        <v>244</v>
      </c>
      <c r="D828" s="21" t="s">
        <v>73</v>
      </c>
      <c r="E828" s="21" t="s">
        <v>92</v>
      </c>
      <c r="F828" s="55">
        <v>2.0747643884511417E-4</v>
      </c>
      <c r="G828" s="24">
        <v>6.5694900000000001</v>
      </c>
      <c r="H828" s="24">
        <v>2.5842350000000001</v>
      </c>
      <c r="I828" s="24">
        <v>3.6991529999999999</v>
      </c>
      <c r="J828" s="24">
        <v>4.5128120000000003</v>
      </c>
      <c r="K828" s="24">
        <v>0.98561889999999996</v>
      </c>
      <c r="L828" s="24">
        <v>5.9387840000000001</v>
      </c>
      <c r="M828" s="24">
        <v>32.9437</v>
      </c>
      <c r="N828" s="24">
        <v>4.5194119318181833</v>
      </c>
      <c r="O828" s="24">
        <v>6.1616161616161609</v>
      </c>
      <c r="P828" s="24">
        <v>6.0453141254569962</v>
      </c>
      <c r="Q828" s="24">
        <v>5.9810639766392359</v>
      </c>
      <c r="R828" s="24">
        <v>4.3</v>
      </c>
      <c r="S828" s="24">
        <v>5.7689785661478243</v>
      </c>
      <c r="T828" s="24">
        <v>1.3008181634215075</v>
      </c>
      <c r="U828" s="24" t="s">
        <v>2964</v>
      </c>
      <c r="V828">
        <v>0</v>
      </c>
      <c r="W828" s="21">
        <v>1</v>
      </c>
      <c r="X828" s="56" t="str">
        <f>IFERROR(VLOOKUP(A828,Output!A:F,6,0),"-")</f>
        <v>-</v>
      </c>
    </row>
    <row r="829" spans="1:24" hidden="1" x14ac:dyDescent="0.25">
      <c r="A829" s="21" t="s">
        <v>2075</v>
      </c>
      <c r="B829" s="40" t="s">
        <v>2076</v>
      </c>
      <c r="C829" s="21" t="s">
        <v>298</v>
      </c>
      <c r="D829" s="21" t="s">
        <v>74</v>
      </c>
      <c r="E829" s="21" t="s">
        <v>87</v>
      </c>
      <c r="F829" s="55">
        <v>2.0721445763885774E-4</v>
      </c>
      <c r="G829" s="24">
        <v>4.9935150000000004</v>
      </c>
      <c r="H829" s="24">
        <v>5.448626</v>
      </c>
      <c r="I829" s="24">
        <v>5.1963900000000001</v>
      </c>
      <c r="J829" s="24">
        <v>5.2128439999999996</v>
      </c>
      <c r="K829" s="24">
        <v>2.810794</v>
      </c>
      <c r="L829" s="24">
        <v>5.7121230000000001</v>
      </c>
      <c r="M829" s="24">
        <v>108.0086</v>
      </c>
      <c r="N829" s="24">
        <v>6.1450881652104838</v>
      </c>
      <c r="O829" s="24">
        <v>3.4020618556701026</v>
      </c>
      <c r="P829" s="24">
        <v>4.754098360655739</v>
      </c>
      <c r="Q829" s="24">
        <v>3.7435446770532672</v>
      </c>
      <c r="R829" s="24">
        <v>5.51</v>
      </c>
      <c r="S829" s="24">
        <v>5.5056190164611749</v>
      </c>
      <c r="T829" s="24">
        <v>0.41216828358947161</v>
      </c>
      <c r="U829" s="24" t="s">
        <v>3704</v>
      </c>
      <c r="V829">
        <v>0</v>
      </c>
      <c r="W829" s="21">
        <v>0</v>
      </c>
      <c r="X829" s="56" t="str">
        <f>IFERROR(VLOOKUP(A829,Output!A:F,6,0),"-")</f>
        <v>-</v>
      </c>
    </row>
    <row r="830" spans="1:24" hidden="1" x14ac:dyDescent="0.25">
      <c r="A830" s="21" t="s">
        <v>2186</v>
      </c>
      <c r="B830" s="40" t="s">
        <v>2187</v>
      </c>
      <c r="C830" s="21" t="s">
        <v>302</v>
      </c>
      <c r="D830" s="21" t="s">
        <v>74</v>
      </c>
      <c r="E830" s="21" t="s">
        <v>90</v>
      </c>
      <c r="F830" s="55">
        <v>2.0709493625904488E-4</v>
      </c>
      <c r="G830" s="24">
        <v>5.138153</v>
      </c>
      <c r="H830" s="24">
        <v>6.8072220000000003</v>
      </c>
      <c r="I830" s="24">
        <v>6.9057409999999999</v>
      </c>
      <c r="J830" s="24">
        <v>6.1691500000000001</v>
      </c>
      <c r="K830" s="24">
        <v>1.580516</v>
      </c>
      <c r="L830" s="24">
        <v>5.7875110000000003</v>
      </c>
      <c r="M830" s="24">
        <v>100.68380000000001</v>
      </c>
      <c r="N830" s="24">
        <v>3.6696119274374839</v>
      </c>
      <c r="O830" s="24">
        <v>2.8421052631578947</v>
      </c>
      <c r="P830" s="24">
        <v>5.9999999999999982</v>
      </c>
      <c r="Q830" s="24">
        <v>4.4419320296304479</v>
      </c>
      <c r="R830" s="24">
        <v>3.95</v>
      </c>
      <c r="S830" s="24">
        <v>4.6334649028756703</v>
      </c>
      <c r="T830" s="24">
        <v>0.15345359651284585</v>
      </c>
      <c r="U830" s="24" t="s">
        <v>3766</v>
      </c>
      <c r="V830">
        <v>0</v>
      </c>
      <c r="W830" s="21">
        <v>0</v>
      </c>
      <c r="X830" s="56" t="str">
        <f>IFERROR(VLOOKUP(A830,Output!A:F,6,0),"-")</f>
        <v>-</v>
      </c>
    </row>
    <row r="831" spans="1:24" hidden="1" x14ac:dyDescent="0.25">
      <c r="A831" s="21" t="s">
        <v>4411</v>
      </c>
      <c r="B831" s="40" t="s">
        <v>4481</v>
      </c>
      <c r="C831" s="21" t="s">
        <v>244</v>
      </c>
      <c r="D831" s="21" t="s">
        <v>73</v>
      </c>
      <c r="E831" s="21" t="s">
        <v>98</v>
      </c>
      <c r="F831" s="55">
        <v>2.0695116853871446E-4</v>
      </c>
      <c r="G831" s="21">
        <v>5.1654400000000003</v>
      </c>
      <c r="H831" s="21">
        <v>4.5763780000000001</v>
      </c>
      <c r="I831" s="21">
        <v>5.2136810000000002</v>
      </c>
      <c r="J831" s="21">
        <v>4.9491110000000003</v>
      </c>
      <c r="K831" s="24">
        <v>2.0266250000000001</v>
      </c>
      <c r="L831" s="24">
        <v>8.5701459999999994</v>
      </c>
      <c r="M831" s="24">
        <v>30.0291</v>
      </c>
      <c r="N831" s="24">
        <v>6.8940049652035427</v>
      </c>
      <c r="O831" s="24">
        <v>8.3673469387755102</v>
      </c>
      <c r="P831" s="24">
        <v>8.9027911411079543</v>
      </c>
      <c r="Q831" s="24">
        <v>4.8476500576857093</v>
      </c>
      <c r="R831" s="24">
        <v>7.76</v>
      </c>
      <c r="S831" s="24">
        <v>6.8840011630127673</v>
      </c>
      <c r="T831" s="24">
        <v>0.86212840849764472</v>
      </c>
      <c r="U831" s="24" t="s">
        <v>4482</v>
      </c>
      <c r="V831">
        <v>0</v>
      </c>
      <c r="W831" s="21">
        <v>0</v>
      </c>
      <c r="X831" s="56">
        <f>IFERROR(VLOOKUP(A831,Output!A:F,6,0),"-")</f>
        <v>7.4999999999999997E-3</v>
      </c>
    </row>
    <row r="832" spans="1:24" hidden="1" x14ac:dyDescent="0.25">
      <c r="A832" s="21" t="s">
        <v>2428</v>
      </c>
      <c r="B832" s="40" t="s">
        <v>2429</v>
      </c>
      <c r="C832" s="21" t="s">
        <v>254</v>
      </c>
      <c r="D832" s="21" t="s">
        <v>74</v>
      </c>
      <c r="E832" s="21" t="s">
        <v>90</v>
      </c>
      <c r="F832" s="55">
        <v>2.066602124525034E-4</v>
      </c>
      <c r="G832" s="21">
        <v>5.6822590000000002</v>
      </c>
      <c r="H832" s="21">
        <v>4.6023170000000002</v>
      </c>
      <c r="I832" s="21">
        <v>4.938129</v>
      </c>
      <c r="J832" s="21">
        <v>5.1350369999999996</v>
      </c>
      <c r="K832" s="24">
        <v>1.395054</v>
      </c>
      <c r="L832" s="24">
        <v>2.6121319999999999</v>
      </c>
      <c r="M832" s="24">
        <v>34.697000000000003</v>
      </c>
      <c r="N832" s="24">
        <v>6.1383716024609312</v>
      </c>
      <c r="O832" s="24">
        <v>6.3157894736842106</v>
      </c>
      <c r="P832" s="24">
        <v>8.2553191489361701</v>
      </c>
      <c r="Q832" s="24">
        <v>0.69020067887856484</v>
      </c>
      <c r="R832" s="24">
        <v>4.0599999999999996</v>
      </c>
      <c r="S832" s="24">
        <v>4.680584030436278</v>
      </c>
      <c r="T832" s="24">
        <v>0.23288523358433846</v>
      </c>
      <c r="U832" s="24" t="s">
        <v>3905</v>
      </c>
      <c r="V832">
        <v>0</v>
      </c>
      <c r="W832" s="21">
        <v>0</v>
      </c>
      <c r="X832" s="56" t="str">
        <f>IFERROR(VLOOKUP(A832,Output!A:F,6,0),"-")</f>
        <v>-</v>
      </c>
    </row>
    <row r="833" spans="1:24" hidden="1" x14ac:dyDescent="0.25">
      <c r="A833" s="21" t="s">
        <v>458</v>
      </c>
      <c r="B833" s="40" t="s">
        <v>849</v>
      </c>
      <c r="C833" s="21" t="s">
        <v>244</v>
      </c>
      <c r="D833" s="21" t="s">
        <v>73</v>
      </c>
      <c r="E833" s="21" t="s">
        <v>89</v>
      </c>
      <c r="F833" s="55">
        <v>2.0631694061081873E-4</v>
      </c>
      <c r="G833" s="21">
        <v>5.0347600000000003</v>
      </c>
      <c r="H833" s="21">
        <v>5.2732929999999998</v>
      </c>
      <c r="I833" s="21">
        <v>5.2857820000000002</v>
      </c>
      <c r="J833" s="21">
        <v>5.2061039999999998</v>
      </c>
      <c r="K833" s="24">
        <v>2.4705080000000001</v>
      </c>
      <c r="L833" s="24">
        <v>18.53905</v>
      </c>
      <c r="M833" s="24">
        <v>2.2869999999999999</v>
      </c>
      <c r="N833" s="24">
        <v>7.5021705729166666</v>
      </c>
      <c r="O833" s="24">
        <v>6.288659793814432</v>
      </c>
      <c r="P833" s="24">
        <v>5.4404145077720214</v>
      </c>
      <c r="Q833" s="24">
        <v>9.3762847609373203</v>
      </c>
      <c r="R833" s="24">
        <v>5.0199999999999996</v>
      </c>
      <c r="S833" s="24">
        <v>7.0672542860237488</v>
      </c>
      <c r="T833" s="24">
        <v>1.2700107698239822</v>
      </c>
      <c r="U833" s="24" t="s">
        <v>2949</v>
      </c>
      <c r="V833">
        <v>0</v>
      </c>
      <c r="W833" s="21">
        <v>0</v>
      </c>
      <c r="X833" s="56">
        <f>IFERROR(VLOOKUP(A833,Output!A:F,6,0),"-")</f>
        <v>7.4999999999997985E-3</v>
      </c>
    </row>
    <row r="834" spans="1:24" hidden="1" x14ac:dyDescent="0.25">
      <c r="A834" s="21" t="s">
        <v>452</v>
      </c>
      <c r="B834" s="40" t="s">
        <v>857</v>
      </c>
      <c r="C834" s="21" t="s">
        <v>244</v>
      </c>
      <c r="D834" s="21" t="s">
        <v>73</v>
      </c>
      <c r="E834" s="21" t="s">
        <v>91</v>
      </c>
      <c r="F834" s="55">
        <v>2.0577788711499616E-4</v>
      </c>
      <c r="G834" s="24">
        <v>4.0610179999999998</v>
      </c>
      <c r="H834" s="24">
        <v>5.5282140000000002</v>
      </c>
      <c r="I834" s="24">
        <v>4.9896450000000003</v>
      </c>
      <c r="J834" s="24">
        <v>5.0193469999999998</v>
      </c>
      <c r="K834" s="24">
        <v>0</v>
      </c>
      <c r="L834" s="24">
        <v>3.9349880000000002</v>
      </c>
      <c r="M834" s="24">
        <v>21.418700000000001</v>
      </c>
      <c r="N834" s="24">
        <v>9.3088400175577473</v>
      </c>
      <c r="O834" s="24">
        <v>8.3838383838383841</v>
      </c>
      <c r="P834" s="24">
        <v>9.0332640372837254</v>
      </c>
      <c r="Q834" s="24">
        <v>1.7007836927417728</v>
      </c>
      <c r="R834" s="24" t="e">
        <v>#N/A</v>
      </c>
      <c r="S834" s="24">
        <v>5.8269238017879266</v>
      </c>
      <c r="T834" s="24">
        <v>0.50673661293411598</v>
      </c>
      <c r="U834" s="24" t="s">
        <v>2961</v>
      </c>
      <c r="V834">
        <v>0</v>
      </c>
      <c r="W834" s="21">
        <v>0</v>
      </c>
      <c r="X834" s="56" t="str">
        <f>IFERROR(VLOOKUP(A834,Output!A:F,6,0),"-")</f>
        <v>-</v>
      </c>
    </row>
    <row r="835" spans="1:24" x14ac:dyDescent="0.25">
      <c r="A835" s="21" t="s">
        <v>658</v>
      </c>
      <c r="B835" s="40" t="s">
        <v>659</v>
      </c>
      <c r="C835" s="21" t="s">
        <v>248</v>
      </c>
      <c r="D835" s="21" t="s">
        <v>75</v>
      </c>
      <c r="E835" s="21" t="s">
        <v>91</v>
      </c>
      <c r="F835" s="55">
        <v>2.0563411939466571E-4</v>
      </c>
      <c r="G835" s="24">
        <v>6.9168010000000004</v>
      </c>
      <c r="H835" s="24">
        <v>6.7681370000000003</v>
      </c>
      <c r="I835" s="24">
        <v>5.2818209999999999</v>
      </c>
      <c r="J835" s="24">
        <v>6.2033430000000003</v>
      </c>
      <c r="K835" s="24">
        <v>1.987579</v>
      </c>
      <c r="L835" s="24">
        <v>8.1263620000000003</v>
      </c>
      <c r="M835" s="24">
        <v>38.559699999999999</v>
      </c>
      <c r="N835" s="24">
        <v>3.8784812606184804</v>
      </c>
      <c r="O835" s="24">
        <v>7.051282051282052</v>
      </c>
      <c r="P835" s="24">
        <v>7.6377952755905509</v>
      </c>
      <c r="Q835" s="24">
        <v>7.7619908957074033</v>
      </c>
      <c r="R835" s="24">
        <v>6.55</v>
      </c>
      <c r="S835" s="24">
        <v>7.2311189623232579</v>
      </c>
      <c r="T835" s="24">
        <v>0.10502145117008896</v>
      </c>
      <c r="U835" s="24" t="s">
        <v>2827</v>
      </c>
      <c r="V835">
        <v>0</v>
      </c>
      <c r="W835" s="21">
        <v>0</v>
      </c>
      <c r="X835" s="56">
        <f>IFERROR(VLOOKUP(A835,Output!A:F,6,0),"-")</f>
        <v>3.7515336595109693E-3</v>
      </c>
    </row>
    <row r="836" spans="1:24" hidden="1" x14ac:dyDescent="0.25">
      <c r="A836" s="21" t="s">
        <v>1746</v>
      </c>
      <c r="B836" s="40" t="s">
        <v>1747</v>
      </c>
      <c r="C836" s="21" t="s">
        <v>250</v>
      </c>
      <c r="D836" s="21" t="s">
        <v>76</v>
      </c>
      <c r="E836" s="21" t="s">
        <v>93</v>
      </c>
      <c r="F836" s="55">
        <v>2.055686240931016E-4</v>
      </c>
      <c r="G836" s="24">
        <v>4.6071999999999997</v>
      </c>
      <c r="H836" s="24">
        <v>5.3318760000000003</v>
      </c>
      <c r="I836" s="24">
        <v>6.902679</v>
      </c>
      <c r="J836" s="24">
        <v>5.6642539999999997</v>
      </c>
      <c r="K836" s="24">
        <v>4.5213089999999996</v>
      </c>
      <c r="L836" s="24">
        <v>7.7892770000000002</v>
      </c>
      <c r="M836" s="24">
        <v>2.4369000000000001</v>
      </c>
      <c r="N836" s="24">
        <v>7.651019650655023</v>
      </c>
      <c r="O836" s="24">
        <v>5.5952380952380967</v>
      </c>
      <c r="P836" s="24">
        <v>3.7241381878715982</v>
      </c>
      <c r="Q836" s="24">
        <v>4.6725239616613417</v>
      </c>
      <c r="R836" s="24">
        <v>4.8600000000000003</v>
      </c>
      <c r="S836" s="24">
        <v>5.6767058004119351</v>
      </c>
      <c r="T836" s="24">
        <v>0.26293910468959336</v>
      </c>
      <c r="U836" s="24" t="s">
        <v>3549</v>
      </c>
      <c r="V836">
        <v>0</v>
      </c>
      <c r="W836" s="21">
        <v>0</v>
      </c>
      <c r="X836" s="56" t="str">
        <f>IFERROR(VLOOKUP(A836,Output!A:F,6,0),"-")</f>
        <v>-</v>
      </c>
    </row>
    <row r="837" spans="1:24" hidden="1" x14ac:dyDescent="0.25">
      <c r="A837" s="21" t="s">
        <v>2330</v>
      </c>
      <c r="B837" s="40" t="s">
        <v>2331</v>
      </c>
      <c r="C837" s="21" t="s">
        <v>305</v>
      </c>
      <c r="D837" s="21" t="s">
        <v>74</v>
      </c>
      <c r="E837" s="21" t="s">
        <v>90</v>
      </c>
      <c r="F837" s="55">
        <v>2.0551892412540166E-4</v>
      </c>
      <c r="G837" s="24">
        <v>5.8027160000000002</v>
      </c>
      <c r="H837" s="24">
        <v>5.1547749999999999</v>
      </c>
      <c r="I837" s="24">
        <v>4.0347289999999996</v>
      </c>
      <c r="J837" s="24">
        <v>5.0779379999999996</v>
      </c>
      <c r="K837" s="24">
        <v>2.8960560000000002</v>
      </c>
      <c r="L837" s="24">
        <v>6.3991379999999998</v>
      </c>
      <c r="M837" s="24">
        <v>88.708799999999997</v>
      </c>
      <c r="N837" s="24">
        <v>3.4989328557715851</v>
      </c>
      <c r="O837" s="24">
        <v>2.6315789473684208</v>
      </c>
      <c r="P837" s="24">
        <v>7.914893617021276</v>
      </c>
      <c r="Q837" s="24">
        <v>4.924259192396975</v>
      </c>
      <c r="R837" s="24">
        <v>4.24</v>
      </c>
      <c r="S837" s="24">
        <v>5.9615984996046585</v>
      </c>
      <c r="T837" s="24">
        <v>6.0157506613690737E-2</v>
      </c>
      <c r="U837" s="24" t="s">
        <v>3843</v>
      </c>
      <c r="V837">
        <v>0</v>
      </c>
      <c r="W837" s="21">
        <v>0</v>
      </c>
      <c r="X837" s="56">
        <f>IFERROR(VLOOKUP(A837,Output!A:F,6,0),"-")</f>
        <v>3.717062436534844E-3</v>
      </c>
    </row>
    <row r="838" spans="1:24" hidden="1" x14ac:dyDescent="0.25">
      <c r="A838" s="21" t="s">
        <v>456</v>
      </c>
      <c r="B838" s="40" t="s">
        <v>705</v>
      </c>
      <c r="C838" s="21" t="s">
        <v>244</v>
      </c>
      <c r="D838" s="21" t="s">
        <v>73</v>
      </c>
      <c r="E838" s="21" t="s">
        <v>92</v>
      </c>
      <c r="F838" s="55">
        <v>2.0517464621149631E-4</v>
      </c>
      <c r="G838" s="24">
        <v>5.0905930000000001</v>
      </c>
      <c r="H838" s="24">
        <v>4.6041800000000004</v>
      </c>
      <c r="I838" s="24">
        <v>7.3951779999999996</v>
      </c>
      <c r="J838" s="24">
        <v>5.69665</v>
      </c>
      <c r="K838" s="24">
        <v>2.295515</v>
      </c>
      <c r="L838" s="24">
        <v>5.7205919999999999</v>
      </c>
      <c r="M838" s="24">
        <v>533.19989999999996</v>
      </c>
      <c r="N838" s="24">
        <v>5.6818181818181872E-2</v>
      </c>
      <c r="O838" s="24">
        <v>5.6565656565656566</v>
      </c>
      <c r="P838" s="24">
        <v>2.7085479188113371</v>
      </c>
      <c r="Q838" s="24">
        <v>8.6058752322803294</v>
      </c>
      <c r="R838" s="24">
        <v>4.5</v>
      </c>
      <c r="S838" s="24">
        <v>4.4560627777562978</v>
      </c>
      <c r="T838" s="24">
        <v>0.93654009673744687</v>
      </c>
      <c r="U838" s="24" t="s">
        <v>2926</v>
      </c>
      <c r="V838">
        <v>0</v>
      </c>
      <c r="W838" s="21">
        <v>0</v>
      </c>
      <c r="X838" s="56" t="str">
        <f>IFERROR(VLOOKUP(A838,Output!A:F,6,0),"-")</f>
        <v>-</v>
      </c>
    </row>
    <row r="839" spans="1:24" hidden="1" x14ac:dyDescent="0.25">
      <c r="A839" s="21" t="s">
        <v>4304</v>
      </c>
      <c r="B839" s="40" t="s">
        <v>4305</v>
      </c>
      <c r="C839" s="21" t="s">
        <v>244</v>
      </c>
      <c r="D839" s="21" t="s">
        <v>73</v>
      </c>
      <c r="E839" s="21" t="s">
        <v>97</v>
      </c>
      <c r="F839" s="55">
        <v>2.0432059150338921E-4</v>
      </c>
      <c r="G839" s="24">
        <v>5.17577</v>
      </c>
      <c r="H839" s="24">
        <v>6.2990120000000003</v>
      </c>
      <c r="I839" s="24">
        <v>5.6399809999999997</v>
      </c>
      <c r="J839" s="24">
        <v>5.5861020000000003</v>
      </c>
      <c r="K839" s="24">
        <v>5.167637</v>
      </c>
      <c r="L839" s="24">
        <v>3.5150809999999999</v>
      </c>
      <c r="M839" s="24">
        <v>40.740200000000002</v>
      </c>
      <c r="N839" s="24">
        <v>3.8943887963054791</v>
      </c>
      <c r="O839" s="24">
        <v>7.1134020618556697</v>
      </c>
      <c r="P839" s="24">
        <v>3.3181818181818192</v>
      </c>
      <c r="Q839" s="24">
        <v>7.8409889029358055</v>
      </c>
      <c r="R839" s="24">
        <v>4.84</v>
      </c>
      <c r="S839" s="24">
        <v>5.6251532553605204</v>
      </c>
      <c r="T839" s="24">
        <v>0.98171896514246781</v>
      </c>
      <c r="U839" s="24" t="s">
        <v>4306</v>
      </c>
      <c r="V839">
        <v>0</v>
      </c>
      <c r="W839" s="21">
        <v>0</v>
      </c>
      <c r="X839" s="56" t="str">
        <f>IFERROR(VLOOKUP(A839,Output!A:F,6,0),"-")</f>
        <v>-</v>
      </c>
    </row>
    <row r="840" spans="1:24" hidden="1" x14ac:dyDescent="0.25">
      <c r="A840" s="21" t="s">
        <v>4555</v>
      </c>
      <c r="B840" s="40" t="s">
        <v>4556</v>
      </c>
      <c r="C840" s="21" t="s">
        <v>244</v>
      </c>
      <c r="D840" s="21" t="s">
        <v>73</v>
      </c>
      <c r="E840" s="21" t="s">
        <v>99</v>
      </c>
      <c r="F840" s="55">
        <v>2.0338333462263466E-4</v>
      </c>
      <c r="G840" s="24">
        <v>0</v>
      </c>
      <c r="H840" s="24">
        <v>2.8636439999999999</v>
      </c>
      <c r="I840" s="24">
        <v>0</v>
      </c>
      <c r="J840" s="24">
        <v>0.95454819999999996</v>
      </c>
      <c r="K840" s="24">
        <v>0</v>
      </c>
      <c r="L840" s="24">
        <v>6.4494990000000003</v>
      </c>
      <c r="M840" s="24" t="e">
        <v>#N/A</v>
      </c>
      <c r="N840" s="24">
        <v>8.591161293698601</v>
      </c>
      <c r="O840" s="24">
        <v>9.8958333333333339</v>
      </c>
      <c r="P840" s="24">
        <v>7.3134328358208958</v>
      </c>
      <c r="Q840" s="24">
        <v>2.2135036313794916</v>
      </c>
      <c r="R840" s="24" t="e">
        <v>#N/A</v>
      </c>
      <c r="S840" s="24">
        <v>5.2159789541810797</v>
      </c>
      <c r="T840" s="24">
        <v>2.137089063301413</v>
      </c>
      <c r="U840" s="24" t="s">
        <v>4557</v>
      </c>
      <c r="V840">
        <v>0</v>
      </c>
      <c r="W840" s="21">
        <v>1</v>
      </c>
      <c r="X840" s="56" t="str">
        <f>IFERROR(VLOOKUP(A840,Output!A:F,6,0),"-")</f>
        <v>-</v>
      </c>
    </row>
    <row r="841" spans="1:24" hidden="1" x14ac:dyDescent="0.25">
      <c r="A841" s="21" t="s">
        <v>1114</v>
      </c>
      <c r="B841" s="40" t="s">
        <v>1115</v>
      </c>
      <c r="C841" s="21" t="s">
        <v>244</v>
      </c>
      <c r="D841" s="21" t="s">
        <v>73</v>
      </c>
      <c r="E841" s="21" t="s">
        <v>98</v>
      </c>
      <c r="F841" s="55">
        <v>2.0324751487284733E-4</v>
      </c>
      <c r="G841" s="24">
        <v>3.5841789999999998</v>
      </c>
      <c r="H841" s="24">
        <v>3.038729</v>
      </c>
      <c r="I841" s="24">
        <v>3.9930720000000002</v>
      </c>
      <c r="J841" s="24">
        <v>3.543212</v>
      </c>
      <c r="K841" s="24">
        <v>1.3444830000000001</v>
      </c>
      <c r="L841" s="24">
        <v>2.3609650000000002</v>
      </c>
      <c r="M841" s="24">
        <v>17.030899999999999</v>
      </c>
      <c r="N841" s="24">
        <v>5.2744937119077218</v>
      </c>
      <c r="O841" s="24">
        <v>4.6938775510204085</v>
      </c>
      <c r="P841" s="24">
        <v>7.8633301168944385</v>
      </c>
      <c r="Q841" s="24">
        <v>0.77350882195584458</v>
      </c>
      <c r="R841" s="24">
        <v>6.88</v>
      </c>
      <c r="S841" s="24">
        <v>4.6352712764774564</v>
      </c>
      <c r="T841" s="24">
        <v>0.66460496665655766</v>
      </c>
      <c r="U841" s="24" t="s">
        <v>3223</v>
      </c>
      <c r="V841">
        <v>0</v>
      </c>
      <c r="W841" s="21">
        <v>1</v>
      </c>
      <c r="X841" s="56" t="str">
        <f>IFERROR(VLOOKUP(A841,Output!A:F,6,0),"-")</f>
        <v>-</v>
      </c>
    </row>
    <row r="842" spans="1:24" x14ac:dyDescent="0.25">
      <c r="A842" s="21" t="s">
        <v>1460</v>
      </c>
      <c r="B842" s="40" t="s">
        <v>1461</v>
      </c>
      <c r="C842" s="21" t="s">
        <v>248</v>
      </c>
      <c r="D842" s="21" t="s">
        <v>75</v>
      </c>
      <c r="E842" s="21" t="s">
        <v>87</v>
      </c>
      <c r="F842" s="55">
        <v>2.0256248029780892E-4</v>
      </c>
      <c r="G842" s="24">
        <v>5.1757280000000003</v>
      </c>
      <c r="H842" s="24">
        <v>3.68438</v>
      </c>
      <c r="I842" s="24">
        <v>1.943935</v>
      </c>
      <c r="J842" s="24">
        <v>3.6013480000000002</v>
      </c>
      <c r="K842" s="24">
        <v>1.863205</v>
      </c>
      <c r="L842" s="24">
        <v>7.5982320000000003</v>
      </c>
      <c r="M842" s="24">
        <v>122.3254</v>
      </c>
      <c r="N842" s="24">
        <v>5.5705573770491803</v>
      </c>
      <c r="O842" s="24">
        <v>10</v>
      </c>
      <c r="P842" s="24">
        <v>10</v>
      </c>
      <c r="Q842" s="24">
        <v>4.4488301437188182</v>
      </c>
      <c r="R842" s="24">
        <v>5.2</v>
      </c>
      <c r="S842" s="24">
        <v>5.8982610044781989</v>
      </c>
      <c r="T842" s="24">
        <v>0.60218931297441536</v>
      </c>
      <c r="U842" s="24" t="s">
        <v>3377</v>
      </c>
      <c r="V842">
        <v>0</v>
      </c>
      <c r="W842" s="21">
        <v>1</v>
      </c>
      <c r="X842" s="56" t="str">
        <f>IFERROR(VLOOKUP(A842,Output!A:F,6,0),"-")</f>
        <v>-</v>
      </c>
    </row>
    <row r="843" spans="1:24" hidden="1" x14ac:dyDescent="0.25">
      <c r="A843" s="21" t="s">
        <v>461</v>
      </c>
      <c r="B843" s="40" t="s">
        <v>875</v>
      </c>
      <c r="C843" s="21" t="s">
        <v>244</v>
      </c>
      <c r="D843" s="21" t="s">
        <v>73</v>
      </c>
      <c r="E843" s="21" t="s">
        <v>90</v>
      </c>
      <c r="F843" s="55">
        <v>2.0175893041517829E-4</v>
      </c>
      <c r="G843" s="21">
        <v>4.0405259999999998</v>
      </c>
      <c r="H843" s="21">
        <v>4.3801410000000001</v>
      </c>
      <c r="I843" s="21">
        <v>4.6427490000000002</v>
      </c>
      <c r="J843" s="21">
        <v>4.3230769999999996</v>
      </c>
      <c r="K843" s="21">
        <v>2.555469</v>
      </c>
      <c r="L843" s="21">
        <v>9.4968570000000003</v>
      </c>
      <c r="M843" s="21">
        <v>104.9225</v>
      </c>
      <c r="N843" s="21">
        <v>2.1725551550108149</v>
      </c>
      <c r="O843" s="21">
        <v>9.7938144329896897</v>
      </c>
      <c r="P843" s="21">
        <v>0.5394190871369291</v>
      </c>
      <c r="Q843" s="21">
        <v>8.8874469089193013</v>
      </c>
      <c r="R843" s="21">
        <v>4.25</v>
      </c>
      <c r="S843" s="21">
        <v>4.8851392794799677</v>
      </c>
      <c r="T843" s="21">
        <v>0.47837406129912668</v>
      </c>
      <c r="U843" s="21" t="s">
        <v>3030</v>
      </c>
      <c r="V843">
        <v>0</v>
      </c>
      <c r="W843" s="21">
        <v>1</v>
      </c>
      <c r="X843" s="56" t="str">
        <f>IFERROR(VLOOKUP(A843,Output!A:F,6,0),"-")</f>
        <v>-</v>
      </c>
    </row>
    <row r="844" spans="1:24" hidden="1" x14ac:dyDescent="0.25">
      <c r="A844" s="21" t="s">
        <v>599</v>
      </c>
      <c r="B844" s="40" t="s">
        <v>880</v>
      </c>
      <c r="C844" s="21" t="s">
        <v>244</v>
      </c>
      <c r="D844" s="21" t="s">
        <v>73</v>
      </c>
      <c r="E844" s="21" t="s">
        <v>99</v>
      </c>
      <c r="F844" s="55">
        <v>2.0157139855324973E-4</v>
      </c>
      <c r="G844" s="24">
        <v>2.4830179999999999</v>
      </c>
      <c r="H844" s="24">
        <v>4.2068300000000001</v>
      </c>
      <c r="I844" s="24">
        <v>6.5422260000000003</v>
      </c>
      <c r="J844" s="24">
        <v>4.4106909999999999</v>
      </c>
      <c r="K844" s="24">
        <v>2.3024010000000001</v>
      </c>
      <c r="L844" s="24">
        <v>11.467599999999999</v>
      </c>
      <c r="M844" s="24">
        <v>19.653400000000001</v>
      </c>
      <c r="N844" s="24">
        <v>3.8022895660844163</v>
      </c>
      <c r="O844" s="24">
        <v>2.604166666666667</v>
      </c>
      <c r="P844" s="24">
        <v>5.1044776119402986</v>
      </c>
      <c r="Q844" s="24">
        <v>7.7128413744053699</v>
      </c>
      <c r="R844" s="24">
        <v>6.63</v>
      </c>
      <c r="S844" s="24">
        <v>6.7139705404718182</v>
      </c>
      <c r="T844" s="24">
        <v>1.1940201713781327</v>
      </c>
      <c r="U844" s="24" t="s">
        <v>3003</v>
      </c>
      <c r="V844">
        <v>0</v>
      </c>
      <c r="W844" s="21">
        <v>1</v>
      </c>
      <c r="X844" s="56" t="str">
        <f>IFERROR(VLOOKUP(A844,Output!A:F,6,0),"-")</f>
        <v>-</v>
      </c>
    </row>
    <row r="845" spans="1:24" hidden="1" x14ac:dyDescent="0.25">
      <c r="A845" s="21" t="s">
        <v>2073</v>
      </c>
      <c r="B845" s="40" t="s">
        <v>2074</v>
      </c>
      <c r="C845" s="21" t="s">
        <v>257</v>
      </c>
      <c r="D845" s="21" t="s">
        <v>74</v>
      </c>
      <c r="E845" s="21" t="s">
        <v>92</v>
      </c>
      <c r="F845" s="55">
        <v>2.0125166880152816E-4</v>
      </c>
      <c r="G845" s="24">
        <v>5.2783579999999999</v>
      </c>
      <c r="H845" s="24">
        <v>7.1470919999999998</v>
      </c>
      <c r="I845" s="24">
        <v>6.886247</v>
      </c>
      <c r="J845" s="24">
        <v>6.321345</v>
      </c>
      <c r="K845" s="24">
        <v>1.4841679999999999</v>
      </c>
      <c r="L845" s="24">
        <v>6.2265079999999999</v>
      </c>
      <c r="M845" s="24">
        <v>22.110800000000001</v>
      </c>
      <c r="N845" s="24">
        <v>4.5555555555555562</v>
      </c>
      <c r="O845" s="24">
        <v>3.2653061224489792</v>
      </c>
      <c r="P845" s="24">
        <v>0</v>
      </c>
      <c r="Q845" s="24">
        <v>3.3436695580109541</v>
      </c>
      <c r="R845" s="24">
        <v>3.99</v>
      </c>
      <c r="S845" s="24">
        <v>3.4985016781373321</v>
      </c>
      <c r="T845" s="24">
        <v>0.38106820176832673</v>
      </c>
      <c r="U845" s="24" t="s">
        <v>3703</v>
      </c>
      <c r="V845">
        <v>0</v>
      </c>
      <c r="W845" s="21">
        <v>0</v>
      </c>
      <c r="X845" s="56" t="str">
        <f>IFERROR(VLOOKUP(A845,Output!A:F,6,0),"-")</f>
        <v>-</v>
      </c>
    </row>
    <row r="846" spans="1:24" hidden="1" x14ac:dyDescent="0.25">
      <c r="A846" s="21" t="s">
        <v>643</v>
      </c>
      <c r="B846" s="40" t="s">
        <v>1024</v>
      </c>
      <c r="C846" s="21" t="s">
        <v>244</v>
      </c>
      <c r="D846" s="21" t="s">
        <v>73</v>
      </c>
      <c r="E846" s="21" t="s">
        <v>90</v>
      </c>
      <c r="F846" s="55">
        <v>2.0122862974767536E-4</v>
      </c>
      <c r="G846" s="24">
        <v>5.4165599999999996</v>
      </c>
      <c r="H846" s="24">
        <v>4.8278759999999998</v>
      </c>
      <c r="I846" s="24">
        <v>4.6739459999999999</v>
      </c>
      <c r="J846" s="24">
        <v>5.0171700000000001</v>
      </c>
      <c r="K846" s="24">
        <v>3.4248630000000002</v>
      </c>
      <c r="L846" s="24">
        <v>6.3831090000000001</v>
      </c>
      <c r="M846" s="24">
        <v>56.414000000000001</v>
      </c>
      <c r="N846" s="24">
        <v>2.2326359048305697</v>
      </c>
      <c r="O846" s="24">
        <v>3.814432989690721</v>
      </c>
      <c r="P846" s="24">
        <v>8.2987551867219622E-2</v>
      </c>
      <c r="Q846" s="24">
        <v>5.3602336007550724</v>
      </c>
      <c r="R846" s="24">
        <v>5.62</v>
      </c>
      <c r="S846" s="24">
        <v>3.9167330245015242</v>
      </c>
      <c r="T846" s="24">
        <v>0.19601720891110133</v>
      </c>
      <c r="U846" s="24" t="s">
        <v>3124</v>
      </c>
      <c r="V846">
        <v>0</v>
      </c>
      <c r="W846" s="21">
        <v>0</v>
      </c>
      <c r="X846" s="56" t="str">
        <f>IFERROR(VLOOKUP(A846,Output!A:F,6,0),"-")</f>
        <v>-</v>
      </c>
    </row>
    <row r="847" spans="1:24" x14ac:dyDescent="0.25">
      <c r="A847" s="21" t="s">
        <v>1562</v>
      </c>
      <c r="B847" s="40" t="s">
        <v>1563</v>
      </c>
      <c r="C847" s="21" t="s">
        <v>248</v>
      </c>
      <c r="D847" s="21" t="s">
        <v>75</v>
      </c>
      <c r="E847" s="21" t="s">
        <v>97</v>
      </c>
      <c r="F847" s="55">
        <v>2.0073957804121891E-4</v>
      </c>
      <c r="G847" s="24">
        <v>3.6726420000000002</v>
      </c>
      <c r="H847" s="24">
        <v>5.663843</v>
      </c>
      <c r="I847" s="24">
        <v>4.5587220000000004</v>
      </c>
      <c r="J847" s="24">
        <v>4.4253140000000002</v>
      </c>
      <c r="K847" s="24">
        <v>1.0556449999999999</v>
      </c>
      <c r="L847" s="24">
        <v>11.123659999999999</v>
      </c>
      <c r="M847" s="24">
        <v>34.935200000000002</v>
      </c>
      <c r="N847" s="24">
        <v>3.1931931931931929</v>
      </c>
      <c r="O847" s="24">
        <v>8.4615384615384599</v>
      </c>
      <c r="P847" s="24">
        <v>5.8898305084745752</v>
      </c>
      <c r="Q847" s="24">
        <v>5.63560537835862</v>
      </c>
      <c r="R847" s="24">
        <v>3.28</v>
      </c>
      <c r="S847" s="24">
        <v>4.6192143466978859</v>
      </c>
      <c r="T847" s="24">
        <v>0.67706183200694336</v>
      </c>
      <c r="U847" s="24" t="s">
        <v>3443</v>
      </c>
      <c r="V847">
        <v>0</v>
      </c>
      <c r="W847" s="21">
        <v>1</v>
      </c>
      <c r="X847" s="56" t="str">
        <f>IFERROR(VLOOKUP(A847,Output!A:F,6,0),"-")</f>
        <v>-</v>
      </c>
    </row>
    <row r="848" spans="1:24" hidden="1" x14ac:dyDescent="0.25">
      <c r="A848" s="21" t="s">
        <v>591</v>
      </c>
      <c r="B848" s="40" t="s">
        <v>890</v>
      </c>
      <c r="C848" s="21" t="s">
        <v>244</v>
      </c>
      <c r="D848" s="21" t="s">
        <v>73</v>
      </c>
      <c r="E848" s="21" t="s">
        <v>102</v>
      </c>
      <c r="F848" s="55">
        <v>1.9935985059782387E-4</v>
      </c>
      <c r="G848" s="24">
        <v>3.4211459999999998</v>
      </c>
      <c r="H848" s="24">
        <v>4.877599</v>
      </c>
      <c r="I848" s="24">
        <v>6.5542160000000003</v>
      </c>
      <c r="J848" s="24">
        <v>4.3390510000000004</v>
      </c>
      <c r="K848" s="24">
        <v>3.8483770000000002</v>
      </c>
      <c r="L848" s="24">
        <v>6.6495839999999999</v>
      </c>
      <c r="M848" s="24">
        <v>1914.2370000000001</v>
      </c>
      <c r="N848" s="24">
        <v>5.263156814404546</v>
      </c>
      <c r="O848" s="24">
        <v>7.5257731958762886</v>
      </c>
      <c r="P848" s="24">
        <v>3.0158730158730149</v>
      </c>
      <c r="Q848" s="24">
        <v>7.4220274698972624</v>
      </c>
      <c r="R848" s="24">
        <v>5.07</v>
      </c>
      <c r="S848" s="24">
        <v>5.5028472701083881</v>
      </c>
      <c r="T848" s="24">
        <v>0.54570225853380983</v>
      </c>
      <c r="U848" s="24" t="s">
        <v>3016</v>
      </c>
      <c r="V848">
        <v>1</v>
      </c>
      <c r="W848" s="21">
        <v>1</v>
      </c>
      <c r="X848" s="56" t="str">
        <f>IFERROR(VLOOKUP(A848,Output!A:F,6,0),"-")</f>
        <v>-</v>
      </c>
    </row>
    <row r="849" spans="1:24" hidden="1" x14ac:dyDescent="0.25">
      <c r="A849" s="21" t="s">
        <v>502</v>
      </c>
      <c r="B849" s="40" t="s">
        <v>904</v>
      </c>
      <c r="C849" s="21" t="s">
        <v>244</v>
      </c>
      <c r="D849" s="21" t="s">
        <v>73</v>
      </c>
      <c r="E849" s="21" t="s">
        <v>91</v>
      </c>
      <c r="F849" s="55">
        <v>1.9903730384388449E-4</v>
      </c>
      <c r="G849" s="24">
        <v>3.891883</v>
      </c>
      <c r="H849" s="24">
        <v>4.6708160000000003</v>
      </c>
      <c r="I849" s="24">
        <v>6.0070170000000003</v>
      </c>
      <c r="J849" s="24">
        <v>5.0495099999999997</v>
      </c>
      <c r="K849" s="24">
        <v>0</v>
      </c>
      <c r="L849" s="24">
        <v>-1.225441</v>
      </c>
      <c r="M849" s="24">
        <v>51.746600000000001</v>
      </c>
      <c r="N849" s="24">
        <v>6.1779562637927654</v>
      </c>
      <c r="O849" s="24">
        <v>2.5252525252525255</v>
      </c>
      <c r="P849" s="24">
        <v>0.95634099394452821</v>
      </c>
      <c r="Q849" s="24">
        <v>3.4180750295108391</v>
      </c>
      <c r="R849" s="24" t="e">
        <v>#N/A</v>
      </c>
      <c r="S849" s="24">
        <v>1.9357648672757091</v>
      </c>
      <c r="T849" s="24">
        <v>1.6112709368976219</v>
      </c>
      <c r="U849" s="24" t="s">
        <v>3002</v>
      </c>
      <c r="V849">
        <v>0</v>
      </c>
      <c r="W849" s="21">
        <v>0</v>
      </c>
      <c r="X849" s="56" t="str">
        <f>IFERROR(VLOOKUP(A849,Output!A:F,6,0),"-")</f>
        <v>-</v>
      </c>
    </row>
    <row r="850" spans="1:24" hidden="1" x14ac:dyDescent="0.25">
      <c r="A850" s="21" t="s">
        <v>299</v>
      </c>
      <c r="B850" s="40" t="s">
        <v>2144</v>
      </c>
      <c r="C850" s="21" t="s">
        <v>249</v>
      </c>
      <c r="D850" s="21" t="s">
        <v>74</v>
      </c>
      <c r="E850" s="21" t="s">
        <v>92</v>
      </c>
      <c r="F850" s="55">
        <v>1.9847682100976218E-4</v>
      </c>
      <c r="G850" s="21">
        <v>6.7349740000000002</v>
      </c>
      <c r="H850" s="21">
        <v>6.3686199999999999</v>
      </c>
      <c r="I850" s="21">
        <v>6.9531229999999997</v>
      </c>
      <c r="J850" s="21">
        <v>6.6831019999999999</v>
      </c>
      <c r="K850" s="24">
        <v>2.4774790000000002</v>
      </c>
      <c r="L850" s="24">
        <v>3.9355959999999999</v>
      </c>
      <c r="M850" s="24">
        <v>4.82</v>
      </c>
      <c r="N850" s="24">
        <v>6.4666666666666659</v>
      </c>
      <c r="O850" s="24">
        <v>0.2040816326530612</v>
      </c>
      <c r="P850" s="24">
        <v>5.8356164383561646</v>
      </c>
      <c r="Q850" s="24">
        <v>3.8148930668322212</v>
      </c>
      <c r="R850" s="24">
        <v>6.97</v>
      </c>
      <c r="S850" s="24">
        <v>5.0015960434092435</v>
      </c>
      <c r="T850" s="24">
        <v>0.32306054101779141</v>
      </c>
      <c r="U850" s="24" t="s">
        <v>3739</v>
      </c>
      <c r="V850">
        <v>0</v>
      </c>
      <c r="W850" s="21">
        <v>0</v>
      </c>
      <c r="X850" s="56" t="str">
        <f>IFERROR(VLOOKUP(A850,Output!A:F,6,0),"-")</f>
        <v>-</v>
      </c>
    </row>
    <row r="851" spans="1:24" hidden="1" x14ac:dyDescent="0.25">
      <c r="A851" s="21" t="s">
        <v>441</v>
      </c>
      <c r="B851" s="40" t="s">
        <v>856</v>
      </c>
      <c r="C851" s="21" t="s">
        <v>244</v>
      </c>
      <c r="D851" s="21" t="s">
        <v>73</v>
      </c>
      <c r="E851" s="21" t="s">
        <v>93</v>
      </c>
      <c r="F851" s="55">
        <v>1.9828858489727913E-4</v>
      </c>
      <c r="G851" s="24">
        <v>1.906209</v>
      </c>
      <c r="H851" s="24">
        <v>3.4933920000000001</v>
      </c>
      <c r="I851" s="24">
        <v>2.8501569999999998</v>
      </c>
      <c r="J851" s="24">
        <v>2.7921040000000001</v>
      </c>
      <c r="K851" s="24">
        <v>3.6819839999999999</v>
      </c>
      <c r="L851" s="24">
        <v>9.8112089999999998</v>
      </c>
      <c r="M851" s="24">
        <v>3.2130999999999998</v>
      </c>
      <c r="N851" s="24">
        <v>6.2966575520833334</v>
      </c>
      <c r="O851" s="24">
        <v>7.1134020618556697</v>
      </c>
      <c r="P851" s="24">
        <v>1.4507772020725391</v>
      </c>
      <c r="Q851" s="24">
        <v>6.5475670486362967</v>
      </c>
      <c r="R851" s="24">
        <v>6.47</v>
      </c>
      <c r="S851" s="24">
        <v>4.8844585052809997</v>
      </c>
      <c r="T851" s="24">
        <v>0.75380461166318546</v>
      </c>
      <c r="U851" s="24" t="s">
        <v>2958</v>
      </c>
      <c r="V851">
        <v>0</v>
      </c>
      <c r="W851" s="21">
        <v>1</v>
      </c>
      <c r="X851" s="56" t="str">
        <f>IFERROR(VLOOKUP(A851,Output!A:F,6,0),"-")</f>
        <v>-</v>
      </c>
    </row>
    <row r="852" spans="1:24" hidden="1" x14ac:dyDescent="0.25">
      <c r="A852" s="21" t="s">
        <v>608</v>
      </c>
      <c r="B852" s="40" t="s">
        <v>881</v>
      </c>
      <c r="C852" s="21" t="s">
        <v>244</v>
      </c>
      <c r="D852" s="21" t="s">
        <v>73</v>
      </c>
      <c r="E852" s="21" t="s">
        <v>92</v>
      </c>
      <c r="F852" s="55">
        <v>1.9794470941226206E-4</v>
      </c>
      <c r="G852" s="24">
        <v>3.3172259999999998</v>
      </c>
      <c r="H852" s="24">
        <v>4.3688390000000004</v>
      </c>
      <c r="I852" s="24">
        <v>7.2813660000000002</v>
      </c>
      <c r="J852" s="24">
        <v>5.0727399999999996</v>
      </c>
      <c r="K852" s="24">
        <v>1.2335780000000001</v>
      </c>
      <c r="L852" s="24">
        <v>3.0993970000000002</v>
      </c>
      <c r="M852" s="24">
        <v>12.0732</v>
      </c>
      <c r="N852" s="24">
        <v>3.7831434659090917</v>
      </c>
      <c r="O852" s="24">
        <v>6.3636363636363633</v>
      </c>
      <c r="P852" s="24">
        <v>8.0535530461233655</v>
      </c>
      <c r="Q852" s="24">
        <v>2.1610480488452346</v>
      </c>
      <c r="R852" s="24">
        <v>5.39</v>
      </c>
      <c r="S852" s="24">
        <v>4.6912126464422172</v>
      </c>
      <c r="T852" s="24">
        <v>0.91377705538486409</v>
      </c>
      <c r="U852" s="24" t="s">
        <v>3013</v>
      </c>
      <c r="V852">
        <v>0</v>
      </c>
      <c r="W852" s="21">
        <v>0</v>
      </c>
      <c r="X852" s="56" t="str">
        <f>IFERROR(VLOOKUP(A852,Output!A:F,6,0),"-")</f>
        <v>-</v>
      </c>
    </row>
    <row r="853" spans="1:24" hidden="1" x14ac:dyDescent="0.25">
      <c r="A853" s="21" t="s">
        <v>417</v>
      </c>
      <c r="B853" s="40" t="s">
        <v>861</v>
      </c>
      <c r="C853" s="21" t="s">
        <v>245</v>
      </c>
      <c r="D853" s="21" t="s">
        <v>73</v>
      </c>
      <c r="E853" s="21" t="s">
        <v>92</v>
      </c>
      <c r="F853" s="55">
        <v>1.9770627029596876E-4</v>
      </c>
      <c r="G853" s="21">
        <v>3.497528</v>
      </c>
      <c r="H853" s="21">
        <v>2.7417859999999998</v>
      </c>
      <c r="I853" s="21">
        <v>4.2476079999999996</v>
      </c>
      <c r="J853" s="21">
        <v>3.4958290000000001</v>
      </c>
      <c r="K853" s="24">
        <v>0.9766532</v>
      </c>
      <c r="L853" s="24">
        <v>5.563059</v>
      </c>
      <c r="M853" s="24">
        <v>27.593399999999999</v>
      </c>
      <c r="N853" s="24">
        <v>10</v>
      </c>
      <c r="O853" s="24">
        <v>5.2525252525252526</v>
      </c>
      <c r="P853" s="24">
        <v>8.2698249298874362</v>
      </c>
      <c r="Q853" s="24">
        <v>3.82851075126095</v>
      </c>
      <c r="R853" s="24">
        <v>7.39</v>
      </c>
      <c r="S853" s="24">
        <v>6.8262130457244066</v>
      </c>
      <c r="T853" s="24">
        <v>1.0705999398012269</v>
      </c>
      <c r="U853" s="24" t="s">
        <v>2948</v>
      </c>
      <c r="V853">
        <v>0</v>
      </c>
      <c r="W853" s="21">
        <v>1</v>
      </c>
      <c r="X853" s="56" t="str">
        <f>IFERROR(VLOOKUP(A853,Output!A:F,6,0),"-")</f>
        <v>-</v>
      </c>
    </row>
    <row r="854" spans="1:24" hidden="1" x14ac:dyDescent="0.25">
      <c r="A854" s="21" t="s">
        <v>531</v>
      </c>
      <c r="B854" s="40" t="s">
        <v>907</v>
      </c>
      <c r="C854" s="21" t="s">
        <v>244</v>
      </c>
      <c r="D854" s="21" t="s">
        <v>73</v>
      </c>
      <c r="E854" s="21" t="s">
        <v>97</v>
      </c>
      <c r="F854" s="55">
        <v>1.9720273114953504E-4</v>
      </c>
      <c r="G854" s="24">
        <v>5.6417909999999996</v>
      </c>
      <c r="H854" s="24">
        <v>7.4947850000000003</v>
      </c>
      <c r="I854" s="24">
        <v>6.2044009999999998</v>
      </c>
      <c r="J854" s="24">
        <v>6.2374340000000004</v>
      </c>
      <c r="K854" s="24">
        <v>6.6458449999999996</v>
      </c>
      <c r="L854" s="24">
        <v>2.1952959999999999</v>
      </c>
      <c r="M854" s="24">
        <v>157.77770000000001</v>
      </c>
      <c r="N854" s="24">
        <v>6.5759065056259889</v>
      </c>
      <c r="O854" s="24">
        <v>5.2577319587628866</v>
      </c>
      <c r="P854" s="24">
        <v>2.7272727272727275</v>
      </c>
      <c r="Q854" s="24">
        <v>8.0655049866554283</v>
      </c>
      <c r="R854" s="24">
        <v>6.83</v>
      </c>
      <c r="S854" s="24">
        <v>5.0136766092930829</v>
      </c>
      <c r="T854" s="24">
        <v>1.0350232714786411</v>
      </c>
      <c r="U854" s="24" t="s">
        <v>3026</v>
      </c>
      <c r="V854">
        <v>0</v>
      </c>
      <c r="W854" s="21">
        <v>0</v>
      </c>
      <c r="X854" s="56" t="str">
        <f>IFERROR(VLOOKUP(A854,Output!A:F,6,0),"-")</f>
        <v>-</v>
      </c>
    </row>
    <row r="855" spans="1:24" hidden="1" x14ac:dyDescent="0.25">
      <c r="A855" s="21" t="s">
        <v>594</v>
      </c>
      <c r="B855" s="40" t="s">
        <v>941</v>
      </c>
      <c r="C855" s="21" t="s">
        <v>244</v>
      </c>
      <c r="D855" s="21" t="s">
        <v>73</v>
      </c>
      <c r="E855" s="21" t="s">
        <v>102</v>
      </c>
      <c r="F855" s="55">
        <v>1.9694517666104944E-4</v>
      </c>
      <c r="G855" s="24">
        <v>5.5713369999999998</v>
      </c>
      <c r="H855" s="24">
        <v>4.4984900000000003</v>
      </c>
      <c r="I855" s="24">
        <v>6.8983150000000002</v>
      </c>
      <c r="J855" s="24">
        <v>5.6221629999999996</v>
      </c>
      <c r="K855" s="24">
        <v>3.8423050000000001</v>
      </c>
      <c r="L855" s="24">
        <v>6.1218849999999998</v>
      </c>
      <c r="M855" s="24">
        <v>4863.6499999999996</v>
      </c>
      <c r="N855" s="24">
        <v>8.3289480706370451</v>
      </c>
      <c r="O855" s="24">
        <v>1.9587628865979378</v>
      </c>
      <c r="P855" s="24">
        <v>3.6111111111111107</v>
      </c>
      <c r="Q855" s="24">
        <v>3.4816069521670285</v>
      </c>
      <c r="R855" s="24">
        <v>5.24</v>
      </c>
      <c r="S855" s="24">
        <v>4.8859413788067396</v>
      </c>
      <c r="T855" s="24">
        <v>0.51778733113596964</v>
      </c>
      <c r="U855" s="24" t="s">
        <v>3062</v>
      </c>
      <c r="V855">
        <v>1</v>
      </c>
      <c r="W855" s="21">
        <v>0</v>
      </c>
      <c r="X855" s="56" t="str">
        <f>IFERROR(VLOOKUP(A855,Output!A:F,6,0),"-")</f>
        <v>-</v>
      </c>
    </row>
    <row r="856" spans="1:24" hidden="1" x14ac:dyDescent="0.25">
      <c r="A856" s="21" t="s">
        <v>1164</v>
      </c>
      <c r="B856" s="40" t="s">
        <v>1165</v>
      </c>
      <c r="C856" s="21" t="s">
        <v>244</v>
      </c>
      <c r="D856" s="21" t="s">
        <v>73</v>
      </c>
      <c r="E856" s="21" t="s">
        <v>92</v>
      </c>
      <c r="F856" s="55">
        <v>1.9681851216847001E-4</v>
      </c>
      <c r="G856" s="21">
        <v>7.5446770000000001</v>
      </c>
      <c r="H856" s="21">
        <v>8.5330879999999993</v>
      </c>
      <c r="I856" s="21">
        <v>3.7315459999999998</v>
      </c>
      <c r="J856" s="21">
        <v>6.6972610000000001</v>
      </c>
      <c r="K856" s="24">
        <v>3.235268</v>
      </c>
      <c r="L856" s="24">
        <v>13.133139999999999</v>
      </c>
      <c r="M856" s="24">
        <v>15.309799999999999</v>
      </c>
      <c r="N856" s="24">
        <v>0.62736647727272743</v>
      </c>
      <c r="O856" s="24">
        <v>1.5151515151515151</v>
      </c>
      <c r="P856" s="24">
        <v>5.6745623247185906</v>
      </c>
      <c r="Q856" s="24">
        <v>9.2956368462967873</v>
      </c>
      <c r="R856" s="24">
        <v>8.02</v>
      </c>
      <c r="S856" s="24">
        <v>6.3119992157185596</v>
      </c>
      <c r="T856" s="24">
        <v>1.2279876298106642</v>
      </c>
      <c r="U856" s="24" t="s">
        <v>3195</v>
      </c>
      <c r="V856">
        <v>0</v>
      </c>
      <c r="W856" s="21">
        <v>0</v>
      </c>
      <c r="X856" s="56" t="str">
        <f>IFERROR(VLOOKUP(A856,Output!A:F,6,0),"-")</f>
        <v>-</v>
      </c>
    </row>
    <row r="857" spans="1:24" hidden="1" x14ac:dyDescent="0.25">
      <c r="A857" s="21" t="s">
        <v>607</v>
      </c>
      <c r="B857" s="40" t="s">
        <v>4333</v>
      </c>
      <c r="C857" s="21" t="s">
        <v>244</v>
      </c>
      <c r="D857" s="21" t="s">
        <v>73</v>
      </c>
      <c r="E857" s="21" t="s">
        <v>91</v>
      </c>
      <c r="F857" s="55">
        <v>1.9640360798467524E-4</v>
      </c>
      <c r="G857" s="24">
        <v>4.8220219999999996</v>
      </c>
      <c r="H857" s="24">
        <v>2.2592970000000001</v>
      </c>
      <c r="I857" s="24">
        <v>5.090681</v>
      </c>
      <c r="J857" s="24">
        <v>3.9043960000000002</v>
      </c>
      <c r="K857" s="24">
        <v>0.26905390000000001</v>
      </c>
      <c r="L857" s="24">
        <v>4.3684669999999999</v>
      </c>
      <c r="M857" s="24">
        <v>8.8057999999999996</v>
      </c>
      <c r="N857" s="24">
        <v>1.8943741084386578</v>
      </c>
      <c r="O857" s="24">
        <v>6.1616161616161609</v>
      </c>
      <c r="P857" s="24">
        <v>2.1413721740483482</v>
      </c>
      <c r="Q857" s="24">
        <v>5.6127221950306616</v>
      </c>
      <c r="R857" s="24">
        <v>4.12</v>
      </c>
      <c r="S857" s="24">
        <v>3.590080946315203</v>
      </c>
      <c r="T857" s="24">
        <v>0.74912537806151669</v>
      </c>
      <c r="U857" s="24" t="s">
        <v>3134</v>
      </c>
      <c r="V857">
        <v>0</v>
      </c>
      <c r="W857" s="21">
        <v>1</v>
      </c>
      <c r="X857" s="56" t="str">
        <f>IFERROR(VLOOKUP(A857,Output!A:F,6,0),"-")</f>
        <v>-</v>
      </c>
    </row>
    <row r="858" spans="1:24" hidden="1" x14ac:dyDescent="0.25">
      <c r="A858" s="21" t="s">
        <v>1963</v>
      </c>
      <c r="B858" s="40" t="s">
        <v>1964</v>
      </c>
      <c r="C858" s="21" t="s">
        <v>258</v>
      </c>
      <c r="D858" s="21" t="s">
        <v>74</v>
      </c>
      <c r="E858" s="21" t="s">
        <v>92</v>
      </c>
      <c r="F858" s="55">
        <v>1.963599444502992E-4</v>
      </c>
      <c r="G858" s="24">
        <v>5.0672180000000004</v>
      </c>
      <c r="H858" s="24">
        <v>5.6989260000000002</v>
      </c>
      <c r="I858" s="24">
        <v>6.1139659999999996</v>
      </c>
      <c r="J858" s="24">
        <v>5.5707550000000001</v>
      </c>
      <c r="K858" s="24">
        <v>1.5752379999999999</v>
      </c>
      <c r="L858" s="24">
        <v>6.7651519999999996</v>
      </c>
      <c r="M858" s="24">
        <v>66.471800000000002</v>
      </c>
      <c r="N858" s="24">
        <v>7.0123466666666676</v>
      </c>
      <c r="O858" s="24">
        <v>7.6530612244897958</v>
      </c>
      <c r="P858" s="24">
        <v>4.9589041095890414</v>
      </c>
      <c r="Q858" s="24">
        <v>6.3700186323308241</v>
      </c>
      <c r="R858" s="24">
        <v>4.3899999999999997</v>
      </c>
      <c r="S858" s="24">
        <v>6.0799150751921278</v>
      </c>
      <c r="T858" s="24">
        <v>0.73147875638781634</v>
      </c>
      <c r="U858" s="24" t="s">
        <v>3611</v>
      </c>
      <c r="V858">
        <v>0</v>
      </c>
      <c r="W858" s="21">
        <v>0</v>
      </c>
      <c r="X858" s="56" t="str">
        <f>IFERROR(VLOOKUP(A858,Output!A:F,6,0),"-")</f>
        <v>-</v>
      </c>
    </row>
    <row r="859" spans="1:24" hidden="1" x14ac:dyDescent="0.25">
      <c r="A859" s="21" t="s">
        <v>629</v>
      </c>
      <c r="B859" s="40" t="s">
        <v>918</v>
      </c>
      <c r="C859" s="21" t="s">
        <v>244</v>
      </c>
      <c r="D859" s="21" t="s">
        <v>73</v>
      </c>
      <c r="E859" s="21" t="s">
        <v>99</v>
      </c>
      <c r="F859" s="55">
        <v>1.9613277334287713E-4</v>
      </c>
      <c r="G859" s="24">
        <v>4.5870290000000002</v>
      </c>
      <c r="H859" s="24">
        <v>4.6178910000000002</v>
      </c>
      <c r="I859" s="24">
        <v>5.5317049999999997</v>
      </c>
      <c r="J859" s="24">
        <v>4.9122079999999997</v>
      </c>
      <c r="K859" s="24">
        <v>0</v>
      </c>
      <c r="L859" s="24">
        <v>2.797498</v>
      </c>
      <c r="M859" s="24">
        <v>15.796099999999999</v>
      </c>
      <c r="N859" s="24">
        <v>8.5122342945725578</v>
      </c>
      <c r="O859" s="24">
        <v>8.6458333333333321</v>
      </c>
      <c r="P859" s="24">
        <v>7.4029850746268657</v>
      </c>
      <c r="Q859" s="24">
        <v>0.44231570348255567</v>
      </c>
      <c r="R859" s="24" t="e">
        <v>#N/A</v>
      </c>
      <c r="S859" s="24">
        <v>4.7604465091489701</v>
      </c>
      <c r="T859" s="24">
        <v>1.4955321495945431</v>
      </c>
      <c r="U859" s="24" t="s">
        <v>3021</v>
      </c>
      <c r="V859">
        <v>0</v>
      </c>
      <c r="W859" s="21">
        <v>0</v>
      </c>
      <c r="X859" s="56" t="str">
        <f>IFERROR(VLOOKUP(A859,Output!A:F,6,0),"-")</f>
        <v>-</v>
      </c>
    </row>
    <row r="860" spans="1:24" x14ac:dyDescent="0.25">
      <c r="A860" s="21" t="s">
        <v>1313</v>
      </c>
      <c r="B860" s="40" t="s">
        <v>1314</v>
      </c>
      <c r="C860" s="21" t="s">
        <v>248</v>
      </c>
      <c r="D860" s="21" t="s">
        <v>75</v>
      </c>
      <c r="E860" s="21" t="s">
        <v>89</v>
      </c>
      <c r="F860" s="55">
        <v>1.9609112195294234E-4</v>
      </c>
      <c r="G860" s="24">
        <v>4.3199990000000001</v>
      </c>
      <c r="H860" s="24">
        <v>6.5817500000000004</v>
      </c>
      <c r="I860" s="24">
        <v>2.572397</v>
      </c>
      <c r="J860" s="24">
        <v>4.4999510000000003</v>
      </c>
      <c r="K860" s="24">
        <v>2.0854379999999999</v>
      </c>
      <c r="L860" s="24">
        <v>5.172307</v>
      </c>
      <c r="M860" s="24">
        <v>12.6257</v>
      </c>
      <c r="N860" s="24">
        <v>6.5143545621322749</v>
      </c>
      <c r="O860" s="24">
        <v>9.6774193548387082</v>
      </c>
      <c r="P860" s="24">
        <v>9.2817679558011044</v>
      </c>
      <c r="Q860" s="24">
        <v>0</v>
      </c>
      <c r="R860" s="24">
        <v>4.9000000000000004</v>
      </c>
      <c r="S860" s="24">
        <v>4.1305918264848005</v>
      </c>
      <c r="T860" s="24">
        <v>0.29698219582651059</v>
      </c>
      <c r="U860" s="24" t="s">
        <v>3313</v>
      </c>
      <c r="V860">
        <v>0</v>
      </c>
      <c r="W860" s="21">
        <v>1</v>
      </c>
      <c r="X860" s="56" t="str">
        <f>IFERROR(VLOOKUP(A860,Output!A:F,6,0),"-")</f>
        <v>-</v>
      </c>
    </row>
    <row r="861" spans="1:24" x14ac:dyDescent="0.25">
      <c r="A861" s="21" t="s">
        <v>2118</v>
      </c>
      <c r="B861" s="40" t="s">
        <v>2119</v>
      </c>
      <c r="C861" s="21" t="s">
        <v>253</v>
      </c>
      <c r="D861" s="21" t="s">
        <v>75</v>
      </c>
      <c r="E861" s="21" t="s">
        <v>102</v>
      </c>
      <c r="F861" s="55">
        <v>1.9571545458575281E-4</v>
      </c>
      <c r="G861" s="24">
        <v>3.1514890000000002</v>
      </c>
      <c r="H861" s="24">
        <v>7.7482939999999996</v>
      </c>
      <c r="I861" s="24">
        <v>6.1584019999999997</v>
      </c>
      <c r="J861" s="24">
        <v>4.6722330000000003</v>
      </c>
      <c r="K861" s="24">
        <v>4.9884919999999999</v>
      </c>
      <c r="L861" s="24">
        <v>7.5473569999999999</v>
      </c>
      <c r="M861" s="24">
        <v>5062.1499999999996</v>
      </c>
      <c r="N861" s="24">
        <v>5.1374987843746966</v>
      </c>
      <c r="O861" s="24">
        <v>8.4375</v>
      </c>
      <c r="P861" s="24">
        <v>4.6341463414634134</v>
      </c>
      <c r="Q861" s="24">
        <v>3.8563983786913711</v>
      </c>
      <c r="R861" s="24">
        <v>6.61</v>
      </c>
      <c r="S861" s="24">
        <v>5.2004410787603321</v>
      </c>
      <c r="T861" s="24">
        <v>0.2807572222149014</v>
      </c>
      <c r="U861" s="24" t="s">
        <v>3759</v>
      </c>
      <c r="V861">
        <v>1</v>
      </c>
      <c r="W861" s="21">
        <v>0</v>
      </c>
      <c r="X861" s="56" t="str">
        <f>IFERROR(VLOOKUP(A861,Output!A:F,6,0),"-")</f>
        <v>-</v>
      </c>
    </row>
    <row r="862" spans="1:24" x14ac:dyDescent="0.25">
      <c r="A862" s="21" t="s">
        <v>2336</v>
      </c>
      <c r="B862" s="40" t="s">
        <v>2337</v>
      </c>
      <c r="C862" s="21" t="s">
        <v>248</v>
      </c>
      <c r="D862" s="21" t="s">
        <v>75</v>
      </c>
      <c r="E862" s="21" t="s">
        <v>96</v>
      </c>
      <c r="F862" s="55">
        <v>1.9556836682709425E-4</v>
      </c>
      <c r="G862" s="24">
        <v>3.9398149999999998</v>
      </c>
      <c r="H862" s="24">
        <v>4.7222330000000001</v>
      </c>
      <c r="I862" s="24">
        <v>1.8432170000000001</v>
      </c>
      <c r="J862" s="24">
        <v>3.5455610000000002</v>
      </c>
      <c r="K862" s="24">
        <v>0.91740370000000004</v>
      </c>
      <c r="L862" s="24">
        <v>2.9699680000000002</v>
      </c>
      <c r="M862" s="24">
        <v>76.267300000000006</v>
      </c>
      <c r="N862" s="24">
        <v>7.7066356228172292</v>
      </c>
      <c r="O862" s="24">
        <v>2.8915662650602414</v>
      </c>
      <c r="P862" s="24">
        <v>7.9615384615384617</v>
      </c>
      <c r="Q862" s="24">
        <v>0.3751695758706674</v>
      </c>
      <c r="R862" s="24">
        <v>2.95</v>
      </c>
      <c r="S862" s="24">
        <v>4.1876724215286742</v>
      </c>
      <c r="T862" s="24">
        <v>0.27223418043477238</v>
      </c>
      <c r="U862" s="24" t="s">
        <v>3846</v>
      </c>
      <c r="V862">
        <v>0</v>
      </c>
      <c r="W862" s="21">
        <v>1</v>
      </c>
      <c r="X862" s="56" t="str">
        <f>IFERROR(VLOOKUP(A862,Output!A:F,6,0),"-")</f>
        <v>-</v>
      </c>
    </row>
    <row r="863" spans="1:24" hidden="1" x14ac:dyDescent="0.25">
      <c r="A863" s="21" t="s">
        <v>4319</v>
      </c>
      <c r="B863" s="40" t="s">
        <v>4320</v>
      </c>
      <c r="C863" s="21" t="s">
        <v>244</v>
      </c>
      <c r="D863" s="21" t="s">
        <v>73</v>
      </c>
      <c r="E863" s="21" t="s">
        <v>97</v>
      </c>
      <c r="F863" s="55">
        <v>1.9488484136038681E-4</v>
      </c>
      <c r="G863" s="24">
        <v>2.6371739999999999</v>
      </c>
      <c r="H863" s="24">
        <v>5.5826599999999997</v>
      </c>
      <c r="I863" s="24">
        <v>3.7544409999999999</v>
      </c>
      <c r="J863" s="24">
        <v>3.6731780000000001</v>
      </c>
      <c r="K863" s="24">
        <v>6.7220420000000001</v>
      </c>
      <c r="L863" s="24">
        <v>5.9193910000000001</v>
      </c>
      <c r="M863" s="24">
        <v>44.247599999999998</v>
      </c>
      <c r="N863" s="24">
        <v>6.7436721545095448</v>
      </c>
      <c r="O863" s="24">
        <v>5.5670103092783503</v>
      </c>
      <c r="P863" s="24">
        <v>5.6818181818181825</v>
      </c>
      <c r="Q863" s="24">
        <v>3.3595533080488833</v>
      </c>
      <c r="R863" s="24">
        <v>8.1</v>
      </c>
      <c r="S863" s="24">
        <v>7.0249686618197007</v>
      </c>
      <c r="T863" s="24">
        <v>0.75824189288308153</v>
      </c>
      <c r="U863" s="24" t="s">
        <v>4321</v>
      </c>
      <c r="V863">
        <v>0</v>
      </c>
      <c r="W863" s="21">
        <v>1</v>
      </c>
      <c r="X863" s="56" t="str">
        <f>IFERROR(VLOOKUP(A863,Output!A:F,6,0),"-")</f>
        <v>-</v>
      </c>
    </row>
    <row r="864" spans="1:24" hidden="1" x14ac:dyDescent="0.25">
      <c r="A864" s="21" t="s">
        <v>4288</v>
      </c>
      <c r="B864" s="40" t="s">
        <v>4289</v>
      </c>
      <c r="C864" s="21" t="s">
        <v>244</v>
      </c>
      <c r="D864" s="21" t="s">
        <v>73</v>
      </c>
      <c r="E864" s="21" t="s">
        <v>88</v>
      </c>
      <c r="F864" s="55">
        <v>1.9475707018836466E-4</v>
      </c>
      <c r="G864" s="21">
        <v>7.3056049999999999</v>
      </c>
      <c r="H864" s="21">
        <v>3.7903579999999999</v>
      </c>
      <c r="I864" s="21">
        <v>8.0308419999999998</v>
      </c>
      <c r="J864" s="21">
        <v>6.4686019999999997</v>
      </c>
      <c r="K864" s="24">
        <v>0.36089890000000002</v>
      </c>
      <c r="L864" s="24">
        <v>5.311407</v>
      </c>
      <c r="M864" s="24">
        <v>6.3841000000000001</v>
      </c>
      <c r="N864" s="24">
        <v>7.2916661931818192</v>
      </c>
      <c r="O864" s="24">
        <v>6.3636363636363633</v>
      </c>
      <c r="P864" s="24">
        <v>7.0339855940927478</v>
      </c>
      <c r="Q864" s="24">
        <v>3.154056809131935</v>
      </c>
      <c r="R864" s="24">
        <v>6.09</v>
      </c>
      <c r="S864" s="24">
        <v>5.9308363177406829</v>
      </c>
      <c r="T864" s="24">
        <v>1.0927965139035463</v>
      </c>
      <c r="U864" s="24" t="s">
        <v>4290</v>
      </c>
      <c r="V864">
        <v>0</v>
      </c>
      <c r="W864" s="21">
        <v>0</v>
      </c>
      <c r="X864" s="56" t="str">
        <f>IFERROR(VLOOKUP(A864,Output!A:F,6,0),"-")</f>
        <v>-</v>
      </c>
    </row>
    <row r="865" spans="1:24" hidden="1" x14ac:dyDescent="0.25">
      <c r="A865" s="21" t="s">
        <v>558</v>
      </c>
      <c r="B865" s="40" t="s">
        <v>963</v>
      </c>
      <c r="C865" s="21" t="s">
        <v>244</v>
      </c>
      <c r="D865" s="21" t="s">
        <v>73</v>
      </c>
      <c r="E865" s="21" t="s">
        <v>94</v>
      </c>
      <c r="F865" s="55">
        <v>1.9471079086621489E-4</v>
      </c>
      <c r="G865" s="24">
        <v>6.7194880000000001</v>
      </c>
      <c r="H865" s="24">
        <v>5.0411380000000001</v>
      </c>
      <c r="I865" s="24">
        <v>7.3119350000000001</v>
      </c>
      <c r="J865" s="24">
        <v>6.2851270000000001</v>
      </c>
      <c r="K865" s="24">
        <v>4.0807799999999999</v>
      </c>
      <c r="L865" s="24">
        <v>9.0217159999999996</v>
      </c>
      <c r="M865" s="24">
        <v>6.5610999999999997</v>
      </c>
      <c r="N865" s="24">
        <v>2.2761819723280361</v>
      </c>
      <c r="O865" s="24">
        <v>0.61224489795918358</v>
      </c>
      <c r="P865" s="24">
        <v>5.7844080684674033</v>
      </c>
      <c r="Q865" s="24">
        <v>7.247113182080466</v>
      </c>
      <c r="R865" s="24">
        <v>7.81</v>
      </c>
      <c r="S865" s="24">
        <v>6.3531679419282758</v>
      </c>
      <c r="T865" s="24">
        <v>0.9234982958711575</v>
      </c>
      <c r="U865" s="24" t="s">
        <v>3061</v>
      </c>
      <c r="V865">
        <v>0</v>
      </c>
      <c r="W865" s="21">
        <v>0</v>
      </c>
      <c r="X865" s="56" t="str">
        <f>IFERROR(VLOOKUP(A865,Output!A:F,6,0),"-")</f>
        <v>-</v>
      </c>
    </row>
    <row r="866" spans="1:24" hidden="1" x14ac:dyDescent="0.25">
      <c r="A866" s="21" t="s">
        <v>442</v>
      </c>
      <c r="B866" s="40" t="s">
        <v>864</v>
      </c>
      <c r="C866" s="21" t="s">
        <v>244</v>
      </c>
      <c r="D866" s="21" t="s">
        <v>73</v>
      </c>
      <c r="E866" s="21" t="s">
        <v>91</v>
      </c>
      <c r="F866" s="55">
        <v>1.9463986277465931E-4</v>
      </c>
      <c r="G866" s="24">
        <v>2.9718900000000001</v>
      </c>
      <c r="H866" s="24">
        <v>3.448016</v>
      </c>
      <c r="I866" s="24">
        <v>5.0735809999999999</v>
      </c>
      <c r="J866" s="24">
        <v>4.0030169999999998</v>
      </c>
      <c r="K866" s="24">
        <v>0</v>
      </c>
      <c r="L866" s="24">
        <v>4.7862869999999997</v>
      </c>
      <c r="M866" s="24">
        <v>53.770200000000003</v>
      </c>
      <c r="N866" s="24">
        <v>4.3765787024956415</v>
      </c>
      <c r="O866" s="24">
        <v>8.5858585858585847</v>
      </c>
      <c r="P866" s="24">
        <v>5.4158004348615378</v>
      </c>
      <c r="Q866" s="24">
        <v>5.5766366279906707</v>
      </c>
      <c r="R866" s="24" t="e">
        <v>#N/A</v>
      </c>
      <c r="S866" s="24">
        <v>4.0957311040231099</v>
      </c>
      <c r="T866" s="24">
        <v>1.329586636568113</v>
      </c>
      <c r="U866" s="24" t="s">
        <v>2956</v>
      </c>
      <c r="V866">
        <v>0</v>
      </c>
      <c r="W866" s="21">
        <v>1</v>
      </c>
      <c r="X866" s="56" t="str">
        <f>IFERROR(VLOOKUP(A866,Output!A:F,6,0),"-")</f>
        <v>-</v>
      </c>
    </row>
    <row r="867" spans="1:24" hidden="1" x14ac:dyDescent="0.25">
      <c r="A867" s="21" t="s">
        <v>547</v>
      </c>
      <c r="B867" s="40" t="s">
        <v>926</v>
      </c>
      <c r="C867" s="21" t="s">
        <v>245</v>
      </c>
      <c r="D867" s="21" t="s">
        <v>73</v>
      </c>
      <c r="E867" s="21" t="s">
        <v>98</v>
      </c>
      <c r="F867" s="55">
        <v>1.9442265178222165E-4</v>
      </c>
      <c r="G867" s="24">
        <v>5.7514969999999996</v>
      </c>
      <c r="H867" s="24">
        <v>6.1680149999999996</v>
      </c>
      <c r="I867" s="24">
        <v>5.5692469999999998</v>
      </c>
      <c r="J867" s="24">
        <v>5.8452039999999998</v>
      </c>
      <c r="K867" s="24">
        <v>1.8367039999999999</v>
      </c>
      <c r="L867" s="24">
        <v>5.8999639999999998</v>
      </c>
      <c r="M867" s="24">
        <v>24.055399999999999</v>
      </c>
      <c r="N867" s="24">
        <v>4.7200187454938716</v>
      </c>
      <c r="O867" s="24">
        <v>4.6391752577319583</v>
      </c>
      <c r="P867" s="24">
        <v>3.4024896265560169</v>
      </c>
      <c r="Q867" s="24">
        <v>6.1269077394997629</v>
      </c>
      <c r="R867" s="24">
        <v>4.2699999999999996</v>
      </c>
      <c r="S867" s="24">
        <v>4.9079447538337515</v>
      </c>
      <c r="T867" s="24">
        <v>0.49967987881519532</v>
      </c>
      <c r="U867" s="24" t="s">
        <v>3042</v>
      </c>
      <c r="V867">
        <v>0</v>
      </c>
      <c r="W867" s="21">
        <v>0</v>
      </c>
      <c r="X867" s="56" t="str">
        <f>IFERROR(VLOOKUP(A867,Output!A:F,6,0),"-")</f>
        <v>-</v>
      </c>
    </row>
    <row r="868" spans="1:24" hidden="1" x14ac:dyDescent="0.25">
      <c r="A868" s="21" t="s">
        <v>469</v>
      </c>
      <c r="B868" s="40" t="s">
        <v>867</v>
      </c>
      <c r="C868" s="21" t="s">
        <v>244</v>
      </c>
      <c r="D868" s="21" t="s">
        <v>73</v>
      </c>
      <c r="E868" s="21" t="s">
        <v>99</v>
      </c>
      <c r="F868" s="55">
        <v>1.9370059374946343E-4</v>
      </c>
      <c r="G868" s="24">
        <v>3.302451</v>
      </c>
      <c r="H868" s="24">
        <v>3.1584699999999999</v>
      </c>
      <c r="I868" s="24">
        <v>4.9085429999999999</v>
      </c>
      <c r="J868" s="24">
        <v>3.7410839999999999</v>
      </c>
      <c r="K868" s="24">
        <v>0</v>
      </c>
      <c r="L868" s="24">
        <v>5.99573</v>
      </c>
      <c r="M868" s="24">
        <v>84.886200000000002</v>
      </c>
      <c r="N868" s="24">
        <v>1.1335833570310461</v>
      </c>
      <c r="O868" s="24">
        <v>5</v>
      </c>
      <c r="P868" s="24">
        <v>1.9402985074626866</v>
      </c>
      <c r="Q868" s="24">
        <v>7.1196561139982242</v>
      </c>
      <c r="R868" s="24" t="e">
        <v>#N/A</v>
      </c>
      <c r="S868" s="24">
        <v>4.2026532296219123</v>
      </c>
      <c r="T868" s="24">
        <v>1.537318898616596</v>
      </c>
      <c r="U868" s="24" t="s">
        <v>2950</v>
      </c>
      <c r="V868">
        <v>0</v>
      </c>
      <c r="W868" s="21">
        <v>1</v>
      </c>
      <c r="X868" s="56" t="str">
        <f>IFERROR(VLOOKUP(A868,Output!A:F,6,0),"-")</f>
        <v>-</v>
      </c>
    </row>
    <row r="869" spans="1:24" hidden="1" x14ac:dyDescent="0.25">
      <c r="A869" s="21" t="s">
        <v>4456</v>
      </c>
      <c r="B869" s="40" t="s">
        <v>1389</v>
      </c>
      <c r="C869" s="21" t="s">
        <v>244</v>
      </c>
      <c r="D869" s="21" t="s">
        <v>73</v>
      </c>
      <c r="E869" s="21" t="s">
        <v>94</v>
      </c>
      <c r="F869" s="55">
        <v>1.9359807499017952E-4</v>
      </c>
      <c r="G869" s="24">
        <v>3.3518599999999998</v>
      </c>
      <c r="H869" s="24">
        <v>3.0951970000000002</v>
      </c>
      <c r="I869" s="24">
        <v>5.3061559999999997</v>
      </c>
      <c r="J869" s="24">
        <v>4.030913</v>
      </c>
      <c r="K869" s="24">
        <v>0</v>
      </c>
      <c r="L869" s="24">
        <v>1.4912160000000001</v>
      </c>
      <c r="M869" s="24">
        <v>9.9731000000000005</v>
      </c>
      <c r="N869" s="24">
        <v>7.5886837143046826</v>
      </c>
      <c r="O869" s="24">
        <v>5.5102040816326525</v>
      </c>
      <c r="P869" s="24">
        <v>2.3195379877556803</v>
      </c>
      <c r="Q869" s="24">
        <v>2.0925911452009975</v>
      </c>
      <c r="R869" s="24" t="e">
        <v>#N/A</v>
      </c>
      <c r="S869" s="24">
        <v>2.9544968071700839</v>
      </c>
      <c r="T869" s="24">
        <v>1.1070877737838605</v>
      </c>
      <c r="U869" s="24" t="s">
        <v>3319</v>
      </c>
      <c r="V869">
        <v>0</v>
      </c>
      <c r="W869" s="21">
        <v>1</v>
      </c>
      <c r="X869" s="56" t="str">
        <f>IFERROR(VLOOKUP(A869,Output!A:F,6,0),"-")</f>
        <v>-</v>
      </c>
    </row>
    <row r="870" spans="1:24" hidden="1" x14ac:dyDescent="0.25">
      <c r="A870" s="21" t="s">
        <v>2063</v>
      </c>
      <c r="B870" s="40" t="s">
        <v>2064</v>
      </c>
      <c r="C870" s="21" t="s">
        <v>298</v>
      </c>
      <c r="D870" s="21" t="s">
        <v>74</v>
      </c>
      <c r="E870" s="21" t="s">
        <v>100</v>
      </c>
      <c r="F870" s="55">
        <v>1.9227388273336418E-4</v>
      </c>
      <c r="G870" s="24">
        <v>5.0780440000000002</v>
      </c>
      <c r="H870" s="24">
        <v>4.5846790000000004</v>
      </c>
      <c r="I870" s="24">
        <v>5.4557460000000004</v>
      </c>
      <c r="J870" s="24">
        <v>5.0394899999999998</v>
      </c>
      <c r="K870" s="24">
        <v>4.9178790000000001</v>
      </c>
      <c r="L870" s="24">
        <v>6.9667849999999998</v>
      </c>
      <c r="M870" s="24">
        <v>43.445300000000003</v>
      </c>
      <c r="N870" s="24">
        <v>4.0987062352516537</v>
      </c>
      <c r="O870" s="24">
        <v>10</v>
      </c>
      <c r="P870" s="24">
        <v>8.8191881918819188</v>
      </c>
      <c r="Q870" s="24">
        <v>2.0381908816090966</v>
      </c>
      <c r="R870" s="24">
        <v>6.46</v>
      </c>
      <c r="S870" s="24">
        <v>6.193907826246714</v>
      </c>
      <c r="T870" s="24">
        <v>2.4569772499038904E-2</v>
      </c>
      <c r="U870" s="24" t="s">
        <v>3699</v>
      </c>
      <c r="V870">
        <v>0</v>
      </c>
      <c r="W870" s="21">
        <v>0</v>
      </c>
      <c r="X870" s="56" t="str">
        <f>IFERROR(VLOOKUP(A870,Output!A:F,6,0),"-")</f>
        <v>-</v>
      </c>
    </row>
    <row r="871" spans="1:24" hidden="1" x14ac:dyDescent="0.25">
      <c r="A871" s="21" t="s">
        <v>1953</v>
      </c>
      <c r="B871" s="40" t="s">
        <v>4580</v>
      </c>
      <c r="C871" s="21" t="s">
        <v>257</v>
      </c>
      <c r="D871" s="21" t="s">
        <v>74</v>
      </c>
      <c r="E871" s="21" t="s">
        <v>87</v>
      </c>
      <c r="F871" s="55">
        <v>1.9192960481945884E-4</v>
      </c>
      <c r="G871" s="21">
        <v>4.4168770000000004</v>
      </c>
      <c r="H871" s="21">
        <v>4.9250290000000003</v>
      </c>
      <c r="I871" s="21">
        <v>6.6501359999999998</v>
      </c>
      <c r="J871" s="21">
        <v>5.2393000000000001</v>
      </c>
      <c r="K871" s="24">
        <v>2.779137</v>
      </c>
      <c r="L871" s="24">
        <v>6.5656990000000004</v>
      </c>
      <c r="M871" s="24">
        <v>16.843699999999998</v>
      </c>
      <c r="N871" s="24">
        <v>9.5128419380460691</v>
      </c>
      <c r="O871" s="24">
        <v>7.6288659793814428</v>
      </c>
      <c r="P871" s="24">
        <v>7.114754098360657</v>
      </c>
      <c r="Q871" s="24">
        <v>5.4924343370906996</v>
      </c>
      <c r="R871" s="24">
        <v>4.26</v>
      </c>
      <c r="S871" s="24">
        <v>7.0949439150938893</v>
      </c>
      <c r="T871" s="24">
        <v>0.42280334129321057</v>
      </c>
      <c r="U871" s="24" t="s">
        <v>3665</v>
      </c>
      <c r="V871">
        <v>0</v>
      </c>
      <c r="W871" s="21">
        <v>0</v>
      </c>
      <c r="X871" s="56" t="str">
        <f>IFERROR(VLOOKUP(A871,Output!A:F,6,0),"-")</f>
        <v>-</v>
      </c>
    </row>
    <row r="872" spans="1:24" hidden="1" x14ac:dyDescent="0.25">
      <c r="A872" s="21" t="s">
        <v>1914</v>
      </c>
      <c r="B872" s="40" t="s">
        <v>1915</v>
      </c>
      <c r="C872" s="21" t="s">
        <v>298</v>
      </c>
      <c r="D872" s="21" t="s">
        <v>74</v>
      </c>
      <c r="E872" s="21" t="s">
        <v>93</v>
      </c>
      <c r="F872" s="55">
        <v>1.9133219913483878E-4</v>
      </c>
      <c r="G872" s="24">
        <v>6.5111619999999997</v>
      </c>
      <c r="H872" s="24">
        <v>6.0499799999999997</v>
      </c>
      <c r="I872" s="24">
        <v>6.4693589999999999</v>
      </c>
      <c r="J872" s="24">
        <v>6.3351170000000003</v>
      </c>
      <c r="K872" s="24">
        <v>7.943168</v>
      </c>
      <c r="L872" s="24">
        <v>18.0502</v>
      </c>
      <c r="M872" s="24">
        <v>0.59311000000000003</v>
      </c>
      <c r="N872" s="24">
        <v>4.8010219026194427</v>
      </c>
      <c r="O872" s="24">
        <v>4.6464646464646462</v>
      </c>
      <c r="P872" s="24">
        <v>3.2105263157894743</v>
      </c>
      <c r="Q872" s="24">
        <v>6.9294377067254684</v>
      </c>
      <c r="R872" s="24">
        <v>5.47</v>
      </c>
      <c r="S872" s="24">
        <v>5.5695411555619216</v>
      </c>
      <c r="T872" s="24">
        <v>0.4251739430914438</v>
      </c>
      <c r="U872" s="24" t="s">
        <v>3621</v>
      </c>
      <c r="V872">
        <v>0</v>
      </c>
      <c r="W872" s="21">
        <v>0</v>
      </c>
      <c r="X872" s="56" t="str">
        <f>IFERROR(VLOOKUP(A872,Output!A:F,6,0),"-")</f>
        <v>-</v>
      </c>
    </row>
    <row r="873" spans="1:24" hidden="1" x14ac:dyDescent="0.25">
      <c r="A873" s="62" t="s">
        <v>1493</v>
      </c>
      <c r="B873" s="66" t="s">
        <v>1494</v>
      </c>
      <c r="C873" s="21" t="s">
        <v>250</v>
      </c>
      <c r="D873" s="62" t="s">
        <v>76</v>
      </c>
      <c r="E873" s="62" t="s">
        <v>99</v>
      </c>
      <c r="F873" s="67">
        <v>1.900387926879752E-4</v>
      </c>
      <c r="G873" s="68">
        <v>5.8682509999999999</v>
      </c>
      <c r="H873" s="68">
        <v>5.5161920000000002</v>
      </c>
      <c r="I873" s="68">
        <v>3.3611040000000001</v>
      </c>
      <c r="J873" s="68">
        <v>4.9151829999999999</v>
      </c>
      <c r="K873" s="68">
        <v>0</v>
      </c>
      <c r="L873" s="68">
        <v>1.0532589999999999</v>
      </c>
      <c r="M873" s="68">
        <v>0.84477000000000002</v>
      </c>
      <c r="N873" s="68">
        <v>0</v>
      </c>
      <c r="O873" s="68">
        <v>0</v>
      </c>
      <c r="P873" s="68">
        <v>0</v>
      </c>
      <c r="Q873" s="70">
        <v>3.9982632105824276</v>
      </c>
      <c r="R873" s="68" t="e">
        <v>#N/A</v>
      </c>
      <c r="S873" s="68">
        <v>1.5496526421164853</v>
      </c>
      <c r="T873" s="68">
        <v>0.77174902065730921</v>
      </c>
      <c r="U873" s="24" t="s">
        <v>3389</v>
      </c>
      <c r="V873">
        <v>0</v>
      </c>
      <c r="W873" s="21">
        <v>0</v>
      </c>
      <c r="X873" s="56" t="str">
        <f>IFERROR(VLOOKUP(A873,Output!A:F,6,0),"-")</f>
        <v>-</v>
      </c>
    </row>
    <row r="874" spans="1:24" hidden="1" x14ac:dyDescent="0.25">
      <c r="A874" s="21" t="s">
        <v>585</v>
      </c>
      <c r="B874" s="40" t="s">
        <v>954</v>
      </c>
      <c r="C874" s="21" t="s">
        <v>244</v>
      </c>
      <c r="D874" s="21" t="s">
        <v>73</v>
      </c>
      <c r="E874" s="21" t="s">
        <v>102</v>
      </c>
      <c r="F874" s="55">
        <v>1.8964813484469804E-4</v>
      </c>
      <c r="G874" s="24">
        <v>4.3509380000000002</v>
      </c>
      <c r="H874" s="24">
        <v>4.1654609999999996</v>
      </c>
      <c r="I874" s="24">
        <v>6.1108779999999996</v>
      </c>
      <c r="J874" s="24">
        <v>4.6658309999999998</v>
      </c>
      <c r="K874" s="24">
        <v>4.8979920000000003</v>
      </c>
      <c r="L874" s="24">
        <v>7.5288110000000001</v>
      </c>
      <c r="M874" s="24">
        <v>5403.1819999999998</v>
      </c>
      <c r="N874" s="24">
        <v>6.2289482916896528</v>
      </c>
      <c r="O874" s="24">
        <v>0.82474226804123707</v>
      </c>
      <c r="P874" s="24">
        <v>1.6269841269841268</v>
      </c>
      <c r="Q874" s="24">
        <v>9.7120447766689981</v>
      </c>
      <c r="R874" s="24">
        <v>7.35</v>
      </c>
      <c r="S874" s="24">
        <v>5.8022472308332791</v>
      </c>
      <c r="T874" s="24">
        <v>0.47726782722198119</v>
      </c>
      <c r="U874" s="24" t="s">
        <v>3072</v>
      </c>
      <c r="V874">
        <v>1</v>
      </c>
      <c r="W874" s="21">
        <v>0</v>
      </c>
      <c r="X874" s="56" t="str">
        <f>IFERROR(VLOOKUP(A874,Output!A:F,6,0),"-")</f>
        <v>-</v>
      </c>
    </row>
    <row r="875" spans="1:24" hidden="1" x14ac:dyDescent="0.25">
      <c r="A875" s="21" t="s">
        <v>657</v>
      </c>
      <c r="B875" s="40" t="s">
        <v>4568</v>
      </c>
      <c r="C875" s="21" t="s">
        <v>294</v>
      </c>
      <c r="D875" s="21" t="s">
        <v>77</v>
      </c>
      <c r="E875" s="21" t="s">
        <v>85</v>
      </c>
      <c r="F875" s="55">
        <v>1.8955839320261634E-4</v>
      </c>
      <c r="G875" s="24">
        <v>6.7526869999999999</v>
      </c>
      <c r="H875" s="24">
        <v>5.156301</v>
      </c>
      <c r="I875" s="24">
        <v>5.2301919999999997</v>
      </c>
      <c r="J875" s="24">
        <v>5.6610779999999998</v>
      </c>
      <c r="K875" s="24">
        <v>4.379562</v>
      </c>
      <c r="L875" s="24">
        <v>15.97339</v>
      </c>
      <c r="M875" s="24">
        <v>7.2107000000000001</v>
      </c>
      <c r="N875" s="24">
        <v>4.2614240170031872</v>
      </c>
      <c r="O875" s="24">
        <v>3.333333333333333</v>
      </c>
      <c r="P875" s="24">
        <v>1.9354844953175812</v>
      </c>
      <c r="Q875" s="24">
        <v>9.8546209761163031</v>
      </c>
      <c r="R875" s="24">
        <v>3.9</v>
      </c>
      <c r="S875" s="24">
        <v>6.1585252119257143</v>
      </c>
      <c r="T875" s="24">
        <v>0.43697002035486499</v>
      </c>
      <c r="U875" s="24" t="s">
        <v>3503</v>
      </c>
      <c r="V875">
        <v>0</v>
      </c>
      <c r="W875" s="21">
        <v>0</v>
      </c>
      <c r="X875" s="56" t="str">
        <f>IFERROR(VLOOKUP(A875,Output!A:F,6,0),"-")</f>
        <v>-</v>
      </c>
    </row>
    <row r="876" spans="1:24" hidden="1" x14ac:dyDescent="0.25">
      <c r="A876" s="21" t="s">
        <v>2322</v>
      </c>
      <c r="B876" s="40" t="s">
        <v>2323</v>
      </c>
      <c r="C876" s="21" t="s">
        <v>246</v>
      </c>
      <c r="D876" s="21" t="s">
        <v>74</v>
      </c>
      <c r="E876" s="21" t="s">
        <v>92</v>
      </c>
      <c r="F876" s="55">
        <v>1.8781165061312934E-4</v>
      </c>
      <c r="G876" s="21">
        <v>7.3037780000000003</v>
      </c>
      <c r="H876" s="21">
        <v>7.6213949999999997</v>
      </c>
      <c r="I876" s="21">
        <v>5.7909480000000002</v>
      </c>
      <c r="J876" s="21">
        <v>6.945214</v>
      </c>
      <c r="K876" s="24">
        <v>1.9385939999999999</v>
      </c>
      <c r="L876" s="24">
        <v>3.8441709999999998</v>
      </c>
      <c r="M876" s="24">
        <v>11.030099999999999</v>
      </c>
      <c r="N876" s="24">
        <v>4.6641985185185177</v>
      </c>
      <c r="O876" s="24">
        <v>0.61224489795918358</v>
      </c>
      <c r="P876" s="24">
        <v>7.6438356164383574</v>
      </c>
      <c r="Q876" s="24">
        <v>2.0291943551662808</v>
      </c>
      <c r="R876" s="24">
        <v>3.79</v>
      </c>
      <c r="S876" s="24">
        <v>4.7037458867302693</v>
      </c>
      <c r="T876" s="24">
        <v>0.46925155810163688</v>
      </c>
      <c r="U876" s="24" t="s">
        <v>3840</v>
      </c>
      <c r="V876">
        <v>0</v>
      </c>
      <c r="W876" s="21">
        <v>0</v>
      </c>
      <c r="X876" s="56" t="str">
        <f>IFERROR(VLOOKUP(A876,Output!A:F,6,0),"-")</f>
        <v>-</v>
      </c>
    </row>
    <row r="877" spans="1:24" x14ac:dyDescent="0.25">
      <c r="A877" s="21" t="s">
        <v>662</v>
      </c>
      <c r="B877" s="40" t="s">
        <v>663</v>
      </c>
      <c r="C877" s="21" t="s">
        <v>248</v>
      </c>
      <c r="D877" s="21" t="s">
        <v>75</v>
      </c>
      <c r="E877" s="21" t="s">
        <v>97</v>
      </c>
      <c r="F877" s="55">
        <v>1.876841812627734E-4</v>
      </c>
      <c r="G877" s="24">
        <v>5.1576919999999999</v>
      </c>
      <c r="H877" s="24">
        <v>6.9991180000000002</v>
      </c>
      <c r="I877" s="24">
        <v>3.1195119999999998</v>
      </c>
      <c r="J877" s="24">
        <v>5.0921079999999996</v>
      </c>
      <c r="K877" s="24">
        <v>3.626957</v>
      </c>
      <c r="L877" s="24">
        <v>9.1992119999999993</v>
      </c>
      <c r="M877" s="24">
        <v>5.2698</v>
      </c>
      <c r="N877" s="24">
        <v>5.9936994483433681</v>
      </c>
      <c r="O877" s="24">
        <v>5.9139784946236551</v>
      </c>
      <c r="P877" s="24">
        <v>4.5454545454545467</v>
      </c>
      <c r="Q877" s="24">
        <v>5.9934117693299669</v>
      </c>
      <c r="R877" s="24">
        <v>6.75</v>
      </c>
      <c r="S877" s="24">
        <v>6.6622619469410758</v>
      </c>
      <c r="T877" s="24">
        <v>0.34642363891771538</v>
      </c>
      <c r="U877" s="24" t="s">
        <v>2826</v>
      </c>
      <c r="V877">
        <v>0</v>
      </c>
      <c r="W877" s="21">
        <v>0</v>
      </c>
      <c r="X877" s="56" t="str">
        <f>IFERROR(VLOOKUP(A877,Output!A:F,6,0),"-")</f>
        <v>-</v>
      </c>
    </row>
    <row r="878" spans="1:24" hidden="1" x14ac:dyDescent="0.25">
      <c r="A878" s="21" t="s">
        <v>529</v>
      </c>
      <c r="B878" s="40" t="s">
        <v>999</v>
      </c>
      <c r="C878" s="21" t="s">
        <v>244</v>
      </c>
      <c r="D878" s="21" t="s">
        <v>73</v>
      </c>
      <c r="E878" s="21" t="s">
        <v>91</v>
      </c>
      <c r="F878" s="55">
        <v>1.8750198158361424E-4</v>
      </c>
      <c r="G878" s="24">
        <v>1.7291380000000001</v>
      </c>
      <c r="H878" s="24">
        <v>4.5285890000000002</v>
      </c>
      <c r="I878" s="24">
        <v>3.5426739999999999</v>
      </c>
      <c r="J878" s="24">
        <v>3.5743330000000002</v>
      </c>
      <c r="K878" s="24">
        <v>2.9623870000000001</v>
      </c>
      <c r="L878" s="24">
        <v>14.269069999999999</v>
      </c>
      <c r="M878" s="24">
        <v>27.4998</v>
      </c>
      <c r="N878" s="24">
        <v>0.87256111388646462</v>
      </c>
      <c r="O878" s="24">
        <v>2.3232323232323231</v>
      </c>
      <c r="P878" s="24">
        <v>5.1351351553632636</v>
      </c>
      <c r="Q878" s="24">
        <v>8.1104425186422127</v>
      </c>
      <c r="R878" s="24">
        <v>7.88</v>
      </c>
      <c r="S878" s="24">
        <v>6.4988640756927145</v>
      </c>
      <c r="T878" s="24">
        <v>0.76349451350616926</v>
      </c>
      <c r="U878" s="24" t="s">
        <v>3111</v>
      </c>
      <c r="V878">
        <v>0</v>
      </c>
      <c r="W878" s="21">
        <v>1</v>
      </c>
      <c r="X878" s="56" t="str">
        <f>IFERROR(VLOOKUP(A878,Output!A:F,6,0),"-")</f>
        <v>-</v>
      </c>
    </row>
    <row r="879" spans="1:24" hidden="1" x14ac:dyDescent="0.25">
      <c r="A879" s="21" t="s">
        <v>4257</v>
      </c>
      <c r="B879" s="40" t="s">
        <v>4258</v>
      </c>
      <c r="C879" s="21" t="s">
        <v>245</v>
      </c>
      <c r="D879" s="21" t="s">
        <v>73</v>
      </c>
      <c r="E879" s="21" t="s">
        <v>95</v>
      </c>
      <c r="F879" s="55">
        <v>1.8749604575751244E-4</v>
      </c>
      <c r="G879" s="24">
        <v>5.4110430000000003</v>
      </c>
      <c r="H879" s="24">
        <v>7.5406300000000002</v>
      </c>
      <c r="I879" s="24">
        <v>5.0725939999999996</v>
      </c>
      <c r="J879" s="24">
        <v>5.7354250000000002</v>
      </c>
      <c r="K879" s="24">
        <v>2.7903159999999998</v>
      </c>
      <c r="L879" s="24">
        <v>9.2771190000000008</v>
      </c>
      <c r="M879" s="24">
        <v>796.94669999999996</v>
      </c>
      <c r="N879" s="24">
        <v>6.1287409503747927</v>
      </c>
      <c r="O879" s="69">
        <v>5.7731958762886588</v>
      </c>
      <c r="P879" s="69">
        <v>8.0936454849498318</v>
      </c>
      <c r="Q879" s="24">
        <v>5.7286492309533763</v>
      </c>
      <c r="R879" s="24">
        <v>7.06</v>
      </c>
      <c r="S879" s="24">
        <v>6.7280739340351436</v>
      </c>
      <c r="T879" s="24">
        <v>0.55944045280105537</v>
      </c>
      <c r="U879" s="24" t="s">
        <v>4259</v>
      </c>
      <c r="V879">
        <v>1</v>
      </c>
      <c r="W879" s="21">
        <v>0</v>
      </c>
      <c r="X879" s="56" t="str">
        <f>IFERROR(VLOOKUP(A879,Output!A:F,6,0),"-")</f>
        <v>-</v>
      </c>
    </row>
    <row r="880" spans="1:24" x14ac:dyDescent="0.25">
      <c r="A880" s="21" t="s">
        <v>1654</v>
      </c>
      <c r="B880" s="40" t="s">
        <v>1655</v>
      </c>
      <c r="C880" s="21" t="s">
        <v>248</v>
      </c>
      <c r="D880" s="21" t="s">
        <v>75</v>
      </c>
      <c r="E880" s="21" t="s">
        <v>92</v>
      </c>
      <c r="F880" s="55">
        <v>1.8696604691167569E-4</v>
      </c>
      <c r="G880" s="24">
        <v>5.2687590000000002</v>
      </c>
      <c r="H880" s="24">
        <v>5.7884909999999996</v>
      </c>
      <c r="I880" s="24">
        <v>6.972785</v>
      </c>
      <c r="J880" s="24">
        <v>5.935886</v>
      </c>
      <c r="K880" s="24">
        <v>3.6246260000000001</v>
      </c>
      <c r="L880" s="24">
        <v>13.45983</v>
      </c>
      <c r="M880" s="24">
        <v>1108.454</v>
      </c>
      <c r="N880" s="24">
        <v>5.0643884430368935</v>
      </c>
      <c r="O880" s="24">
        <v>9.0526315789473681</v>
      </c>
      <c r="P880" s="24">
        <v>5.1314287939918266</v>
      </c>
      <c r="Q880" s="24">
        <v>8.3598367730207706</v>
      </c>
      <c r="R880" s="24">
        <v>6.1</v>
      </c>
      <c r="S880" s="24">
        <v>6.2899808084457405</v>
      </c>
      <c r="T880" s="24">
        <v>6.5772178016563126E-2</v>
      </c>
      <c r="U880" s="24" t="s">
        <v>3471</v>
      </c>
      <c r="V880">
        <v>0</v>
      </c>
      <c r="W880" s="21">
        <v>0</v>
      </c>
      <c r="X880" s="56" t="str">
        <f>IFERROR(VLOOKUP(A880,Output!A:F,6,0),"-")</f>
        <v>-</v>
      </c>
    </row>
    <row r="881" spans="1:24" hidden="1" x14ac:dyDescent="0.25">
      <c r="A881" s="21" t="s">
        <v>4585</v>
      </c>
      <c r="B881" s="40" t="s">
        <v>4586</v>
      </c>
      <c r="C881" s="21" t="s">
        <v>254</v>
      </c>
      <c r="D881" s="21" t="s">
        <v>74</v>
      </c>
      <c r="E881" s="21" t="s">
        <v>91</v>
      </c>
      <c r="F881" s="55">
        <v>1.8682901987522357E-4</v>
      </c>
      <c r="G881" s="24">
        <v>6.2345379999999997</v>
      </c>
      <c r="H881" s="24">
        <v>6.4018740000000003</v>
      </c>
      <c r="I881" s="24">
        <v>3.171116</v>
      </c>
      <c r="J881" s="24">
        <v>5.0761039999999999</v>
      </c>
      <c r="K881" s="24">
        <v>2.2435559999999999</v>
      </c>
      <c r="L881" s="24">
        <v>8.7649430000000006</v>
      </c>
      <c r="M881" s="24">
        <v>27.976700000000001</v>
      </c>
      <c r="N881" s="24">
        <v>4.8122866894197962</v>
      </c>
      <c r="O881" s="24">
        <v>7.7319587628865971</v>
      </c>
      <c r="P881" s="24">
        <v>3.3333333333333344</v>
      </c>
      <c r="Q881" s="24">
        <v>7.3524266951288206</v>
      </c>
      <c r="R881" s="24" t="e">
        <v>#N/A</v>
      </c>
      <c r="S881" s="24">
        <v>5.699293221804127</v>
      </c>
      <c r="T881" s="24">
        <v>5.6575366615184787E-2</v>
      </c>
      <c r="U881" s="24" t="s">
        <v>4587</v>
      </c>
      <c r="V881">
        <v>0</v>
      </c>
      <c r="W881" s="21">
        <v>0</v>
      </c>
      <c r="X881" s="56" t="str">
        <f>IFERROR(VLOOKUP(A881,Output!A:F,6,0),"-")</f>
        <v>-</v>
      </c>
    </row>
    <row r="882" spans="1:24" hidden="1" x14ac:dyDescent="0.25">
      <c r="A882" s="21" t="s">
        <v>2112</v>
      </c>
      <c r="B882" s="40" t="s">
        <v>2113</v>
      </c>
      <c r="C882" s="21" t="s">
        <v>257</v>
      </c>
      <c r="D882" s="21" t="s">
        <v>74</v>
      </c>
      <c r="E882" s="21" t="s">
        <v>91</v>
      </c>
      <c r="F882" s="55">
        <v>1.8668253575989741E-4</v>
      </c>
      <c r="G882" s="24">
        <v>4.6543859999999997</v>
      </c>
      <c r="H882" s="24">
        <v>5.0171229999999998</v>
      </c>
      <c r="I882" s="24">
        <v>6.9885279999999996</v>
      </c>
      <c r="J882" s="24">
        <v>5.7331380000000003</v>
      </c>
      <c r="K882" s="24">
        <v>3.8650679999999999</v>
      </c>
      <c r="L882" s="24">
        <v>10.405530000000001</v>
      </c>
      <c r="M882" s="24">
        <v>40.606099999999998</v>
      </c>
      <c r="N882" s="24">
        <v>1.4698511945392492</v>
      </c>
      <c r="O882" s="24">
        <v>3.9175257731958757</v>
      </c>
      <c r="P882" s="24">
        <v>1.1111111111111112</v>
      </c>
      <c r="Q882" s="24">
        <v>10</v>
      </c>
      <c r="R882" s="24">
        <v>7.05</v>
      </c>
      <c r="S882" s="24">
        <v>5.5389848602041152</v>
      </c>
      <c r="T882" s="24">
        <v>0.11327363448593455</v>
      </c>
      <c r="U882" s="24" t="s">
        <v>3720</v>
      </c>
      <c r="V882">
        <v>0</v>
      </c>
      <c r="W882" s="21">
        <v>0</v>
      </c>
      <c r="X882" s="56" t="str">
        <f>IFERROR(VLOOKUP(A882,Output!A:F,6,0),"-")</f>
        <v>-</v>
      </c>
    </row>
    <row r="883" spans="1:24" hidden="1" x14ac:dyDescent="0.25">
      <c r="A883" s="21" t="s">
        <v>618</v>
      </c>
      <c r="B883" s="40" t="s">
        <v>882</v>
      </c>
      <c r="C883" s="21" t="s">
        <v>244</v>
      </c>
      <c r="D883" s="21" t="s">
        <v>73</v>
      </c>
      <c r="E883" s="21" t="s">
        <v>100</v>
      </c>
      <c r="F883" s="55">
        <v>1.8612627842910177E-4</v>
      </c>
      <c r="G883" s="24">
        <v>4.0641759999999998</v>
      </c>
      <c r="H883" s="24">
        <v>4.7638699999999998</v>
      </c>
      <c r="I883" s="24">
        <v>6.0845560000000001</v>
      </c>
      <c r="J883" s="24">
        <v>4.880198</v>
      </c>
      <c r="K883" s="24">
        <v>2.3976549999999999</v>
      </c>
      <c r="L883" s="24">
        <v>7.7628919999999999</v>
      </c>
      <c r="M883" s="24">
        <v>25.309799999999999</v>
      </c>
      <c r="N883" s="24">
        <v>2.7789039247230414</v>
      </c>
      <c r="O883" s="24">
        <v>5.333333333333333</v>
      </c>
      <c r="P883" s="24">
        <v>5.2631578947368416</v>
      </c>
      <c r="Q883" s="24">
        <v>5.692764709478304</v>
      </c>
      <c r="R883" s="24">
        <v>5.41</v>
      </c>
      <c r="S883" s="24">
        <v>4.2598978688866911</v>
      </c>
      <c r="T883" s="24">
        <v>0.74954359810436488</v>
      </c>
      <c r="U883" s="24" t="s">
        <v>2959</v>
      </c>
      <c r="V883">
        <v>0</v>
      </c>
      <c r="W883" s="21">
        <v>0</v>
      </c>
      <c r="X883" s="56" t="str">
        <f>IFERROR(VLOOKUP(A883,Output!A:F,6,0),"-")</f>
        <v>-</v>
      </c>
    </row>
    <row r="884" spans="1:24" hidden="1" x14ac:dyDescent="0.25">
      <c r="A884" s="21" t="s">
        <v>1992</v>
      </c>
      <c r="B884" s="40" t="s">
        <v>1993</v>
      </c>
      <c r="C884" s="21" t="s">
        <v>247</v>
      </c>
      <c r="D884" s="21" t="s">
        <v>74</v>
      </c>
      <c r="E884" s="21" t="s">
        <v>92</v>
      </c>
      <c r="F884" s="55">
        <v>1.8592757916552404E-4</v>
      </c>
      <c r="G884" s="21">
        <v>4.3823990000000004</v>
      </c>
      <c r="H884" s="21">
        <v>5.263363</v>
      </c>
      <c r="I884" s="21">
        <v>6.4176159999999998</v>
      </c>
      <c r="J884" s="21">
        <v>5.2572539999999996</v>
      </c>
      <c r="K884" s="24">
        <v>2.412366</v>
      </c>
      <c r="L884" s="24">
        <v>5.8750020000000003</v>
      </c>
      <c r="M884" s="24">
        <v>9.1598000000000006</v>
      </c>
      <c r="N884" s="24">
        <v>4.397531851851852</v>
      </c>
      <c r="O884" s="24">
        <v>5.2040816326530601</v>
      </c>
      <c r="P884" s="24">
        <v>5.4246575342465757</v>
      </c>
      <c r="Q884" s="24">
        <v>6.372661501140815</v>
      </c>
      <c r="R884" s="24">
        <v>5.16</v>
      </c>
      <c r="S884" s="24">
        <v>6.1555859973155682</v>
      </c>
      <c r="T884" s="24">
        <v>0.27324993401506792</v>
      </c>
      <c r="U884" s="24" t="s">
        <v>3657</v>
      </c>
      <c r="V884">
        <v>0</v>
      </c>
      <c r="W884" s="21">
        <v>0</v>
      </c>
      <c r="X884" s="56" t="str">
        <f>IFERROR(VLOOKUP(A884,Output!A:F,6,0),"-")</f>
        <v>-</v>
      </c>
    </row>
    <row r="885" spans="1:24" hidden="1" x14ac:dyDescent="0.25">
      <c r="A885" s="21" t="s">
        <v>4406</v>
      </c>
      <c r="B885" s="40" t="s">
        <v>4476</v>
      </c>
      <c r="C885" s="21" t="s">
        <v>298</v>
      </c>
      <c r="D885" s="21" t="s">
        <v>74</v>
      </c>
      <c r="E885" s="21" t="s">
        <v>99</v>
      </c>
      <c r="F885" s="55">
        <v>1.8588099802170811E-4</v>
      </c>
      <c r="G885" s="24">
        <v>6.054862</v>
      </c>
      <c r="H885" s="24">
        <v>3.839172</v>
      </c>
      <c r="I885" s="24">
        <v>4.2102880000000003</v>
      </c>
      <c r="J885" s="24">
        <v>4.8367820000000004</v>
      </c>
      <c r="K885" s="24">
        <v>2.10534</v>
      </c>
      <c r="L885" s="24">
        <v>2.4263590000000002</v>
      </c>
      <c r="M885" s="24">
        <v>14.8713</v>
      </c>
      <c r="N885" s="24">
        <v>10</v>
      </c>
      <c r="O885" s="24">
        <v>9.560439560439562</v>
      </c>
      <c r="P885" s="24">
        <v>8.5378150277522717</v>
      </c>
      <c r="Q885" s="24">
        <v>0</v>
      </c>
      <c r="R885" s="24">
        <v>9.23</v>
      </c>
      <c r="S885" s="24">
        <v>4.740336124342913</v>
      </c>
      <c r="T885" s="24">
        <v>1.2155137538321992</v>
      </c>
      <c r="U885" s="24" t="s">
        <v>4477</v>
      </c>
      <c r="V885">
        <v>0</v>
      </c>
      <c r="W885" s="21">
        <v>0</v>
      </c>
      <c r="X885" s="56" t="str">
        <f>IFERROR(VLOOKUP(A885,Output!A:F,6,0),"-")</f>
        <v>-</v>
      </c>
    </row>
    <row r="886" spans="1:24" hidden="1" x14ac:dyDescent="0.25">
      <c r="A886" s="21" t="s">
        <v>2315</v>
      </c>
      <c r="B886" s="40" t="s">
        <v>2316</v>
      </c>
      <c r="C886" s="21" t="s">
        <v>1752</v>
      </c>
      <c r="D886" s="21" t="s">
        <v>74</v>
      </c>
      <c r="E886" s="21" t="s">
        <v>102</v>
      </c>
      <c r="F886" s="55">
        <v>1.8562636114266239E-4</v>
      </c>
      <c r="G886" s="24">
        <v>4.4990579999999998</v>
      </c>
      <c r="H886" s="24">
        <v>7.109909</v>
      </c>
      <c r="I886" s="24">
        <v>4.4971949999999996</v>
      </c>
      <c r="J886" s="24">
        <v>5.0208560000000002</v>
      </c>
      <c r="K886" s="24">
        <v>5.6728230000000002</v>
      </c>
      <c r="L886" s="24">
        <v>6.6073919999999999</v>
      </c>
      <c r="M886" s="24">
        <v>708.14189999999996</v>
      </c>
      <c r="N886" s="24">
        <v>6.7305208445735056</v>
      </c>
      <c r="O886" s="24">
        <v>3.4065934065934069</v>
      </c>
      <c r="P886" s="24">
        <v>3.6280487804878048</v>
      </c>
      <c r="Q886" s="24">
        <v>6.0901113600896792</v>
      </c>
      <c r="R886" s="24">
        <v>5.54</v>
      </c>
      <c r="S886" s="24">
        <v>5.3215173086076639</v>
      </c>
      <c r="T886" s="24">
        <v>0.14791645588701324</v>
      </c>
      <c r="U886" s="24" t="s">
        <v>3833</v>
      </c>
      <c r="V886">
        <v>0</v>
      </c>
      <c r="W886" s="21">
        <v>0</v>
      </c>
      <c r="X886" s="56" t="str">
        <f>IFERROR(VLOOKUP(A886,Output!A:F,6,0),"-")</f>
        <v>-</v>
      </c>
    </row>
    <row r="887" spans="1:24" x14ac:dyDescent="0.25">
      <c r="A887" s="21" t="s">
        <v>1509</v>
      </c>
      <c r="B887" s="40" t="s">
        <v>1510</v>
      </c>
      <c r="C887" s="21" t="s">
        <v>248</v>
      </c>
      <c r="D887" s="21" t="s">
        <v>75</v>
      </c>
      <c r="E887" s="21" t="s">
        <v>103</v>
      </c>
      <c r="F887" s="55">
        <v>1.8561368463268225E-4</v>
      </c>
      <c r="G887" s="24">
        <v>4.8821599999999998</v>
      </c>
      <c r="H887" s="24">
        <v>5.0681700000000003</v>
      </c>
      <c r="I887" s="24">
        <v>4.9174790000000002</v>
      </c>
      <c r="J887" s="24">
        <v>4.9485590000000004</v>
      </c>
      <c r="K887" s="24">
        <v>2.7308819999999998</v>
      </c>
      <c r="L887" s="24">
        <v>8.3845580000000002</v>
      </c>
      <c r="M887" s="24">
        <v>60.457000000000001</v>
      </c>
      <c r="N887" s="24">
        <v>6.2326062605726573</v>
      </c>
      <c r="O887" s="24">
        <v>9.3548387096774199</v>
      </c>
      <c r="P887" s="24">
        <v>3.2954545454545459</v>
      </c>
      <c r="Q887" s="24">
        <v>7.4491001061115831</v>
      </c>
      <c r="R887" s="24">
        <v>5.96</v>
      </c>
      <c r="S887" s="24">
        <v>5.989170032067058</v>
      </c>
      <c r="T887" s="24">
        <v>0.40994073833013295</v>
      </c>
      <c r="U887" s="24" t="s">
        <v>3397</v>
      </c>
      <c r="V887">
        <v>0</v>
      </c>
      <c r="W887" s="21">
        <v>0</v>
      </c>
      <c r="X887" s="56" t="str">
        <f>IFERROR(VLOOKUP(A887,Output!A:F,6,0),"-")</f>
        <v>-</v>
      </c>
    </row>
    <row r="888" spans="1:24" hidden="1" x14ac:dyDescent="0.25">
      <c r="A888" s="21" t="s">
        <v>451</v>
      </c>
      <c r="B888" s="40" t="s">
        <v>712</v>
      </c>
      <c r="C888" s="21" t="s">
        <v>244</v>
      </c>
      <c r="D888" s="21" t="s">
        <v>73</v>
      </c>
      <c r="E888" s="21" t="s">
        <v>88</v>
      </c>
      <c r="F888" s="55">
        <v>1.8442672062676314E-4</v>
      </c>
      <c r="G888" s="24">
        <v>5.7296930000000001</v>
      </c>
      <c r="H888" s="24">
        <v>4.4262899999999998</v>
      </c>
      <c r="I888" s="24">
        <v>3.3991220000000002</v>
      </c>
      <c r="J888" s="24">
        <v>4.6395010000000001</v>
      </c>
      <c r="K888" s="24">
        <v>1.444553</v>
      </c>
      <c r="L888" s="24">
        <v>5.0470810000000004</v>
      </c>
      <c r="M888" s="24">
        <v>30.764500000000002</v>
      </c>
      <c r="N888" s="24">
        <v>5.9209275568181834</v>
      </c>
      <c r="O888" s="24">
        <v>7.9797979797979801</v>
      </c>
      <c r="P888" s="24">
        <v>9.876416066420532</v>
      </c>
      <c r="Q888" s="24">
        <v>2.8146185293336874</v>
      </c>
      <c r="R888" s="24">
        <v>7.11</v>
      </c>
      <c r="S888" s="24">
        <v>6.7073758439526951</v>
      </c>
      <c r="T888" s="24">
        <v>1.0390997543603469</v>
      </c>
      <c r="U888" s="24" t="s">
        <v>2941</v>
      </c>
      <c r="V888">
        <v>0</v>
      </c>
      <c r="W888" s="21">
        <v>0</v>
      </c>
      <c r="X888" s="56" t="str">
        <f>IFERROR(VLOOKUP(A888,Output!A:F,6,0),"-")</f>
        <v>-</v>
      </c>
    </row>
    <row r="889" spans="1:24" hidden="1" x14ac:dyDescent="0.25">
      <c r="A889" s="21" t="s">
        <v>2049</v>
      </c>
      <c r="B889" s="40" t="s">
        <v>2050</v>
      </c>
      <c r="C889" s="21" t="s">
        <v>254</v>
      </c>
      <c r="D889" s="21" t="s">
        <v>74</v>
      </c>
      <c r="E889" s="21" t="s">
        <v>89</v>
      </c>
      <c r="F889" s="55">
        <v>1.8438245344905464E-4</v>
      </c>
      <c r="G889" s="24">
        <v>5.0753110000000001</v>
      </c>
      <c r="H889" s="24">
        <v>6.1011879999999996</v>
      </c>
      <c r="I889" s="24">
        <v>6.1125179999999997</v>
      </c>
      <c r="J889" s="24">
        <v>5.79739</v>
      </c>
      <c r="K889" s="24">
        <v>5.0325300000000004</v>
      </c>
      <c r="L889" s="24">
        <v>9.5526079999999993</v>
      </c>
      <c r="M889" s="24">
        <v>2.1507000000000001</v>
      </c>
      <c r="N889" s="24">
        <v>8.938072691046834</v>
      </c>
      <c r="O889" s="24">
        <v>0</v>
      </c>
      <c r="P889" s="24">
        <v>5.6842105263157894</v>
      </c>
      <c r="Q889" s="24">
        <v>3.1477398015435498</v>
      </c>
      <c r="R889" s="24">
        <v>4.93</v>
      </c>
      <c r="S889" s="24">
        <v>4.5274867534526306</v>
      </c>
      <c r="T889" s="24">
        <v>0.63830518724583118</v>
      </c>
      <c r="U889" s="24" t="s">
        <v>3690</v>
      </c>
      <c r="V889">
        <v>0</v>
      </c>
      <c r="W889" s="21">
        <v>0</v>
      </c>
      <c r="X889" s="56" t="str">
        <f>IFERROR(VLOOKUP(A889,Output!A:F,6,0),"-")</f>
        <v>-</v>
      </c>
    </row>
    <row r="890" spans="1:24" hidden="1" x14ac:dyDescent="0.25">
      <c r="A890" s="21" t="s">
        <v>2081</v>
      </c>
      <c r="B890" s="40" t="s">
        <v>2082</v>
      </c>
      <c r="C890" s="21" t="s">
        <v>246</v>
      </c>
      <c r="D890" s="21" t="s">
        <v>74</v>
      </c>
      <c r="E890" s="21" t="s">
        <v>92</v>
      </c>
      <c r="F890" s="55">
        <v>1.8433526866190632E-4</v>
      </c>
      <c r="G890" s="24">
        <v>7.7262930000000001</v>
      </c>
      <c r="H890" s="24">
        <v>4.2619350000000003</v>
      </c>
      <c r="I890" s="24">
        <v>5.5698559999999997</v>
      </c>
      <c r="J890" s="24">
        <v>6.0400549999999997</v>
      </c>
      <c r="K890" s="24">
        <v>1.928706</v>
      </c>
      <c r="L890" s="24">
        <v>4.4701969999999998</v>
      </c>
      <c r="M890" s="24">
        <v>21.1267</v>
      </c>
      <c r="N890" s="24">
        <v>4.1209881481481485</v>
      </c>
      <c r="O890" s="24">
        <v>2.3469387755102038</v>
      </c>
      <c r="P890" s="24">
        <v>5.9178082191780828</v>
      </c>
      <c r="Q890" s="24">
        <v>3.2792713022916828</v>
      </c>
      <c r="R890" s="24">
        <v>5.07</v>
      </c>
      <c r="S890" s="24">
        <v>4.6145361611506583</v>
      </c>
      <c r="T890" s="24">
        <v>0.32058044828893406</v>
      </c>
      <c r="U890" s="24" t="s">
        <v>3707</v>
      </c>
      <c r="V890">
        <v>0</v>
      </c>
      <c r="W890" s="21">
        <v>0</v>
      </c>
      <c r="X890" s="56" t="str">
        <f>IFERROR(VLOOKUP(A890,Output!A:F,6,0),"-")</f>
        <v>-</v>
      </c>
    </row>
    <row r="891" spans="1:24" hidden="1" x14ac:dyDescent="0.25">
      <c r="A891" s="21" t="s">
        <v>4558</v>
      </c>
      <c r="B891" s="40" t="s">
        <v>4559</v>
      </c>
      <c r="C891" s="21" t="s">
        <v>244</v>
      </c>
      <c r="D891" s="21" t="s">
        <v>73</v>
      </c>
      <c r="E891" s="21" t="s">
        <v>90</v>
      </c>
      <c r="F891" s="55">
        <v>1.8274627819661672E-4</v>
      </c>
      <c r="G891" s="24">
        <v>3.4942139999999999</v>
      </c>
      <c r="H891" s="24">
        <v>3.7204920000000001</v>
      </c>
      <c r="I891" s="24">
        <v>6.0639789999999998</v>
      </c>
      <c r="J891" s="24">
        <v>4.3330270000000004</v>
      </c>
      <c r="K891" s="24">
        <v>0</v>
      </c>
      <c r="L891" s="24">
        <v>2.0737100000000002</v>
      </c>
      <c r="M891" s="24" t="e">
        <v>#N/A</v>
      </c>
      <c r="N891" s="24">
        <v>9.8870454217736121</v>
      </c>
      <c r="O891" s="24">
        <v>9.896907216494844</v>
      </c>
      <c r="P891" s="24">
        <v>10</v>
      </c>
      <c r="Q891" s="24">
        <v>0</v>
      </c>
      <c r="R891" s="24" t="e">
        <v>#N/A</v>
      </c>
      <c r="S891" s="24">
        <v>4.2841320842800314</v>
      </c>
      <c r="T891" s="24">
        <v>0.46720619124972484</v>
      </c>
      <c r="U891" s="24" t="s">
        <v>4560</v>
      </c>
      <c r="V891">
        <v>0</v>
      </c>
      <c r="W891" s="21">
        <v>1</v>
      </c>
      <c r="X891" s="56" t="str">
        <f>IFERROR(VLOOKUP(A891,Output!A:F,6,0),"-")</f>
        <v>-</v>
      </c>
    </row>
    <row r="892" spans="1:24" hidden="1" x14ac:dyDescent="0.25">
      <c r="A892" s="21" t="s">
        <v>551</v>
      </c>
      <c r="B892" s="40" t="s">
        <v>989</v>
      </c>
      <c r="C892" s="21" t="s">
        <v>244</v>
      </c>
      <c r="D892" s="21" t="s">
        <v>73</v>
      </c>
      <c r="E892" s="21" t="s">
        <v>87</v>
      </c>
      <c r="F892" s="55">
        <v>1.8127580303891933E-4</v>
      </c>
      <c r="G892" s="21">
        <v>4.5324580000000001</v>
      </c>
      <c r="H892" s="21">
        <v>5.6944679999999996</v>
      </c>
      <c r="I892" s="21">
        <v>5.3028729999999999</v>
      </c>
      <c r="J892" s="21">
        <v>5.1765999999999996</v>
      </c>
      <c r="K892" s="24">
        <v>2.3980070000000002</v>
      </c>
      <c r="L892" s="24">
        <v>8.7089660000000002</v>
      </c>
      <c r="M892" s="24">
        <v>417.31040000000002</v>
      </c>
      <c r="N892" s="24">
        <v>4.2510327609004515</v>
      </c>
      <c r="O892" s="24">
        <v>1.9587628865979378</v>
      </c>
      <c r="P892" s="24">
        <v>5.1111111111111116</v>
      </c>
      <c r="Q892" s="24">
        <v>10</v>
      </c>
      <c r="R892" s="24">
        <v>4.53</v>
      </c>
      <c r="S892" s="24">
        <v>6.5438818381837258</v>
      </c>
      <c r="T892" s="24">
        <v>1.0987579170960327</v>
      </c>
      <c r="U892" s="24" t="s">
        <v>3074</v>
      </c>
      <c r="V892">
        <v>0</v>
      </c>
      <c r="W892" s="21">
        <v>0</v>
      </c>
      <c r="X892" s="56" t="str">
        <f>IFERROR(VLOOKUP(A892,Output!A:F,6,0),"-")</f>
        <v>-</v>
      </c>
    </row>
    <row r="893" spans="1:24" hidden="1" x14ac:dyDescent="0.25">
      <c r="A893" s="21" t="s">
        <v>2250</v>
      </c>
      <c r="B893" s="40" t="s">
        <v>2251</v>
      </c>
      <c r="C893" s="21" t="s">
        <v>298</v>
      </c>
      <c r="D893" s="21" t="s">
        <v>74</v>
      </c>
      <c r="E893" s="21" t="s">
        <v>89</v>
      </c>
      <c r="F893" s="55">
        <v>1.8121624356345705E-4</v>
      </c>
      <c r="G893" s="24">
        <v>6.1679789999999999</v>
      </c>
      <c r="H893" s="24">
        <v>6.3836380000000004</v>
      </c>
      <c r="I893" s="24">
        <v>6.1081620000000001</v>
      </c>
      <c r="J893" s="24">
        <v>6.2225239999999999</v>
      </c>
      <c r="K893" s="24">
        <v>0.42814960000000002</v>
      </c>
      <c r="L893" s="24">
        <v>18.920439999999999</v>
      </c>
      <c r="M893" s="24">
        <v>23.138300000000001</v>
      </c>
      <c r="N893" s="24">
        <v>0.58097472491804425</v>
      </c>
      <c r="O893" s="24">
        <v>5.3535353535353538</v>
      </c>
      <c r="P893" s="24">
        <v>5.3684210526315788</v>
      </c>
      <c r="Q893" s="24">
        <v>1.969864388092613</v>
      </c>
      <c r="R893" s="24">
        <v>1.18</v>
      </c>
      <c r="S893" s="24">
        <v>4.3325069591056335</v>
      </c>
      <c r="T893" s="24">
        <v>0.53508589354676173</v>
      </c>
      <c r="U893" s="24" t="s">
        <v>3797</v>
      </c>
      <c r="V893">
        <v>0</v>
      </c>
      <c r="W893" s="21">
        <v>0</v>
      </c>
      <c r="X893" s="56" t="str">
        <f>IFERROR(VLOOKUP(A893,Output!A:F,6,0),"-")</f>
        <v>-</v>
      </c>
    </row>
    <row r="894" spans="1:24" hidden="1" x14ac:dyDescent="0.25">
      <c r="A894" s="21" t="s">
        <v>615</v>
      </c>
      <c r="B894" s="40" t="s">
        <v>994</v>
      </c>
      <c r="C894" s="21" t="s">
        <v>244</v>
      </c>
      <c r="D894" s="21" t="s">
        <v>73</v>
      </c>
      <c r="E894" s="21" t="s">
        <v>102</v>
      </c>
      <c r="F894" s="55">
        <v>1.8108394506644198E-4</v>
      </c>
      <c r="G894" s="24">
        <v>2.7928389999999998</v>
      </c>
      <c r="H894" s="24">
        <v>5.29176</v>
      </c>
      <c r="I894" s="24">
        <v>5.0177259999999997</v>
      </c>
      <c r="J894" s="24">
        <v>3.7376010000000002</v>
      </c>
      <c r="K894" s="24">
        <v>3.9056950000000001</v>
      </c>
      <c r="L894" s="24">
        <v>10.173719999999999</v>
      </c>
      <c r="M894" s="24">
        <v>4180.7860000000001</v>
      </c>
      <c r="N894" s="24">
        <v>5.3157894404432158</v>
      </c>
      <c r="O894" s="24">
        <v>3.608247422680412</v>
      </c>
      <c r="P894" s="24">
        <v>1.4682539682539679</v>
      </c>
      <c r="Q894" s="24">
        <v>6.0859697315609216</v>
      </c>
      <c r="R894" s="24">
        <v>5.58</v>
      </c>
      <c r="S894" s="24">
        <v>4.356625854442159</v>
      </c>
      <c r="T894" s="24">
        <v>1.2271667891587017</v>
      </c>
      <c r="U894" s="24" t="s">
        <v>3106</v>
      </c>
      <c r="V894">
        <v>1</v>
      </c>
      <c r="W894" s="21">
        <v>1</v>
      </c>
      <c r="X894" s="56" t="str">
        <f>IFERROR(VLOOKUP(A894,Output!A:F,6,0),"-")</f>
        <v>-</v>
      </c>
    </row>
    <row r="895" spans="1:24" hidden="1" x14ac:dyDescent="0.25">
      <c r="A895" s="21" t="s">
        <v>2379</v>
      </c>
      <c r="B895" s="40" t="s">
        <v>2380</v>
      </c>
      <c r="C895" s="21" t="s">
        <v>246</v>
      </c>
      <c r="D895" s="21" t="s">
        <v>74</v>
      </c>
      <c r="E895" s="21" t="s">
        <v>89</v>
      </c>
      <c r="F895" s="55">
        <v>1.8107690256089745E-4</v>
      </c>
      <c r="G895" s="21">
        <v>6.2984499999999999</v>
      </c>
      <c r="H895" s="21">
        <v>6.3342320000000001</v>
      </c>
      <c r="I895" s="21">
        <v>5.181864</v>
      </c>
      <c r="J895" s="21">
        <v>5.9201680000000003</v>
      </c>
      <c r="K895" s="24">
        <v>1.2686900000000001</v>
      </c>
      <c r="L895" s="24">
        <v>4.603542</v>
      </c>
      <c r="M895" s="24">
        <v>6.4115000000000002</v>
      </c>
      <c r="N895" s="24">
        <v>7.9378602202902933</v>
      </c>
      <c r="O895" s="24">
        <v>5.8585858585858581</v>
      </c>
      <c r="P895" s="24">
        <v>4.3684210526315788</v>
      </c>
      <c r="Q895" s="24">
        <v>0</v>
      </c>
      <c r="R895" s="24">
        <v>2.64</v>
      </c>
      <c r="S895" s="24">
        <v>2.4899760747011572</v>
      </c>
      <c r="T895" s="24">
        <v>0.71155844016700143</v>
      </c>
      <c r="U895" s="24" t="s">
        <v>3875</v>
      </c>
      <c r="V895">
        <v>0</v>
      </c>
      <c r="W895" s="21">
        <v>0</v>
      </c>
      <c r="X895" s="56" t="str">
        <f>IFERROR(VLOOKUP(A895,Output!A:F,6,0),"-")</f>
        <v>-</v>
      </c>
    </row>
    <row r="896" spans="1:24" hidden="1" x14ac:dyDescent="0.25">
      <c r="A896" s="21" t="s">
        <v>634</v>
      </c>
      <c r="B896" s="40" t="s">
        <v>1009</v>
      </c>
      <c r="C896" s="21" t="s">
        <v>244</v>
      </c>
      <c r="D896" s="21" t="s">
        <v>73</v>
      </c>
      <c r="E896" s="21" t="s">
        <v>97</v>
      </c>
      <c r="F896" s="55">
        <v>1.8092096136669718E-4</v>
      </c>
      <c r="G896" s="24">
        <v>4.1077459999999997</v>
      </c>
      <c r="H896" s="24">
        <v>5.7483659999999999</v>
      </c>
      <c r="I896" s="24">
        <v>6.8993359999999999</v>
      </c>
      <c r="J896" s="24">
        <v>5.5525060000000002</v>
      </c>
      <c r="K896" s="24">
        <v>6.2443330000000001</v>
      </c>
      <c r="L896" s="24">
        <v>3.665044</v>
      </c>
      <c r="M896" s="24">
        <v>87.915199999999999</v>
      </c>
      <c r="N896" s="24">
        <v>1.4823974451489366</v>
      </c>
      <c r="O896" s="24">
        <v>5.8762886597938131</v>
      </c>
      <c r="P896" s="24">
        <v>5.0000000000000009</v>
      </c>
      <c r="Q896" s="24">
        <v>7.9575783115606127</v>
      </c>
      <c r="R896" s="24">
        <v>6.05</v>
      </c>
      <c r="S896" s="24">
        <v>5.8768079963210305</v>
      </c>
      <c r="T896" s="24">
        <v>0.77007181967826688</v>
      </c>
      <c r="U896" s="24" t="s">
        <v>3113</v>
      </c>
      <c r="V896">
        <v>0</v>
      </c>
      <c r="W896" s="21">
        <v>0</v>
      </c>
      <c r="X896" s="56" t="str">
        <f>IFERROR(VLOOKUP(A896,Output!A:F,6,0),"-")</f>
        <v>-</v>
      </c>
    </row>
    <row r="897" spans="1:24" hidden="1" x14ac:dyDescent="0.25">
      <c r="A897" s="21" t="s">
        <v>4295</v>
      </c>
      <c r="B897" s="40" t="s">
        <v>4296</v>
      </c>
      <c r="C897" s="21" t="s">
        <v>244</v>
      </c>
      <c r="D897" s="21" t="s">
        <v>73</v>
      </c>
      <c r="E897" s="21" t="s">
        <v>95</v>
      </c>
      <c r="F897" s="55">
        <v>1.7976458195628571E-4</v>
      </c>
      <c r="G897" s="24">
        <v>4.452515</v>
      </c>
      <c r="H897" s="24">
        <v>4.7019849999999996</v>
      </c>
      <c r="I897" s="24">
        <v>5.5107660000000003</v>
      </c>
      <c r="J897" s="24">
        <v>4.8198840000000001</v>
      </c>
      <c r="K897" s="24">
        <v>2.9145439999999998</v>
      </c>
      <c r="L897" s="24">
        <v>12.262779999999999</v>
      </c>
      <c r="M897" s="24">
        <v>532.25909999999999</v>
      </c>
      <c r="N897" s="24">
        <v>7.5029941614973552</v>
      </c>
      <c r="O897" s="24">
        <v>0.61855670103092775</v>
      </c>
      <c r="P897" s="24">
        <v>7.8595317725752505</v>
      </c>
      <c r="Q897" s="24">
        <v>8.3681441139505637</v>
      </c>
      <c r="R897" s="24">
        <v>4.01</v>
      </c>
      <c r="S897" s="24">
        <v>6.8877225195273999</v>
      </c>
      <c r="T897" s="24">
        <v>0.81416591832229013</v>
      </c>
      <c r="U897" s="24" t="s">
        <v>4297</v>
      </c>
      <c r="V897">
        <v>1</v>
      </c>
      <c r="W897" s="21">
        <v>0</v>
      </c>
      <c r="X897" s="56" t="str">
        <f>IFERROR(VLOOKUP(A897,Output!A:F,6,0),"-")</f>
        <v>-</v>
      </c>
    </row>
    <row r="898" spans="1:24" x14ac:dyDescent="0.25">
      <c r="A898" s="21" t="s">
        <v>1224</v>
      </c>
      <c r="B898" s="40" t="s">
        <v>1225</v>
      </c>
      <c r="C898" s="21" t="s">
        <v>248</v>
      </c>
      <c r="D898" s="21" t="s">
        <v>75</v>
      </c>
      <c r="E898" s="21" t="s">
        <v>89</v>
      </c>
      <c r="F898" s="55">
        <v>1.7964988972313202E-4</v>
      </c>
      <c r="G898" s="21">
        <v>7.114096</v>
      </c>
      <c r="H898" s="21">
        <v>7.703119</v>
      </c>
      <c r="I898" s="21">
        <v>5.9982439999999997</v>
      </c>
      <c r="J898" s="21">
        <v>6.9297060000000004</v>
      </c>
      <c r="K898" s="24">
        <v>3.4581499999999998</v>
      </c>
      <c r="L898" s="24">
        <v>10.9985</v>
      </c>
      <c r="M898" s="24">
        <v>6.944</v>
      </c>
      <c r="N898" s="24">
        <v>6.7894746565096913</v>
      </c>
      <c r="O898" s="24">
        <v>10</v>
      </c>
      <c r="P898" s="24">
        <v>1.6574585635359116</v>
      </c>
      <c r="Q898" s="24">
        <v>6.5820404325340851</v>
      </c>
      <c r="R898" s="24">
        <v>6.67</v>
      </c>
      <c r="S898" s="24">
        <v>5.0556431793847372</v>
      </c>
      <c r="T898" s="24">
        <v>0.37388967382446053</v>
      </c>
      <c r="U898" s="24" t="s">
        <v>3246</v>
      </c>
      <c r="V898">
        <v>0</v>
      </c>
      <c r="W898" s="21">
        <v>0</v>
      </c>
      <c r="X898" s="56" t="str">
        <f>IFERROR(VLOOKUP(A898,Output!A:F,6,0),"-")</f>
        <v>-</v>
      </c>
    </row>
    <row r="899" spans="1:24" hidden="1" x14ac:dyDescent="0.25">
      <c r="A899" s="21" t="s">
        <v>431</v>
      </c>
      <c r="B899" s="40" t="s">
        <v>855</v>
      </c>
      <c r="C899" s="21" t="s">
        <v>244</v>
      </c>
      <c r="D899" s="21" t="s">
        <v>73</v>
      </c>
      <c r="E899" s="21" t="s">
        <v>87</v>
      </c>
      <c r="F899" s="55">
        <v>1.7912612852506328E-4</v>
      </c>
      <c r="G899" s="24">
        <v>3.938088</v>
      </c>
      <c r="H899" s="24">
        <v>6.9340070000000003</v>
      </c>
      <c r="I899" s="24">
        <v>5.4078949999999999</v>
      </c>
      <c r="J899" s="24">
        <v>5.4266629999999996</v>
      </c>
      <c r="K899" s="24">
        <v>3.2453639999999999</v>
      </c>
      <c r="L899" s="24">
        <v>8.7580179999999999</v>
      </c>
      <c r="M899" s="24">
        <v>753.69780000000003</v>
      </c>
      <c r="N899" s="24">
        <v>4.483472339022331</v>
      </c>
      <c r="O899" s="24">
        <v>5.9793814432989691</v>
      </c>
      <c r="P899" s="24">
        <v>5.0740740740740744</v>
      </c>
      <c r="Q899" s="24">
        <v>6.5315894734526836</v>
      </c>
      <c r="R899" s="24">
        <v>6.5</v>
      </c>
      <c r="S899" s="24">
        <v>6.5709402620836013</v>
      </c>
      <c r="T899" s="24">
        <v>0.9984574656694164</v>
      </c>
      <c r="U899" s="24" t="s">
        <v>2968</v>
      </c>
      <c r="V899">
        <v>0</v>
      </c>
      <c r="W899" s="21">
        <v>0</v>
      </c>
      <c r="X899" s="56" t="str">
        <f>IFERROR(VLOOKUP(A899,Output!A:F,6,0),"-")</f>
        <v>-</v>
      </c>
    </row>
    <row r="900" spans="1:24" hidden="1" x14ac:dyDescent="0.25">
      <c r="A900" s="21" t="s">
        <v>587</v>
      </c>
      <c r="B900" s="40" t="s">
        <v>978</v>
      </c>
      <c r="C900" s="21" t="s">
        <v>244</v>
      </c>
      <c r="D900" s="21" t="s">
        <v>73</v>
      </c>
      <c r="E900" s="21" t="s">
        <v>99</v>
      </c>
      <c r="F900" s="55">
        <v>1.787032763707254E-4</v>
      </c>
      <c r="G900" s="21">
        <v>9.0611549999999994</v>
      </c>
      <c r="H900" s="21">
        <v>4.9456220000000002</v>
      </c>
      <c r="I900" s="21">
        <v>4.4868889999999997</v>
      </c>
      <c r="J900" s="21">
        <v>5.5852360000000001</v>
      </c>
      <c r="K900" s="24">
        <v>0</v>
      </c>
      <c r="L900" s="24">
        <v>-3.7201170000000001</v>
      </c>
      <c r="M900" s="24">
        <v>2.1246</v>
      </c>
      <c r="N900" s="24">
        <v>6.3131429607847629</v>
      </c>
      <c r="O900" s="24">
        <v>4.6875</v>
      </c>
      <c r="P900" s="24">
        <v>2.6666662686567166</v>
      </c>
      <c r="Q900" s="24">
        <v>1.6301274058746598</v>
      </c>
      <c r="R900" s="24" t="e">
        <v>#N/A</v>
      </c>
      <c r="S900" s="24">
        <v>2.2421862717036722</v>
      </c>
      <c r="T900" s="24">
        <v>1.8250307398239836</v>
      </c>
      <c r="U900" s="24" t="s">
        <v>3005</v>
      </c>
      <c r="V900">
        <v>0</v>
      </c>
      <c r="W900" s="21">
        <v>0</v>
      </c>
      <c r="X900" s="56" t="str">
        <f>IFERROR(VLOOKUP(A900,Output!A:F,6,0),"-")</f>
        <v>-</v>
      </c>
    </row>
    <row r="901" spans="1:24" hidden="1" x14ac:dyDescent="0.25">
      <c r="A901" s="21" t="s">
        <v>430</v>
      </c>
      <c r="B901" s="40" t="s">
        <v>848</v>
      </c>
      <c r="C901" s="21" t="s">
        <v>244</v>
      </c>
      <c r="D901" s="21" t="s">
        <v>73</v>
      </c>
      <c r="E901" s="21" t="s">
        <v>92</v>
      </c>
      <c r="F901" s="55">
        <v>1.7865488429691232E-4</v>
      </c>
      <c r="G901" s="24">
        <v>4.7332090000000004</v>
      </c>
      <c r="H901" s="24">
        <v>3.861885</v>
      </c>
      <c r="I901" s="24">
        <v>4.8475390000000003</v>
      </c>
      <c r="J901" s="24">
        <v>4.5061109999999998</v>
      </c>
      <c r="K901" s="24">
        <v>1.4555210000000001</v>
      </c>
      <c r="L901" s="24">
        <v>5.7212719999999999</v>
      </c>
      <c r="M901" s="24">
        <v>40.210500000000003</v>
      </c>
      <c r="N901" s="24">
        <v>2.1330482954545458</v>
      </c>
      <c r="O901" s="24">
        <v>3.5353535353535355</v>
      </c>
      <c r="P901" s="24">
        <v>7.9608650959387637</v>
      </c>
      <c r="Q901" s="24">
        <v>5.4425272099814181</v>
      </c>
      <c r="R901" s="24">
        <v>5.94</v>
      </c>
      <c r="S901" s="24">
        <v>5.8817180193954304</v>
      </c>
      <c r="T901" s="24">
        <v>1.1654721798298793</v>
      </c>
      <c r="U901" s="24" t="s">
        <v>2954</v>
      </c>
      <c r="V901">
        <v>0</v>
      </c>
      <c r="W901" s="21">
        <v>1</v>
      </c>
      <c r="X901" s="56" t="str">
        <f>IFERROR(VLOOKUP(A901,Output!A:F,6,0),"-")</f>
        <v>-</v>
      </c>
    </row>
    <row r="902" spans="1:24" hidden="1" x14ac:dyDescent="0.25">
      <c r="A902" s="21" t="s">
        <v>2301</v>
      </c>
      <c r="B902" s="40" t="s">
        <v>2302</v>
      </c>
      <c r="C902" s="21" t="s">
        <v>246</v>
      </c>
      <c r="D902" s="21" t="s">
        <v>74</v>
      </c>
      <c r="E902" s="21" t="s">
        <v>98</v>
      </c>
      <c r="F902" s="55">
        <v>1.7856665176316157E-4</v>
      </c>
      <c r="G902" s="24">
        <v>6.6736050000000002</v>
      </c>
      <c r="H902" s="24">
        <v>2.565585</v>
      </c>
      <c r="I902" s="24">
        <v>6.3680700000000003</v>
      </c>
      <c r="J902" s="24">
        <v>4.9081830000000002</v>
      </c>
      <c r="K902" s="24">
        <v>4.2750750000000002</v>
      </c>
      <c r="L902" s="24">
        <v>5.1848089999999996</v>
      </c>
      <c r="M902" s="24">
        <v>27.169899999999998</v>
      </c>
      <c r="N902" s="24">
        <v>4.1706374856017705</v>
      </c>
      <c r="O902" s="24">
        <v>2.5252525252525255</v>
      </c>
      <c r="P902" s="24">
        <v>5.8753709198813056</v>
      </c>
      <c r="Q902" s="24">
        <v>4.9910438108695789</v>
      </c>
      <c r="R902" s="24">
        <v>5.23</v>
      </c>
      <c r="S902" s="24">
        <v>4.4732845505040366</v>
      </c>
      <c r="T902" s="24">
        <v>1.0630434110722407</v>
      </c>
      <c r="U902" s="24" t="s">
        <v>3798</v>
      </c>
      <c r="V902">
        <v>0</v>
      </c>
      <c r="W902" s="21">
        <v>0</v>
      </c>
      <c r="X902" s="56" t="str">
        <f>IFERROR(VLOOKUP(A902,Output!A:F,6,0),"-")</f>
        <v>-</v>
      </c>
    </row>
    <row r="903" spans="1:24" x14ac:dyDescent="0.25">
      <c r="A903" s="21" t="s">
        <v>2009</v>
      </c>
      <c r="B903" s="40" t="s">
        <v>2010</v>
      </c>
      <c r="C903" s="21" t="s">
        <v>253</v>
      </c>
      <c r="D903" s="21" t="s">
        <v>75</v>
      </c>
      <c r="E903" s="21" t="s">
        <v>97</v>
      </c>
      <c r="F903" s="55">
        <v>1.7817025930822673E-4</v>
      </c>
      <c r="G903" s="24">
        <v>4.799169</v>
      </c>
      <c r="H903" s="24">
        <v>5.1611900000000004</v>
      </c>
      <c r="I903" s="24">
        <v>4.9309640000000003</v>
      </c>
      <c r="J903" s="24">
        <v>4.9242910000000002</v>
      </c>
      <c r="K903" s="24">
        <v>7.7438469999999997</v>
      </c>
      <c r="L903" s="24">
        <v>5.1467869999999998</v>
      </c>
      <c r="M903" s="24">
        <v>129.529</v>
      </c>
      <c r="N903" s="24">
        <v>7.767765765765767</v>
      </c>
      <c r="O903" s="24">
        <v>5.2747252747252737</v>
      </c>
      <c r="P903" s="24">
        <v>4.9152542372881358</v>
      </c>
      <c r="Q903" s="24">
        <v>8.1686527823335027</v>
      </c>
      <c r="R903" s="24">
        <v>6.26</v>
      </c>
      <c r="S903" s="24">
        <v>6.1513349723493587</v>
      </c>
      <c r="T903" s="24">
        <v>0.37815603452290658</v>
      </c>
      <c r="U903" s="24" t="s">
        <v>3664</v>
      </c>
      <c r="V903">
        <v>0</v>
      </c>
      <c r="W903" s="21">
        <v>0</v>
      </c>
      <c r="X903" s="56" t="str">
        <f>IFERROR(VLOOKUP(A903,Output!A:F,6,0),"-")</f>
        <v>-</v>
      </c>
    </row>
    <row r="904" spans="1:24" hidden="1" x14ac:dyDescent="0.25">
      <c r="A904" s="21" t="s">
        <v>2305</v>
      </c>
      <c r="B904" s="40" t="s">
        <v>2306</v>
      </c>
      <c r="C904" s="21" t="s">
        <v>254</v>
      </c>
      <c r="D904" s="21" t="s">
        <v>74</v>
      </c>
      <c r="E904" s="21" t="s">
        <v>92</v>
      </c>
      <c r="F904" s="55">
        <v>1.7811371804942638E-4</v>
      </c>
      <c r="G904" s="24">
        <v>7.0936529999999998</v>
      </c>
      <c r="H904" s="24">
        <v>4.995584</v>
      </c>
      <c r="I904" s="24">
        <v>5.3835709999999999</v>
      </c>
      <c r="J904" s="24">
        <v>5.9512080000000003</v>
      </c>
      <c r="K904" s="24">
        <v>2.2302490000000001</v>
      </c>
      <c r="L904" s="24">
        <v>4.0256639999999999</v>
      </c>
      <c r="M904" s="24">
        <v>17.260300000000001</v>
      </c>
      <c r="N904" s="24">
        <v>3.039506666666667</v>
      </c>
      <c r="O904" s="24">
        <v>5.9183673469387754</v>
      </c>
      <c r="P904" s="24">
        <v>6.8493150684931505</v>
      </c>
      <c r="Q904" s="24">
        <v>3.7097068881946083</v>
      </c>
      <c r="R904" s="24">
        <v>5.68</v>
      </c>
      <c r="S904" s="24">
        <v>5.0177320740030069</v>
      </c>
      <c r="T904" s="24">
        <v>0.58811948865669639</v>
      </c>
      <c r="U904" s="24" t="s">
        <v>3828</v>
      </c>
      <c r="V904">
        <v>0</v>
      </c>
      <c r="W904" s="21">
        <v>0</v>
      </c>
      <c r="X904" s="56" t="str">
        <f>IFERROR(VLOOKUP(A904,Output!A:F,6,0),"-")</f>
        <v>-</v>
      </c>
    </row>
    <row r="905" spans="1:24" hidden="1" x14ac:dyDescent="0.25">
      <c r="A905" s="21" t="s">
        <v>4301</v>
      </c>
      <c r="B905" s="40" t="s">
        <v>4302</v>
      </c>
      <c r="C905" s="21" t="s">
        <v>244</v>
      </c>
      <c r="D905" s="21" t="s">
        <v>73</v>
      </c>
      <c r="E905" s="21" t="s">
        <v>97</v>
      </c>
      <c r="F905" s="55">
        <v>1.7760444429133494E-4</v>
      </c>
      <c r="G905" s="24">
        <v>2.5320510000000001</v>
      </c>
      <c r="H905" s="24">
        <v>5.1662920000000003</v>
      </c>
      <c r="I905" s="24">
        <v>6.2529079999999997</v>
      </c>
      <c r="J905" s="24">
        <v>4.5472419999999998</v>
      </c>
      <c r="K905" s="24">
        <v>2.8142680000000002</v>
      </c>
      <c r="L905" s="24">
        <v>1.681338</v>
      </c>
      <c r="M905" s="24">
        <v>94.848699999999994</v>
      </c>
      <c r="N905" s="24">
        <v>5.8415831944582184</v>
      </c>
      <c r="O905" s="24">
        <v>5.5670103092783503</v>
      </c>
      <c r="P905" s="24">
        <v>3.1818181818181825</v>
      </c>
      <c r="Q905" s="24">
        <v>1.5135552746172216</v>
      </c>
      <c r="R905" s="24">
        <v>8.36</v>
      </c>
      <c r="S905" s="24">
        <v>3.8410067977338134</v>
      </c>
      <c r="T905" s="24">
        <v>0.907279778334663</v>
      </c>
      <c r="U905" s="24" t="s">
        <v>4303</v>
      </c>
      <c r="V905">
        <v>0</v>
      </c>
      <c r="W905" s="21">
        <v>1</v>
      </c>
      <c r="X905" s="56" t="str">
        <f>IFERROR(VLOOKUP(A905,Output!A:F,6,0),"-")</f>
        <v>-</v>
      </c>
    </row>
    <row r="906" spans="1:24" x14ac:dyDescent="0.25">
      <c r="A906" s="21" t="s">
        <v>1871</v>
      </c>
      <c r="B906" s="40" t="s">
        <v>4436</v>
      </c>
      <c r="C906" s="21" t="s">
        <v>248</v>
      </c>
      <c r="D906" s="21" t="s">
        <v>75</v>
      </c>
      <c r="E906" s="21" t="s">
        <v>90</v>
      </c>
      <c r="F906" s="55">
        <v>1.7748301137430287E-4</v>
      </c>
      <c r="G906" s="24">
        <v>5.5225520000000001</v>
      </c>
      <c r="H906" s="24">
        <v>5.9783970000000002</v>
      </c>
      <c r="I906" s="24">
        <v>6.285819</v>
      </c>
      <c r="J906" s="24">
        <v>5.8882859999999999</v>
      </c>
      <c r="K906" s="24">
        <v>3.4719220000000002</v>
      </c>
      <c r="L906" s="24">
        <v>7.4335930000000001</v>
      </c>
      <c r="M906" s="24">
        <v>54.4696</v>
      </c>
      <c r="N906" s="24">
        <v>3.3798975552968571</v>
      </c>
      <c r="O906" s="24">
        <v>1.8072289156626506</v>
      </c>
      <c r="P906" s="24">
        <v>4.0769230769230766</v>
      </c>
      <c r="Q906" s="24">
        <v>5.2930708094460535</v>
      </c>
      <c r="R906" s="24">
        <v>5.76</v>
      </c>
      <c r="S906" s="24">
        <v>6.084829564414509</v>
      </c>
      <c r="T906" s="24">
        <v>6.9525859749865832E-2</v>
      </c>
      <c r="U906" s="24" t="s">
        <v>3588</v>
      </c>
      <c r="V906">
        <v>0</v>
      </c>
      <c r="W906" s="21">
        <v>0</v>
      </c>
      <c r="X906" s="56" t="str">
        <f>IFERROR(VLOOKUP(A906,Output!A:F,6,0),"-")</f>
        <v>-</v>
      </c>
    </row>
    <row r="907" spans="1:24" hidden="1" x14ac:dyDescent="0.25">
      <c r="A907" s="21" t="s">
        <v>429</v>
      </c>
      <c r="B907" s="40" t="s">
        <v>710</v>
      </c>
      <c r="C907" s="21" t="s">
        <v>244</v>
      </c>
      <c r="D907" s="21" t="s">
        <v>73</v>
      </c>
      <c r="E907" s="21" t="s">
        <v>92</v>
      </c>
      <c r="F907" s="55">
        <v>1.7669415014609369E-4</v>
      </c>
      <c r="G907" s="24">
        <v>3.1771660000000002</v>
      </c>
      <c r="H907" s="24">
        <v>3.6059749999999999</v>
      </c>
      <c r="I907" s="24">
        <v>4.5095140000000002</v>
      </c>
      <c r="J907" s="24">
        <v>3.7055129999999998</v>
      </c>
      <c r="K907" s="24">
        <v>1.84836</v>
      </c>
      <c r="L907" s="24">
        <v>6.5077980000000002</v>
      </c>
      <c r="M907" s="24">
        <v>88.029700000000005</v>
      </c>
      <c r="N907" s="24">
        <v>2.2064389204545458</v>
      </c>
      <c r="O907" s="24">
        <v>6.262626262626263</v>
      </c>
      <c r="P907" s="24">
        <v>5.0257466734263794</v>
      </c>
      <c r="Q907" s="24">
        <v>8.0049556676400311</v>
      </c>
      <c r="R907" s="24">
        <v>6.43</v>
      </c>
      <c r="S907" s="24">
        <v>6.0945794168490739</v>
      </c>
      <c r="T907" s="24">
        <v>0.84429715619150703</v>
      </c>
      <c r="U907" s="24" t="s">
        <v>2938</v>
      </c>
      <c r="V907">
        <v>0</v>
      </c>
      <c r="W907" s="21">
        <v>1</v>
      </c>
      <c r="X907" s="56" t="str">
        <f>IFERROR(VLOOKUP(A907,Output!A:F,6,0),"-")</f>
        <v>-</v>
      </c>
    </row>
    <row r="908" spans="1:24" hidden="1" x14ac:dyDescent="0.25">
      <c r="A908" s="21" t="s">
        <v>525</v>
      </c>
      <c r="B908" s="40" t="s">
        <v>935</v>
      </c>
      <c r="C908" s="21" t="s">
        <v>244</v>
      </c>
      <c r="D908" s="21" t="s">
        <v>73</v>
      </c>
      <c r="E908" s="21" t="s">
        <v>101</v>
      </c>
      <c r="F908" s="55">
        <v>1.758153460613587E-4</v>
      </c>
      <c r="G908" s="24">
        <v>5.7541359999999999</v>
      </c>
      <c r="H908" s="24">
        <v>5.8554019999999998</v>
      </c>
      <c r="I908" s="24">
        <v>3.8527480000000001</v>
      </c>
      <c r="J908" s="24">
        <v>5.0340870000000004</v>
      </c>
      <c r="K908" s="24">
        <v>0.91414479999999998</v>
      </c>
      <c r="L908" s="24">
        <v>5.5266900000000003</v>
      </c>
      <c r="M908" s="24">
        <v>84.284599999999998</v>
      </c>
      <c r="N908" s="24">
        <v>4.7212837367033353</v>
      </c>
      <c r="O908" s="24">
        <v>6.2244897959183678</v>
      </c>
      <c r="P908" s="24">
        <v>3.3108754314181925</v>
      </c>
      <c r="Q908" s="24">
        <v>6.3538769667171877</v>
      </c>
      <c r="R908" s="24">
        <v>5.09</v>
      </c>
      <c r="S908" s="24">
        <v>4.8412833075358259</v>
      </c>
      <c r="T908" s="24">
        <v>1.2753404582266228</v>
      </c>
      <c r="U908" s="24" t="s">
        <v>3040</v>
      </c>
      <c r="V908">
        <v>0</v>
      </c>
      <c r="W908" s="21">
        <v>0</v>
      </c>
      <c r="X908" s="56" t="str">
        <f>IFERROR(VLOOKUP(A908,Output!A:F,6,0),"-")</f>
        <v>-</v>
      </c>
    </row>
    <row r="909" spans="1:24" hidden="1" x14ac:dyDescent="0.25">
      <c r="A909" s="21" t="s">
        <v>2151</v>
      </c>
      <c r="B909" s="40" t="s">
        <v>2152</v>
      </c>
      <c r="C909" s="21" t="s">
        <v>258</v>
      </c>
      <c r="D909" s="21" t="s">
        <v>74</v>
      </c>
      <c r="E909" s="21" t="s">
        <v>102</v>
      </c>
      <c r="F909" s="55">
        <v>1.7498533647932507E-4</v>
      </c>
      <c r="G909" s="24">
        <v>6.3898970000000004</v>
      </c>
      <c r="H909" s="24">
        <v>6.7581360000000004</v>
      </c>
      <c r="I909" s="24">
        <v>5.8633660000000001</v>
      </c>
      <c r="J909" s="24">
        <v>6.3582380000000001</v>
      </c>
      <c r="K909" s="24">
        <v>4.7375619999999996</v>
      </c>
      <c r="L909" s="24">
        <v>6.4543569999999999</v>
      </c>
      <c r="M909" s="24">
        <v>676.76070000000004</v>
      </c>
      <c r="N909" s="24">
        <v>7.2994992251894653</v>
      </c>
      <c r="O909" s="24">
        <v>6.9230769230769234</v>
      </c>
      <c r="P909" s="24">
        <v>8.475610975609758</v>
      </c>
      <c r="Q909" s="24">
        <v>1.3548419123252531</v>
      </c>
      <c r="R909" s="24">
        <v>4.92</v>
      </c>
      <c r="S909" s="24">
        <v>6.0490815488364014</v>
      </c>
      <c r="T909" s="24">
        <v>8.5182242744113235E-2</v>
      </c>
      <c r="U909" s="24" t="s">
        <v>3776</v>
      </c>
      <c r="V909">
        <v>0</v>
      </c>
      <c r="W909" s="21">
        <v>0</v>
      </c>
      <c r="X909" s="56" t="str">
        <f>IFERROR(VLOOKUP(A909,Output!A:F,6,0),"-")</f>
        <v>-</v>
      </c>
    </row>
    <row r="910" spans="1:24" hidden="1" x14ac:dyDescent="0.25">
      <c r="A910" s="21" t="s">
        <v>479</v>
      </c>
      <c r="B910" s="40" t="s">
        <v>714</v>
      </c>
      <c r="C910" s="21" t="s">
        <v>244</v>
      </c>
      <c r="D910" s="21" t="s">
        <v>73</v>
      </c>
      <c r="E910" s="21" t="s">
        <v>99</v>
      </c>
      <c r="F910" s="55">
        <v>1.7465806118594868E-4</v>
      </c>
      <c r="G910" s="24">
        <v>3.950183</v>
      </c>
      <c r="H910" s="24">
        <v>3.0013559999999999</v>
      </c>
      <c r="I910" s="24">
        <v>3.7271990000000002</v>
      </c>
      <c r="J910" s="24">
        <v>3.5986389999999999</v>
      </c>
      <c r="K910" s="24">
        <v>0</v>
      </c>
      <c r="L910" s="24">
        <v>7.6971550000000004</v>
      </c>
      <c r="M910" s="24">
        <v>4.1375999999999999</v>
      </c>
      <c r="N910" s="24">
        <v>1.8823995171586043</v>
      </c>
      <c r="O910" s="24">
        <v>5.2083333333333339</v>
      </c>
      <c r="P910" s="24">
        <v>6.1194029850746272</v>
      </c>
      <c r="Q910" s="24">
        <v>8.0811169224152426</v>
      </c>
      <c r="R910" s="24" t="e">
        <v>#N/A</v>
      </c>
      <c r="S910" s="24">
        <v>6.2125789597220225</v>
      </c>
      <c r="T910" s="24">
        <v>1.1620133546613141</v>
      </c>
      <c r="U910" s="24" t="s">
        <v>2936</v>
      </c>
      <c r="V910">
        <v>0</v>
      </c>
      <c r="W910" s="21">
        <v>1</v>
      </c>
      <c r="X910" s="56" t="str">
        <f>IFERROR(VLOOKUP(A910,Output!A:F,6,0),"-")</f>
        <v>-</v>
      </c>
    </row>
    <row r="911" spans="1:24" hidden="1" x14ac:dyDescent="0.25">
      <c r="A911" s="21" t="s">
        <v>440</v>
      </c>
      <c r="B911" s="40" t="s">
        <v>703</v>
      </c>
      <c r="C911" s="21" t="s">
        <v>244</v>
      </c>
      <c r="D911" s="21" t="s">
        <v>73</v>
      </c>
      <c r="E911" s="21" t="s">
        <v>88</v>
      </c>
      <c r="F911" s="55">
        <v>1.7450634549507512E-4</v>
      </c>
      <c r="G911" s="24">
        <v>3.6384699999999999</v>
      </c>
      <c r="H911" s="24">
        <v>4.4376629999999997</v>
      </c>
      <c r="I911" s="24">
        <v>4.5752129999999998</v>
      </c>
      <c r="J911" s="24">
        <v>4.1592510000000003</v>
      </c>
      <c r="K911" s="24">
        <v>1.1964440000000001</v>
      </c>
      <c r="L911" s="24">
        <v>5.786829</v>
      </c>
      <c r="M911" s="24">
        <v>43.230200000000004</v>
      </c>
      <c r="N911" s="24">
        <v>3.4682755681818191</v>
      </c>
      <c r="O911" s="24">
        <v>8.0808080808080813</v>
      </c>
      <c r="P911" s="24">
        <v>5.2111225737955822</v>
      </c>
      <c r="Q911" s="24">
        <v>6.6955136713565171</v>
      </c>
      <c r="R911" s="24">
        <v>5.17</v>
      </c>
      <c r="S911" s="24">
        <v>5.195097393192075</v>
      </c>
      <c r="T911" s="24">
        <v>1.4872695184703471</v>
      </c>
      <c r="U911" s="24" t="s">
        <v>2935</v>
      </c>
      <c r="V911">
        <v>0</v>
      </c>
      <c r="W911" s="21">
        <v>1</v>
      </c>
      <c r="X911" s="56" t="str">
        <f>IFERROR(VLOOKUP(A911,Output!A:F,6,0),"-")</f>
        <v>-</v>
      </c>
    </row>
    <row r="912" spans="1:24" hidden="1" x14ac:dyDescent="0.25">
      <c r="A912" s="21" t="s">
        <v>535</v>
      </c>
      <c r="B912" s="40" t="s">
        <v>897</v>
      </c>
      <c r="C912" s="21" t="s">
        <v>244</v>
      </c>
      <c r="D912" s="21" t="s">
        <v>73</v>
      </c>
      <c r="E912" s="21" t="s">
        <v>99</v>
      </c>
      <c r="F912" s="55">
        <v>1.7396447499703474E-4</v>
      </c>
      <c r="G912" s="21">
        <v>4.1951280000000004</v>
      </c>
      <c r="H912" s="21">
        <v>2.9735779999999998</v>
      </c>
      <c r="I912" s="21">
        <v>4.3113590000000004</v>
      </c>
      <c r="J912" s="21">
        <v>3.826689</v>
      </c>
      <c r="K912" s="24">
        <v>0</v>
      </c>
      <c r="L912" s="24">
        <v>5.3672389999999996</v>
      </c>
      <c r="M912" s="24">
        <v>9.9397000000000002</v>
      </c>
      <c r="N912" s="57">
        <v>4.4672454196720928</v>
      </c>
      <c r="O912" s="24">
        <v>5.1041666666666679</v>
      </c>
      <c r="P912" s="24">
        <v>6.6865671641791034</v>
      </c>
      <c r="Q912" s="24">
        <v>5.9114590193441297</v>
      </c>
      <c r="R912" s="24" t="e">
        <v>#N/A</v>
      </c>
      <c r="S912" s="24">
        <v>4.7879734017811568</v>
      </c>
      <c r="T912" s="24">
        <v>1.5360529480604224</v>
      </c>
      <c r="U912" s="24" t="s">
        <v>2967</v>
      </c>
      <c r="V912">
        <v>0</v>
      </c>
      <c r="W912" s="21">
        <v>1</v>
      </c>
      <c r="X912" s="56" t="str">
        <f>IFERROR(VLOOKUP(A912,Output!A:F,6,0),"-")</f>
        <v>-</v>
      </c>
    </row>
    <row r="913" spans="1:24" x14ac:dyDescent="0.25">
      <c r="A913" s="21" t="s">
        <v>790</v>
      </c>
      <c r="B913" s="40" t="s">
        <v>791</v>
      </c>
      <c r="C913" s="21" t="s">
        <v>253</v>
      </c>
      <c r="D913" s="21" t="s">
        <v>75</v>
      </c>
      <c r="E913" s="21" t="s">
        <v>85</v>
      </c>
      <c r="F913" s="55">
        <v>1.7393439343763739E-4</v>
      </c>
      <c r="G913" s="24">
        <v>5.315893</v>
      </c>
      <c r="H913" s="24">
        <v>5.6766030000000001</v>
      </c>
      <c r="I913" s="24">
        <v>4.8213400000000002</v>
      </c>
      <c r="J913" s="24">
        <v>5.2690479999999997</v>
      </c>
      <c r="K913" s="24">
        <v>8.2276559999999996</v>
      </c>
      <c r="L913" s="24">
        <v>16.6875</v>
      </c>
      <c r="M913" s="24">
        <v>10.3231</v>
      </c>
      <c r="N913" s="24">
        <v>5.398325859338156</v>
      </c>
      <c r="O913" s="24">
        <v>2.043010752688172</v>
      </c>
      <c r="P913" s="24">
        <v>6.7034994475138117</v>
      </c>
      <c r="Q913" s="24">
        <v>8.9092618711800657</v>
      </c>
      <c r="R913" s="24">
        <v>7.8</v>
      </c>
      <c r="S913" s="24">
        <v>7.6132415420427497</v>
      </c>
      <c r="T913" s="24">
        <v>0.41294881329596345</v>
      </c>
      <c r="U913" s="24" t="s">
        <v>2855</v>
      </c>
      <c r="V913">
        <v>0</v>
      </c>
      <c r="W913" s="21">
        <v>0</v>
      </c>
      <c r="X913" s="56" t="str">
        <f>IFERROR(VLOOKUP(A913,Output!A:F,6,0),"-")</f>
        <v>-</v>
      </c>
    </row>
    <row r="914" spans="1:24" hidden="1" x14ac:dyDescent="0.25">
      <c r="A914" s="21" t="s">
        <v>2031</v>
      </c>
      <c r="B914" s="40" t="s">
        <v>2032</v>
      </c>
      <c r="C914" s="21" t="s">
        <v>250</v>
      </c>
      <c r="D914" s="21" t="s">
        <v>76</v>
      </c>
      <c r="E914" s="21" t="s">
        <v>99</v>
      </c>
      <c r="F914" s="55">
        <v>1.7333044828358313E-4</v>
      </c>
      <c r="G914" s="21">
        <v>4.0296159999999999</v>
      </c>
      <c r="H914" s="21">
        <v>6.0929479999999998</v>
      </c>
      <c r="I914" s="21">
        <v>4.7220839999999997</v>
      </c>
      <c r="J914" s="21">
        <v>4.9482160000000004</v>
      </c>
      <c r="K914" s="24">
        <v>0.17704639999999999</v>
      </c>
      <c r="L914" s="24">
        <v>1.000748</v>
      </c>
      <c r="M914" s="24">
        <v>7.0923999999999996</v>
      </c>
      <c r="N914" s="24">
        <v>7.3033710895088664</v>
      </c>
      <c r="O914" s="24">
        <v>10</v>
      </c>
      <c r="P914" s="24">
        <v>10</v>
      </c>
      <c r="Q914" s="24">
        <v>0</v>
      </c>
      <c r="R914" s="24">
        <v>4.32</v>
      </c>
      <c r="S914" s="24">
        <v>4.59550566342633</v>
      </c>
      <c r="T914" s="24">
        <v>0.22944858009759697</v>
      </c>
      <c r="U914" s="24" t="s">
        <v>3681</v>
      </c>
      <c r="V914">
        <v>0</v>
      </c>
      <c r="W914" s="21">
        <v>0</v>
      </c>
      <c r="X914" s="56" t="str">
        <f>IFERROR(VLOOKUP(A914,Output!A:F,6,0),"-")</f>
        <v>-</v>
      </c>
    </row>
    <row r="915" spans="1:24" hidden="1" x14ac:dyDescent="0.25">
      <c r="A915" s="21" t="s">
        <v>4478</v>
      </c>
      <c r="B915" s="40" t="s">
        <v>4479</v>
      </c>
      <c r="C915" s="21" t="s">
        <v>247</v>
      </c>
      <c r="D915" s="21" t="s">
        <v>74</v>
      </c>
      <c r="E915" s="21" t="s">
        <v>92</v>
      </c>
      <c r="F915" s="55">
        <v>1.733265246019226E-4</v>
      </c>
      <c r="G915" s="24">
        <v>5.6414939999999998</v>
      </c>
      <c r="H915" s="24">
        <v>5.2776550000000002</v>
      </c>
      <c r="I915" s="24">
        <v>5.3488559999999996</v>
      </c>
      <c r="J915" s="24">
        <v>5.4445509999999997</v>
      </c>
      <c r="K915" s="24">
        <v>1.0686040000000001</v>
      </c>
      <c r="L915" s="24">
        <v>4.8122280000000002</v>
      </c>
      <c r="M915" s="24">
        <v>102.3956</v>
      </c>
      <c r="N915" s="24">
        <v>5.034568888888888</v>
      </c>
      <c r="O915" s="24">
        <v>8.8775510204081627</v>
      </c>
      <c r="P915" s="24">
        <v>1.2054794520547945</v>
      </c>
      <c r="Q915" s="24">
        <v>3.8333931485021533</v>
      </c>
      <c r="R915" s="24">
        <v>3.1</v>
      </c>
      <c r="S915" s="24">
        <v>3.41133162139083</v>
      </c>
      <c r="T915" s="24">
        <v>0.75968367834233663</v>
      </c>
      <c r="U915" s="24" t="s">
        <v>4480</v>
      </c>
      <c r="V915">
        <v>0</v>
      </c>
      <c r="W915" s="21">
        <v>0</v>
      </c>
      <c r="X915" s="56" t="str">
        <f>IFERROR(VLOOKUP(A915,Output!A:F,6,0),"-")</f>
        <v>-</v>
      </c>
    </row>
    <row r="916" spans="1:24" x14ac:dyDescent="0.25">
      <c r="A916" s="21" t="s">
        <v>542</v>
      </c>
      <c r="B916" s="40" t="s">
        <v>1001</v>
      </c>
      <c r="C916" s="21" t="s">
        <v>248</v>
      </c>
      <c r="D916" s="21" t="s">
        <v>75</v>
      </c>
      <c r="E916" s="21" t="s">
        <v>102</v>
      </c>
      <c r="F916" s="55">
        <v>1.7301333431963523E-4</v>
      </c>
      <c r="G916" s="24">
        <v>3.715929</v>
      </c>
      <c r="H916" s="24">
        <v>4.5036230000000002</v>
      </c>
      <c r="I916" s="24">
        <v>2.4866570000000001</v>
      </c>
      <c r="J916" s="24">
        <v>3.6276130000000002</v>
      </c>
      <c r="K916" s="24">
        <v>0</v>
      </c>
      <c r="L916" s="24">
        <v>36.554729999999999</v>
      </c>
      <c r="M916" s="24">
        <v>139.17439999999999</v>
      </c>
      <c r="N916" s="24">
        <v>1.7229154307288572</v>
      </c>
      <c r="O916" s="24">
        <v>3.4375000000000004</v>
      </c>
      <c r="P916" s="24">
        <v>5.2439024390243896</v>
      </c>
      <c r="Q916" s="24">
        <v>10</v>
      </c>
      <c r="R916" s="24" t="e">
        <v>#N/A</v>
      </c>
      <c r="S916" s="24">
        <v>5.0694129243654258</v>
      </c>
      <c r="T916" s="24">
        <v>-8.1092435807603083E-3</v>
      </c>
      <c r="U916" s="24" t="s">
        <v>3127</v>
      </c>
      <c r="V916">
        <v>1</v>
      </c>
      <c r="W916" s="21">
        <v>1</v>
      </c>
      <c r="X916" s="56" t="str">
        <f>IFERROR(VLOOKUP(A916,Output!A:F,6,0),"-")</f>
        <v>-</v>
      </c>
    </row>
    <row r="917" spans="1:24" hidden="1" x14ac:dyDescent="0.25">
      <c r="A917" s="21" t="s">
        <v>4227</v>
      </c>
      <c r="B917" s="40" t="s">
        <v>4228</v>
      </c>
      <c r="C917" s="21" t="s">
        <v>244</v>
      </c>
      <c r="D917" s="21" t="s">
        <v>73</v>
      </c>
      <c r="E917" s="21" t="s">
        <v>86</v>
      </c>
      <c r="F917" s="55">
        <v>1.728174520582753E-4</v>
      </c>
      <c r="G917" s="21">
        <v>7.9970249999999998</v>
      </c>
      <c r="H917" s="21">
        <v>4.1156280000000001</v>
      </c>
      <c r="I917" s="21">
        <v>4.0261110000000002</v>
      </c>
      <c r="J917" s="21">
        <v>5.379588</v>
      </c>
      <c r="K917" s="24">
        <v>0</v>
      </c>
      <c r="L917" s="24">
        <v>6.9808190000000003</v>
      </c>
      <c r="M917" s="24">
        <v>1919.47</v>
      </c>
      <c r="N917" s="24">
        <v>6.6115711059695812</v>
      </c>
      <c r="O917" s="24">
        <v>4.2268041237113403</v>
      </c>
      <c r="P917" s="24">
        <v>6.1111111111111116</v>
      </c>
      <c r="Q917" s="24">
        <v>7.3957111848341484</v>
      </c>
      <c r="R917" s="24" t="e">
        <v>#N/A</v>
      </c>
      <c r="S917" s="24">
        <v>5.7442706566987711</v>
      </c>
      <c r="T917" s="24">
        <v>1.9155691198660414</v>
      </c>
      <c r="U917" s="24" t="s">
        <v>4229</v>
      </c>
      <c r="V917">
        <v>0</v>
      </c>
      <c r="W917" s="21">
        <v>0</v>
      </c>
      <c r="X917" s="56" t="str">
        <f>IFERROR(VLOOKUP(A917,Output!A:F,6,0),"-")</f>
        <v>-</v>
      </c>
    </row>
    <row r="918" spans="1:24" hidden="1" x14ac:dyDescent="0.25">
      <c r="A918" s="21" t="s">
        <v>637</v>
      </c>
      <c r="B918" s="40" t="s">
        <v>919</v>
      </c>
      <c r="C918" s="21" t="s">
        <v>244</v>
      </c>
      <c r="D918" s="21" t="s">
        <v>73</v>
      </c>
      <c r="E918" s="21" t="s">
        <v>97</v>
      </c>
      <c r="F918" s="55">
        <v>1.7265869386185722E-4</v>
      </c>
      <c r="G918" s="24">
        <v>5.3422530000000004</v>
      </c>
      <c r="H918" s="24">
        <v>3.690623</v>
      </c>
      <c r="I918" s="24">
        <v>6.52217</v>
      </c>
      <c r="J918" s="24">
        <v>5.4838940000000003</v>
      </c>
      <c r="K918" s="24">
        <v>3.0174080000000001</v>
      </c>
      <c r="L918" s="24">
        <v>2.5297149999999999</v>
      </c>
      <c r="M918" s="24">
        <v>135.08080000000001</v>
      </c>
      <c r="N918" s="24">
        <v>4.8129794037987779</v>
      </c>
      <c r="O918" s="24">
        <v>3.9175257731958757</v>
      </c>
      <c r="P918" s="24">
        <v>7.8636363636363651</v>
      </c>
      <c r="Q918" s="24">
        <v>1.9216182048040455</v>
      </c>
      <c r="R918" s="24">
        <v>4.49</v>
      </c>
      <c r="S918" s="24">
        <v>5.2691532041545459</v>
      </c>
      <c r="T918" s="24">
        <v>0.64713238876153967</v>
      </c>
      <c r="U918" s="24" t="s">
        <v>3037</v>
      </c>
      <c r="V918">
        <v>0</v>
      </c>
      <c r="W918" s="21">
        <v>0</v>
      </c>
      <c r="X918" s="56" t="str">
        <f>IFERROR(VLOOKUP(A918,Output!A:F,6,0),"-")</f>
        <v>-</v>
      </c>
    </row>
    <row r="919" spans="1:24" x14ac:dyDescent="0.25">
      <c r="A919" s="21" t="s">
        <v>2168</v>
      </c>
      <c r="B919" s="40" t="s">
        <v>2169</v>
      </c>
      <c r="C919" s="21" t="s">
        <v>248</v>
      </c>
      <c r="D919" s="21" t="s">
        <v>75</v>
      </c>
      <c r="E919" s="21" t="s">
        <v>96</v>
      </c>
      <c r="F919" s="55">
        <v>1.7184156200424788E-4</v>
      </c>
      <c r="G919" s="21">
        <v>5.5355970000000001</v>
      </c>
      <c r="H919" s="21">
        <v>5.4196549999999997</v>
      </c>
      <c r="I919" s="21">
        <v>1.473009</v>
      </c>
      <c r="J919" s="21">
        <v>4.282038</v>
      </c>
      <c r="K919" s="24">
        <v>1.4378139999999999</v>
      </c>
      <c r="L919" s="24">
        <v>1.4437690000000001</v>
      </c>
      <c r="M919" s="24">
        <v>12.355700000000001</v>
      </c>
      <c r="N919" s="24">
        <v>1.5909688417416032</v>
      </c>
      <c r="O919" s="24">
        <v>0.64516129032258063</v>
      </c>
      <c r="P919" s="24">
        <v>0.41666666666666657</v>
      </c>
      <c r="Q919" s="24">
        <v>1.8987977109912637</v>
      </c>
      <c r="R919" s="24">
        <v>4.59</v>
      </c>
      <c r="S919" s="24">
        <v>1.7116501218208497</v>
      </c>
      <c r="T919" s="24">
        <v>0.27298901649578983</v>
      </c>
      <c r="U919" s="24" t="s">
        <v>3755</v>
      </c>
      <c r="V919">
        <v>0</v>
      </c>
      <c r="W919" s="21">
        <v>1</v>
      </c>
      <c r="X919" s="56" t="str">
        <f>IFERROR(VLOOKUP(A919,Output!A:F,6,0),"-")</f>
        <v>-</v>
      </c>
    </row>
    <row r="920" spans="1:24" hidden="1" x14ac:dyDescent="0.25">
      <c r="A920" s="21" t="s">
        <v>1168</v>
      </c>
      <c r="B920" s="40" t="s">
        <v>1169</v>
      </c>
      <c r="C920" s="21" t="s">
        <v>244</v>
      </c>
      <c r="D920" s="21" t="s">
        <v>73</v>
      </c>
      <c r="E920" s="21" t="s">
        <v>92</v>
      </c>
      <c r="F920" s="55">
        <v>1.7166720968840981E-4</v>
      </c>
      <c r="G920" s="24">
        <v>3.912944</v>
      </c>
      <c r="H920" s="24">
        <v>3.5822319999999999</v>
      </c>
      <c r="I920" s="24">
        <v>2.3036509999999999</v>
      </c>
      <c r="J920" s="24">
        <v>3.3309419999999998</v>
      </c>
      <c r="K920" s="24">
        <v>0.1633298</v>
      </c>
      <c r="L920" s="24">
        <v>2.7070259999999999</v>
      </c>
      <c r="M920" s="24">
        <v>54.197000000000003</v>
      </c>
      <c r="N920" s="24">
        <v>6.8773664772727283</v>
      </c>
      <c r="O920" s="24">
        <v>6.7676767676767682</v>
      </c>
      <c r="P920" s="24">
        <v>4.9021627398469105</v>
      </c>
      <c r="Q920" s="24">
        <v>1.2503318290416776</v>
      </c>
      <c r="R920" s="24">
        <v>2.11</v>
      </c>
      <c r="S920" s="24">
        <v>3.665249473168132</v>
      </c>
      <c r="T920" s="24">
        <v>1.0387833160709983</v>
      </c>
      <c r="U920" s="24" t="s">
        <v>3215</v>
      </c>
      <c r="V920">
        <v>0</v>
      </c>
      <c r="W920" s="21">
        <v>1</v>
      </c>
      <c r="X920" s="56" t="str">
        <f>IFERROR(VLOOKUP(A920,Output!A:F,6,0),"-")</f>
        <v>-</v>
      </c>
    </row>
    <row r="921" spans="1:24" hidden="1" x14ac:dyDescent="0.25">
      <c r="A921" s="21" t="s">
        <v>636</v>
      </c>
      <c r="B921" s="40" t="s">
        <v>902</v>
      </c>
      <c r="C921" s="21" t="s">
        <v>244</v>
      </c>
      <c r="D921" s="21" t="s">
        <v>73</v>
      </c>
      <c r="E921" s="21" t="s">
        <v>99</v>
      </c>
      <c r="F921" s="55">
        <v>1.7156328242801699E-4</v>
      </c>
      <c r="G921" s="21">
        <v>6.8278210000000001</v>
      </c>
      <c r="H921" s="21">
        <v>5.5114520000000002</v>
      </c>
      <c r="I921" s="21">
        <v>2.7558829999999999</v>
      </c>
      <c r="J921" s="21">
        <v>5.0317189999999998</v>
      </c>
      <c r="K921" s="24">
        <v>0.31715989999999999</v>
      </c>
      <c r="L921" s="24">
        <v>1.897551</v>
      </c>
      <c r="M921" s="24">
        <v>5.5210999999999997</v>
      </c>
      <c r="N921" s="24">
        <v>6.5864247503097673</v>
      </c>
      <c r="O921" s="24">
        <v>7.9166666666666679</v>
      </c>
      <c r="P921" s="24">
        <v>6.5373134328358207</v>
      </c>
      <c r="Q921" s="24">
        <v>0.32635193361047643</v>
      </c>
      <c r="R921" s="24">
        <v>7.04</v>
      </c>
      <c r="S921" s="24">
        <v>4.6265252289500864</v>
      </c>
      <c r="T921" s="24">
        <v>1.382942122462852</v>
      </c>
      <c r="U921" s="24" t="s">
        <v>3009</v>
      </c>
      <c r="V921">
        <v>0</v>
      </c>
      <c r="W921" s="21">
        <v>0</v>
      </c>
      <c r="X921" s="56" t="str">
        <f>IFERROR(VLOOKUP(A921,Output!A:F,6,0),"-")</f>
        <v>-</v>
      </c>
    </row>
    <row r="922" spans="1:24" hidden="1" x14ac:dyDescent="0.25">
      <c r="A922" s="21" t="s">
        <v>453</v>
      </c>
      <c r="B922" s="40" t="s">
        <v>874</v>
      </c>
      <c r="C922" s="21" t="s">
        <v>244</v>
      </c>
      <c r="D922" s="21" t="s">
        <v>73</v>
      </c>
      <c r="E922" s="21" t="s">
        <v>97</v>
      </c>
      <c r="F922" s="55">
        <v>1.7104958195215473E-4</v>
      </c>
      <c r="G922" s="24">
        <v>7.5072700000000001</v>
      </c>
      <c r="H922" s="24">
        <v>5.880471</v>
      </c>
      <c r="I922" s="24">
        <v>7.5322279999999999</v>
      </c>
      <c r="J922" s="24">
        <v>7.1918930000000003</v>
      </c>
      <c r="K922" s="24">
        <v>4.542205</v>
      </c>
      <c r="L922" s="24">
        <v>2.9800430000000002</v>
      </c>
      <c r="M922" s="24">
        <v>24.591899999999999</v>
      </c>
      <c r="N922" s="24">
        <v>5.5885584837362234</v>
      </c>
      <c r="O922" s="24">
        <v>1.8556701030927831</v>
      </c>
      <c r="P922" s="24">
        <v>4.2727272727272734</v>
      </c>
      <c r="Q922" s="24">
        <v>5.6159572973732264</v>
      </c>
      <c r="R922" s="24">
        <v>6.2</v>
      </c>
      <c r="S922" s="24">
        <v>5.8499365973427224</v>
      </c>
      <c r="T922" s="24">
        <v>0.89777874378963241</v>
      </c>
      <c r="U922" s="24" t="s">
        <v>2988</v>
      </c>
      <c r="V922">
        <v>0</v>
      </c>
      <c r="W922" s="21">
        <v>0</v>
      </c>
      <c r="X922" s="56" t="str">
        <f>IFERROR(VLOOKUP(A922,Output!A:F,6,0),"-")</f>
        <v>-</v>
      </c>
    </row>
    <row r="923" spans="1:24" hidden="1" x14ac:dyDescent="0.25">
      <c r="A923" s="21" t="s">
        <v>1244</v>
      </c>
      <c r="B923" s="40" t="s">
        <v>1245</v>
      </c>
      <c r="C923" s="21" t="s">
        <v>244</v>
      </c>
      <c r="D923" s="21" t="s">
        <v>73</v>
      </c>
      <c r="E923" s="21" t="s">
        <v>91</v>
      </c>
      <c r="F923" s="55">
        <v>1.7044654226309902E-4</v>
      </c>
      <c r="G923" s="24">
        <v>3.3471329999999999</v>
      </c>
      <c r="H923" s="24">
        <v>4.740075</v>
      </c>
      <c r="I923" s="24">
        <v>3.6981359999999999</v>
      </c>
      <c r="J923" s="24">
        <v>4.0447110000000004</v>
      </c>
      <c r="K923" s="24">
        <v>0</v>
      </c>
      <c r="L923" s="24">
        <v>1.4269480000000001</v>
      </c>
      <c r="M923" s="24">
        <v>27.720800000000001</v>
      </c>
      <c r="N923" s="24">
        <v>5.9586690279064038</v>
      </c>
      <c r="O923" s="24">
        <v>5.6565656565656566</v>
      </c>
      <c r="P923" s="24">
        <v>6.7879418012975403</v>
      </c>
      <c r="Q923" s="24">
        <v>1.0076872138888087</v>
      </c>
      <c r="R923" s="24" t="e">
        <v>#N/A</v>
      </c>
      <c r="S923" s="24">
        <v>2.9827747850909914</v>
      </c>
      <c r="T923" s="24">
        <v>0.85171234256328121</v>
      </c>
      <c r="U923" s="24" t="s">
        <v>3254</v>
      </c>
      <c r="V923">
        <v>0</v>
      </c>
      <c r="W923" s="21">
        <v>1</v>
      </c>
      <c r="X923" s="56" t="str">
        <f>IFERROR(VLOOKUP(A923,Output!A:F,6,0),"-")</f>
        <v>-</v>
      </c>
    </row>
    <row r="924" spans="1:24" hidden="1" x14ac:dyDescent="0.25">
      <c r="A924" s="21" t="s">
        <v>4327</v>
      </c>
      <c r="B924" s="40" t="s">
        <v>4328</v>
      </c>
      <c r="C924" s="21" t="s">
        <v>257</v>
      </c>
      <c r="D924" s="21" t="s">
        <v>74</v>
      </c>
      <c r="E924" s="21" t="s">
        <v>103</v>
      </c>
      <c r="F924" s="55">
        <v>1.7037189170432699E-4</v>
      </c>
      <c r="G924" s="21">
        <v>6.3529619999999998</v>
      </c>
      <c r="H924" s="21">
        <v>6.2852139999999999</v>
      </c>
      <c r="I924" s="21">
        <v>2.8909189999999998</v>
      </c>
      <c r="J924" s="21">
        <v>5.2940250000000004</v>
      </c>
      <c r="K924" s="24">
        <v>2.6027879999999999</v>
      </c>
      <c r="L924" s="24">
        <v>6.5432220000000001</v>
      </c>
      <c r="M924" s="24">
        <v>1.7699</v>
      </c>
      <c r="N924" s="24">
        <v>6.6462438858410415</v>
      </c>
      <c r="O924" s="24">
        <v>0.90909090909090917</v>
      </c>
      <c r="P924" s="24">
        <v>7.8338278931750747</v>
      </c>
      <c r="Q924" s="24">
        <v>3.5352388100878303</v>
      </c>
      <c r="R924" s="24" t="e">
        <v>#N/A</v>
      </c>
      <c r="S924" s="24">
        <v>5.7349810290616619</v>
      </c>
      <c r="T924" s="24">
        <v>0.57605863060212059</v>
      </c>
      <c r="U924" s="24" t="s">
        <v>4329</v>
      </c>
      <c r="V924">
        <v>0</v>
      </c>
      <c r="W924" s="21">
        <v>0</v>
      </c>
      <c r="X924" s="56" t="str">
        <f>IFERROR(VLOOKUP(A924,Output!A:F,6,0),"-")</f>
        <v>-</v>
      </c>
    </row>
    <row r="925" spans="1:24" x14ac:dyDescent="0.25">
      <c r="A925" s="21" t="s">
        <v>1415</v>
      </c>
      <c r="B925" s="40" t="s">
        <v>1416</v>
      </c>
      <c r="C925" s="21" t="s">
        <v>248</v>
      </c>
      <c r="D925" s="21" t="s">
        <v>75</v>
      </c>
      <c r="E925" s="21" t="s">
        <v>102</v>
      </c>
      <c r="F925" s="55">
        <v>1.6997348710495091E-4</v>
      </c>
      <c r="G925" s="24">
        <v>3.4296289999999998</v>
      </c>
      <c r="H925" s="24">
        <v>6.0906390000000004</v>
      </c>
      <c r="I925" s="24">
        <v>3.2008730000000001</v>
      </c>
      <c r="J925" s="24">
        <v>3.91608</v>
      </c>
      <c r="K925" s="24">
        <v>2.3960539999999999</v>
      </c>
      <c r="L925" s="24">
        <v>23.999400000000001</v>
      </c>
      <c r="M925" s="24">
        <v>998.32730000000004</v>
      </c>
      <c r="N925" s="24">
        <v>5.3708338427084605</v>
      </c>
      <c r="O925" s="24">
        <v>0</v>
      </c>
      <c r="P925" s="24">
        <v>9.6951219512195124</v>
      </c>
      <c r="Q925" s="24">
        <v>8.856398378691372</v>
      </c>
      <c r="R925" s="24">
        <v>3.32</v>
      </c>
      <c r="S925" s="24">
        <v>7.6319352399494207</v>
      </c>
      <c r="T925" s="24">
        <v>0.25522970210408552</v>
      </c>
      <c r="U925" s="24" t="s">
        <v>3398</v>
      </c>
      <c r="V925">
        <v>1</v>
      </c>
      <c r="W925" s="21">
        <v>1</v>
      </c>
      <c r="X925" s="56" t="str">
        <f>IFERROR(VLOOKUP(A925,Output!A:F,6,0),"-")</f>
        <v>-</v>
      </c>
    </row>
    <row r="926" spans="1:24" hidden="1" x14ac:dyDescent="0.25">
      <c r="A926" s="21" t="s">
        <v>570</v>
      </c>
      <c r="B926" s="40" t="s">
        <v>889</v>
      </c>
      <c r="C926" s="21" t="s">
        <v>244</v>
      </c>
      <c r="D926" s="21" t="s">
        <v>73</v>
      </c>
      <c r="E926" s="21" t="s">
        <v>89</v>
      </c>
      <c r="F926" s="55">
        <v>1.6966200714543865E-4</v>
      </c>
      <c r="G926" s="21">
        <v>5.5687720000000001</v>
      </c>
      <c r="H926" s="21">
        <v>6.6268929999999999</v>
      </c>
      <c r="I926" s="21">
        <v>3.8373759999999999</v>
      </c>
      <c r="J926" s="21">
        <v>5.333126</v>
      </c>
      <c r="K926" s="24">
        <v>3.28077</v>
      </c>
      <c r="L926" s="24">
        <v>9.9293999999999993</v>
      </c>
      <c r="M926" s="24">
        <v>1.8194999999999999</v>
      </c>
      <c r="N926" s="24">
        <v>6.1480039062499987</v>
      </c>
      <c r="O926" s="24">
        <v>9.2783505154639165</v>
      </c>
      <c r="P926" s="24">
        <v>0</v>
      </c>
      <c r="Q926" s="24">
        <v>3.4222983587546723</v>
      </c>
      <c r="R926" s="24">
        <v>4.75</v>
      </c>
      <c r="S926" s="24">
        <v>3.4684854658700814</v>
      </c>
      <c r="T926" s="24">
        <v>1.6041939737193134</v>
      </c>
      <c r="U926" s="24" t="s">
        <v>2991</v>
      </c>
      <c r="V926">
        <v>0</v>
      </c>
      <c r="W926" s="21">
        <v>0</v>
      </c>
      <c r="X926" s="56" t="str">
        <f>IFERROR(VLOOKUP(A926,Output!A:F,6,0),"-")</f>
        <v>-</v>
      </c>
    </row>
    <row r="927" spans="1:24" hidden="1" x14ac:dyDescent="0.25">
      <c r="A927" s="21" t="s">
        <v>1833</v>
      </c>
      <c r="B927" s="40" t="s">
        <v>4468</v>
      </c>
      <c r="C927" s="21" t="s">
        <v>247</v>
      </c>
      <c r="D927" s="21" t="s">
        <v>74</v>
      </c>
      <c r="E927" s="21" t="s">
        <v>92</v>
      </c>
      <c r="F927" s="55">
        <v>1.6938966339530954E-4</v>
      </c>
      <c r="G927" s="24">
        <v>5.5814430000000002</v>
      </c>
      <c r="H927" s="24">
        <v>5.8257120000000002</v>
      </c>
      <c r="I927" s="24">
        <v>4.6571170000000004</v>
      </c>
      <c r="J927" s="24">
        <v>5.3547570000000002</v>
      </c>
      <c r="K927" s="24">
        <v>3.6977259999999998</v>
      </c>
      <c r="L927" s="24">
        <v>8.6998560000000005</v>
      </c>
      <c r="M927" s="24">
        <v>328.54579999999999</v>
      </c>
      <c r="N927" s="24">
        <v>3.1506177777777786</v>
      </c>
      <c r="O927" s="24">
        <v>4.795918367346939</v>
      </c>
      <c r="P927" s="24">
        <v>4.6575342465753424</v>
      </c>
      <c r="Q927" s="24">
        <v>7.4941184804641816</v>
      </c>
      <c r="R927" s="24">
        <v>6.67</v>
      </c>
      <c r="S927" s="24">
        <v>5.5265190176209193</v>
      </c>
      <c r="T927" s="24">
        <v>0.60362153841519062</v>
      </c>
      <c r="U927" s="24" t="s">
        <v>3534</v>
      </c>
      <c r="V927">
        <v>0</v>
      </c>
      <c r="W927" s="21">
        <v>0</v>
      </c>
      <c r="X927" s="56" t="str">
        <f>IFERROR(VLOOKUP(A927,Output!A:F,6,0),"-")</f>
        <v>-</v>
      </c>
    </row>
    <row r="928" spans="1:24" hidden="1" x14ac:dyDescent="0.25">
      <c r="A928" s="21" t="s">
        <v>2527</v>
      </c>
      <c r="B928" s="40" t="s">
        <v>2528</v>
      </c>
      <c r="C928" s="21" t="s">
        <v>1441</v>
      </c>
      <c r="D928" s="21" t="s">
        <v>74</v>
      </c>
      <c r="E928" s="21" t="s">
        <v>95</v>
      </c>
      <c r="F928" s="55">
        <v>1.6863893230426288E-4</v>
      </c>
      <c r="G928" s="24">
        <v>7.4655829999999996</v>
      </c>
      <c r="H928" s="24">
        <v>5.8766829999999999</v>
      </c>
      <c r="I928" s="24">
        <v>4.5063180000000003</v>
      </c>
      <c r="J928" s="24">
        <v>6.2600239999999996</v>
      </c>
      <c r="K928" s="24">
        <v>4.7201339999999998</v>
      </c>
      <c r="L928" s="24">
        <v>6.6980729999999999</v>
      </c>
      <c r="M928" s="24">
        <v>172.18109999999999</v>
      </c>
      <c r="N928" s="24">
        <v>2.1402768127467304</v>
      </c>
      <c r="O928" s="24">
        <v>0</v>
      </c>
      <c r="P928" s="24">
        <v>6.1132075471698109</v>
      </c>
      <c r="Q928" s="24">
        <v>2.1502162716560087</v>
      </c>
      <c r="R928" s="24">
        <v>3.25</v>
      </c>
      <c r="S928" s="24">
        <v>3.1426595703607134</v>
      </c>
      <c r="T928" s="24">
        <v>0.51085256249647015</v>
      </c>
      <c r="U928" s="24" t="s">
        <v>3973</v>
      </c>
      <c r="V928">
        <v>0</v>
      </c>
      <c r="W928" s="21">
        <v>0</v>
      </c>
      <c r="X928" s="56" t="str">
        <f>IFERROR(VLOOKUP(A928,Output!A:F,6,0),"-")</f>
        <v>-</v>
      </c>
    </row>
    <row r="929" spans="1:24" hidden="1" x14ac:dyDescent="0.25">
      <c r="A929" s="21" t="s">
        <v>4285</v>
      </c>
      <c r="B929" s="40" t="s">
        <v>4286</v>
      </c>
      <c r="C929" s="21" t="s">
        <v>302</v>
      </c>
      <c r="D929" s="21" t="s">
        <v>74</v>
      </c>
      <c r="E929" s="21" t="s">
        <v>85</v>
      </c>
      <c r="F929" s="55">
        <v>1.6840331019018739E-4</v>
      </c>
      <c r="G929" s="24">
        <v>7.9486020000000002</v>
      </c>
      <c r="H929" s="24">
        <v>4.4785839999999997</v>
      </c>
      <c r="I929" s="24">
        <v>5.3163349999999996</v>
      </c>
      <c r="J929" s="24">
        <v>5.8128019999999996</v>
      </c>
      <c r="K929" s="24">
        <v>6.7742839999999998</v>
      </c>
      <c r="L929" s="24">
        <v>18.33663</v>
      </c>
      <c r="M929" s="24">
        <v>3.7856000000000001</v>
      </c>
      <c r="N929" s="24">
        <v>5.4735058926159521</v>
      </c>
      <c r="O929" s="24">
        <v>0.50505050505050508</v>
      </c>
      <c r="P929" s="24">
        <v>5.2894736842105257</v>
      </c>
      <c r="Q929" s="24">
        <v>8.2056229327453138</v>
      </c>
      <c r="R929" s="24">
        <v>6.24</v>
      </c>
      <c r="S929" s="24">
        <v>6.0206399713630496</v>
      </c>
      <c r="T929" s="24">
        <v>0.39149223156040747</v>
      </c>
      <c r="U929" s="24" t="s">
        <v>4287</v>
      </c>
      <c r="V929">
        <v>0</v>
      </c>
      <c r="W929" s="21">
        <v>0</v>
      </c>
      <c r="X929" s="56" t="str">
        <f>IFERROR(VLOOKUP(A929,Output!A:F,6,0),"-")</f>
        <v>-</v>
      </c>
    </row>
    <row r="930" spans="1:24" hidden="1" x14ac:dyDescent="0.25">
      <c r="A930" s="21" t="s">
        <v>504</v>
      </c>
      <c r="B930" s="40" t="s">
        <v>945</v>
      </c>
      <c r="C930" s="21" t="s">
        <v>244</v>
      </c>
      <c r="D930" s="21" t="s">
        <v>73</v>
      </c>
      <c r="E930" s="21" t="s">
        <v>97</v>
      </c>
      <c r="F930" s="55">
        <v>1.6834053128361902E-4</v>
      </c>
      <c r="G930" s="24">
        <v>7.7103210000000004</v>
      </c>
      <c r="H930" s="24">
        <v>4.3761549999999998</v>
      </c>
      <c r="I930" s="24">
        <v>7.2395379999999996</v>
      </c>
      <c r="J930" s="24">
        <v>6.855175</v>
      </c>
      <c r="K930" s="24">
        <v>4.7409299999999996</v>
      </c>
      <c r="L930" s="24">
        <v>1.0285500000000001</v>
      </c>
      <c r="M930" s="24">
        <v>90.838899999999995</v>
      </c>
      <c r="N930" s="24">
        <v>0.25302471072199484</v>
      </c>
      <c r="O930" s="24">
        <v>1.0309278350515463</v>
      </c>
      <c r="P930" s="24">
        <v>4.954545454545455</v>
      </c>
      <c r="Q930" s="24">
        <v>2.9329962073324904</v>
      </c>
      <c r="R930" s="24">
        <v>6.1</v>
      </c>
      <c r="S930" s="24">
        <v>3.5519992916331562</v>
      </c>
      <c r="T930" s="24">
        <v>0.85753590233101262</v>
      </c>
      <c r="U930" s="24" t="s">
        <v>3055</v>
      </c>
      <c r="V930">
        <v>0</v>
      </c>
      <c r="W930" s="21">
        <v>0</v>
      </c>
      <c r="X930" s="56" t="str">
        <f>IFERROR(VLOOKUP(A930,Output!A:F,6,0),"-")</f>
        <v>-</v>
      </c>
    </row>
    <row r="931" spans="1:24" x14ac:dyDescent="0.25">
      <c r="A931" s="21" t="s">
        <v>1511</v>
      </c>
      <c r="B931" s="40" t="s">
        <v>1512</v>
      </c>
      <c r="C931" s="21" t="s">
        <v>248</v>
      </c>
      <c r="D931" s="21" t="s">
        <v>75</v>
      </c>
      <c r="E931" s="21" t="s">
        <v>92</v>
      </c>
      <c r="F931" s="55">
        <v>1.682543108943096E-4</v>
      </c>
      <c r="G931" s="24">
        <v>3.221854</v>
      </c>
      <c r="H931" s="24">
        <v>5.9137130000000004</v>
      </c>
      <c r="I931" s="24">
        <v>2.4133399999999998</v>
      </c>
      <c r="J931" s="24">
        <v>3.7868580000000001</v>
      </c>
      <c r="K931" s="24">
        <v>1.99708</v>
      </c>
      <c r="L931" s="24">
        <v>5.7052810000000003</v>
      </c>
      <c r="M931" s="24">
        <v>25.319600000000001</v>
      </c>
      <c r="N931" s="24">
        <v>6.1576879009395942</v>
      </c>
      <c r="O931" s="24">
        <v>7.9999999999999991</v>
      </c>
      <c r="P931" s="24">
        <v>3.8628574234122319</v>
      </c>
      <c r="Q931" s="24">
        <v>5.3721041043242401</v>
      </c>
      <c r="R931" s="24">
        <v>3.46</v>
      </c>
      <c r="S931" s="24">
        <v>5.4662007303396916</v>
      </c>
      <c r="T931" s="24">
        <v>0.26275825682367043</v>
      </c>
      <c r="U931" s="24" t="s">
        <v>3422</v>
      </c>
      <c r="V931">
        <v>0</v>
      </c>
      <c r="W931" s="21">
        <v>1</v>
      </c>
      <c r="X931" s="56" t="str">
        <f>IFERROR(VLOOKUP(A931,Output!A:F,6,0),"-")</f>
        <v>-</v>
      </c>
    </row>
    <row r="932" spans="1:24" x14ac:dyDescent="0.25">
      <c r="A932" s="21" t="s">
        <v>2041</v>
      </c>
      <c r="B932" s="40" t="s">
        <v>2042</v>
      </c>
      <c r="C932" s="21" t="s">
        <v>248</v>
      </c>
      <c r="D932" s="21" t="s">
        <v>75</v>
      </c>
      <c r="E932" s="21" t="s">
        <v>91</v>
      </c>
      <c r="F932" s="55">
        <v>1.6764764934525957E-4</v>
      </c>
      <c r="G932" s="24">
        <v>5.1351089999999999</v>
      </c>
      <c r="H932" s="24">
        <v>5.7911200000000003</v>
      </c>
      <c r="I932" s="24">
        <v>4.8396559999999997</v>
      </c>
      <c r="J932" s="24">
        <v>5.2793320000000001</v>
      </c>
      <c r="K932" s="24">
        <v>2.6683089999999998</v>
      </c>
      <c r="L932" s="24">
        <v>1.686742</v>
      </c>
      <c r="M932" s="24">
        <v>27.8019</v>
      </c>
      <c r="N932" s="24">
        <v>0</v>
      </c>
      <c r="O932" s="24">
        <v>0.64102564102564108</v>
      </c>
      <c r="P932" s="24">
        <v>4.7637795275590555</v>
      </c>
      <c r="Q932" s="24">
        <v>3.6462025648886831</v>
      </c>
      <c r="R932" s="24">
        <v>6.77</v>
      </c>
      <c r="S932" s="24">
        <v>3.9916137558369256</v>
      </c>
      <c r="T932" s="24">
        <v>0.38388857238830898</v>
      </c>
      <c r="U932" s="24" t="s">
        <v>3685</v>
      </c>
      <c r="V932">
        <v>0</v>
      </c>
      <c r="W932" s="21">
        <v>0</v>
      </c>
      <c r="X932" s="56" t="str">
        <f>IFERROR(VLOOKUP(A932,Output!A:F,6,0),"-")</f>
        <v>-</v>
      </c>
    </row>
    <row r="933" spans="1:24" hidden="1" x14ac:dyDescent="0.25">
      <c r="A933" s="21" t="s">
        <v>437</v>
      </c>
      <c r="B933" s="40" t="s">
        <v>872</v>
      </c>
      <c r="C933" s="21" t="s">
        <v>244</v>
      </c>
      <c r="D933" s="21" t="s">
        <v>73</v>
      </c>
      <c r="E933" s="21" t="s">
        <v>93</v>
      </c>
      <c r="F933" s="55">
        <v>1.6678554605938732E-4</v>
      </c>
      <c r="G933" s="21">
        <v>2.669559</v>
      </c>
      <c r="H933" s="21">
        <v>2.478793</v>
      </c>
      <c r="I933" s="21">
        <v>3.652409</v>
      </c>
      <c r="J933" s="21">
        <v>2.9467889999999999</v>
      </c>
      <c r="K933" s="24">
        <v>0.85005379999999997</v>
      </c>
      <c r="L933" s="24">
        <v>9.7764880000000005</v>
      </c>
      <c r="M933" s="24">
        <v>2.8247</v>
      </c>
      <c r="N933" s="24">
        <v>4.1655820312499996</v>
      </c>
      <c r="O933" s="24">
        <v>6.0824742268041216</v>
      </c>
      <c r="P933" s="24">
        <v>8.134715025906738</v>
      </c>
      <c r="Q933" s="24">
        <v>5.6579129679537417</v>
      </c>
      <c r="R933" s="24">
        <v>2.42</v>
      </c>
      <c r="S933" s="24">
        <v>6.0099698592108561</v>
      </c>
      <c r="T933" s="24">
        <v>0.12652075463722134</v>
      </c>
      <c r="U933" s="24" t="s">
        <v>2981</v>
      </c>
      <c r="V933">
        <v>0</v>
      </c>
      <c r="W933" s="21">
        <v>1</v>
      </c>
      <c r="X933" s="56" t="str">
        <f>IFERROR(VLOOKUP(A933,Output!A:F,6,0),"-")</f>
        <v>-</v>
      </c>
    </row>
    <row r="934" spans="1:24" x14ac:dyDescent="0.25">
      <c r="A934" s="21" t="s">
        <v>4254</v>
      </c>
      <c r="B934" s="40" t="s">
        <v>4255</v>
      </c>
      <c r="C934" s="21" t="s">
        <v>248</v>
      </c>
      <c r="D934" s="21" t="s">
        <v>75</v>
      </c>
      <c r="E934" s="21" t="s">
        <v>92</v>
      </c>
      <c r="F934" s="55">
        <v>1.6676924768941283E-4</v>
      </c>
      <c r="G934" s="24">
        <v>2.5431180000000002</v>
      </c>
      <c r="H934" s="24">
        <v>4.5505000000000004</v>
      </c>
      <c r="I934" s="24">
        <v>6.5575919999999996</v>
      </c>
      <c r="J934" s="24">
        <v>4.3496750000000004</v>
      </c>
      <c r="K934" s="24">
        <v>4.4755529999999997</v>
      </c>
      <c r="L934" s="24">
        <v>17.475480000000001</v>
      </c>
      <c r="M934" s="53">
        <v>1329.117</v>
      </c>
      <c r="N934" s="24">
        <v>5.5400789004025119</v>
      </c>
      <c r="O934" s="24">
        <v>8.8421052631578956</v>
      </c>
      <c r="P934" s="24">
        <v>3.4857145835101901</v>
      </c>
      <c r="Q934" s="24">
        <v>6.6130125460086724</v>
      </c>
      <c r="R934" s="24">
        <v>6.67</v>
      </c>
      <c r="S934" s="24">
        <v>6.0813338872960792</v>
      </c>
      <c r="T934" s="24">
        <v>7.3682094385919022E-2</v>
      </c>
      <c r="U934" s="24" t="s">
        <v>4256</v>
      </c>
      <c r="V934">
        <v>0</v>
      </c>
      <c r="W934" s="21">
        <v>1</v>
      </c>
      <c r="X934" s="56" t="str">
        <f>IFERROR(VLOOKUP(A934,Output!A:F,6,0),"-")</f>
        <v>-</v>
      </c>
    </row>
    <row r="935" spans="1:24" hidden="1" x14ac:dyDescent="0.25">
      <c r="A935" s="21" t="s">
        <v>4264</v>
      </c>
      <c r="B935" s="40" t="s">
        <v>4265</v>
      </c>
      <c r="C935" s="21" t="s">
        <v>244</v>
      </c>
      <c r="D935" s="21" t="s">
        <v>73</v>
      </c>
      <c r="E935" s="21" t="s">
        <v>95</v>
      </c>
      <c r="F935" s="55">
        <v>1.6646440780655682E-4</v>
      </c>
      <c r="G935" s="21">
        <v>4.4256190000000002</v>
      </c>
      <c r="H935" s="21">
        <v>5.507263</v>
      </c>
      <c r="I935" s="21">
        <v>5.2216810000000002</v>
      </c>
      <c r="J935" s="21">
        <v>4.8807660000000004</v>
      </c>
      <c r="K935" s="24">
        <v>3.0580509999999999</v>
      </c>
      <c r="L935" s="24">
        <v>4.067418</v>
      </c>
      <c r="M935" s="24">
        <v>500.70389999999998</v>
      </c>
      <c r="N935" s="24">
        <v>7.1347307104951652</v>
      </c>
      <c r="O935" s="24">
        <v>5.463917525773196</v>
      </c>
      <c r="P935" s="24">
        <v>6.6555183946488299</v>
      </c>
      <c r="Q935" s="24">
        <v>6.9603207852055764</v>
      </c>
      <c r="R935" s="24">
        <v>6.61</v>
      </c>
      <c r="S935" s="24">
        <v>6.1127135320035215</v>
      </c>
      <c r="T935" s="24">
        <v>0.79388966935867389</v>
      </c>
      <c r="U935" s="24" t="s">
        <v>4266</v>
      </c>
      <c r="V935">
        <v>1</v>
      </c>
      <c r="W935" s="21">
        <v>0</v>
      </c>
      <c r="X935" s="56" t="str">
        <f>IFERROR(VLOOKUP(A935,Output!A:F,6,0),"-")</f>
        <v>-</v>
      </c>
    </row>
    <row r="936" spans="1:24" hidden="1" x14ac:dyDescent="0.25">
      <c r="A936" s="21" t="s">
        <v>423</v>
      </c>
      <c r="B936" s="40" t="s">
        <v>716</v>
      </c>
      <c r="C936" s="21" t="s">
        <v>244</v>
      </c>
      <c r="D936" s="21" t="s">
        <v>73</v>
      </c>
      <c r="E936" s="21" t="s">
        <v>89</v>
      </c>
      <c r="F936" s="55">
        <v>1.6638583356612432E-4</v>
      </c>
      <c r="G936" s="24">
        <v>3.5251380000000001</v>
      </c>
      <c r="H936" s="24">
        <v>5.1732459999999998</v>
      </c>
      <c r="I936" s="24">
        <v>2.6092019999999998</v>
      </c>
      <c r="J936" s="24">
        <v>3.781399</v>
      </c>
      <c r="K936" s="24">
        <v>0.39606160000000001</v>
      </c>
      <c r="L936" s="24">
        <v>3.007771</v>
      </c>
      <c r="M936" s="24">
        <v>3.9100999999999999</v>
      </c>
      <c r="N936" s="24">
        <v>9.2165794270833317</v>
      </c>
      <c r="O936" s="24">
        <v>9.2783505154639165</v>
      </c>
      <c r="P936" s="24">
        <v>6.9689119170984473</v>
      </c>
      <c r="Q936" s="24">
        <v>1.0822211413722322</v>
      </c>
      <c r="R936" s="24">
        <v>6.74</v>
      </c>
      <c r="S936" s="24">
        <v>4.9244298524957255</v>
      </c>
      <c r="T936" s="24">
        <v>0.66232518384798778</v>
      </c>
      <c r="U936" s="24" t="s">
        <v>2939</v>
      </c>
      <c r="V936">
        <v>0</v>
      </c>
      <c r="W936" s="21">
        <v>1</v>
      </c>
      <c r="X936" s="56" t="str">
        <f>IFERROR(VLOOKUP(A936,Output!A:F,6,0),"-")</f>
        <v>-</v>
      </c>
    </row>
    <row r="937" spans="1:24" hidden="1" x14ac:dyDescent="0.25">
      <c r="A937" s="21" t="s">
        <v>2359</v>
      </c>
      <c r="B937" s="40" t="s">
        <v>2360</v>
      </c>
      <c r="C937" s="21" t="s">
        <v>298</v>
      </c>
      <c r="D937" s="21" t="s">
        <v>74</v>
      </c>
      <c r="E937" s="21" t="s">
        <v>90</v>
      </c>
      <c r="F937" s="55">
        <v>1.6535702411329088E-4</v>
      </c>
      <c r="G937" s="21">
        <v>4.5772880000000002</v>
      </c>
      <c r="H937" s="21">
        <v>4.4305430000000001</v>
      </c>
      <c r="I937" s="21">
        <v>5.7615220000000003</v>
      </c>
      <c r="J937" s="21">
        <v>4.8885350000000001</v>
      </c>
      <c r="K937" s="24">
        <v>2.3128340000000001</v>
      </c>
      <c r="L937" s="24">
        <v>6.4751960000000004</v>
      </c>
      <c r="M937" s="24">
        <v>78.885099999999994</v>
      </c>
      <c r="N937" s="24">
        <v>7.6318194228478777</v>
      </c>
      <c r="O937" s="24">
        <v>1.7894736842105263</v>
      </c>
      <c r="P937" s="24">
        <v>4.2553191489361701</v>
      </c>
      <c r="Q937" s="24">
        <v>6.2891994845839605</v>
      </c>
      <c r="R937" s="24" t="e">
        <v>#N/A</v>
      </c>
      <c r="S937" s="24">
        <v>5.8462003173131709</v>
      </c>
      <c r="T937" s="24">
        <v>-3.3027078129692779E-2</v>
      </c>
      <c r="U937" s="24" t="s">
        <v>3892</v>
      </c>
      <c r="V937">
        <v>0</v>
      </c>
      <c r="W937" s="21">
        <v>0</v>
      </c>
      <c r="X937" s="56" t="str">
        <f>IFERROR(VLOOKUP(A937,Output!A:F,6,0),"-")</f>
        <v>-</v>
      </c>
    </row>
    <row r="938" spans="1:24" hidden="1" x14ac:dyDescent="0.25">
      <c r="A938" s="21" t="s">
        <v>2399</v>
      </c>
      <c r="B938" s="40" t="s">
        <v>2400</v>
      </c>
      <c r="C938" s="21" t="s">
        <v>254</v>
      </c>
      <c r="D938" s="21" t="s">
        <v>74</v>
      </c>
      <c r="E938" s="21" t="s">
        <v>90</v>
      </c>
      <c r="F938" s="55">
        <v>1.6454240743623313E-4</v>
      </c>
      <c r="G938" s="21">
        <v>5.6822590000000002</v>
      </c>
      <c r="H938" s="21">
        <v>4.6023170000000002</v>
      </c>
      <c r="I938" s="21">
        <v>4.938129</v>
      </c>
      <c r="J938" s="21">
        <v>5.1350369999999996</v>
      </c>
      <c r="K938" s="24">
        <v>1.419111</v>
      </c>
      <c r="L938" s="24">
        <v>2.643783</v>
      </c>
      <c r="M938" s="24">
        <v>34.697000000000003</v>
      </c>
      <c r="N938" s="24">
        <v>6.3517218135764599</v>
      </c>
      <c r="O938" s="24">
        <v>6</v>
      </c>
      <c r="P938" s="24">
        <v>8.2553191489361701</v>
      </c>
      <c r="Q938" s="24">
        <v>0.88413244657774903</v>
      </c>
      <c r="R938" s="24">
        <v>5.0199999999999996</v>
      </c>
      <c r="S938" s="24">
        <v>4.5757675264000257</v>
      </c>
      <c r="T938" s="24">
        <v>0.27696594736343799</v>
      </c>
      <c r="U938" s="24" t="s">
        <v>3889</v>
      </c>
      <c r="V938">
        <v>0</v>
      </c>
      <c r="W938" s="21">
        <v>0</v>
      </c>
      <c r="X938" s="56" t="str">
        <f>IFERROR(VLOOKUP(A938,Output!A:F,6,0),"-")</f>
        <v>-</v>
      </c>
    </row>
    <row r="939" spans="1:24" hidden="1" x14ac:dyDescent="0.25">
      <c r="A939" s="21" t="s">
        <v>1918</v>
      </c>
      <c r="B939" s="40" t="s">
        <v>1919</v>
      </c>
      <c r="C939" s="21" t="s">
        <v>247</v>
      </c>
      <c r="D939" s="21" t="s">
        <v>74</v>
      </c>
      <c r="E939" s="21" t="s">
        <v>92</v>
      </c>
      <c r="F939" s="55">
        <v>1.6440819740199886E-4</v>
      </c>
      <c r="G939" s="24">
        <v>6.0812410000000003</v>
      </c>
      <c r="H939" s="24">
        <v>6.0613970000000004</v>
      </c>
      <c r="I939" s="24">
        <v>4.4998180000000003</v>
      </c>
      <c r="J939" s="24">
        <v>5.6008610000000001</v>
      </c>
      <c r="K939" s="24">
        <v>0.9143947</v>
      </c>
      <c r="L939" s="24">
        <v>3.721187</v>
      </c>
      <c r="M939" s="24">
        <v>9.6734000000000009</v>
      </c>
      <c r="N939" s="24">
        <v>5.365432592592593</v>
      </c>
      <c r="O939" s="24">
        <v>5.8163265306122449</v>
      </c>
      <c r="P939" s="24">
        <v>5.095890410958904</v>
      </c>
      <c r="Q939" s="24">
        <v>2.1380805501378797</v>
      </c>
      <c r="R939" s="24">
        <v>2.89</v>
      </c>
      <c r="S939" s="24">
        <v>3.661487703364299</v>
      </c>
      <c r="T939" s="24">
        <v>0.63069408951277306</v>
      </c>
      <c r="U939" s="24" t="s">
        <v>3624</v>
      </c>
      <c r="V939">
        <v>0</v>
      </c>
      <c r="W939" s="21">
        <v>0</v>
      </c>
      <c r="X939" s="56" t="str">
        <f>IFERROR(VLOOKUP(A939,Output!A:F,6,0),"-")</f>
        <v>-</v>
      </c>
    </row>
    <row r="940" spans="1:24" x14ac:dyDescent="0.25">
      <c r="A940" s="21" t="s">
        <v>760</v>
      </c>
      <c r="B940" s="40" t="s">
        <v>761</v>
      </c>
      <c r="C940" s="21" t="s">
        <v>248</v>
      </c>
      <c r="D940" s="21" t="s">
        <v>75</v>
      </c>
      <c r="E940" s="21" t="s">
        <v>99</v>
      </c>
      <c r="F940" s="55">
        <v>1.6403937132590971E-4</v>
      </c>
      <c r="G940" s="24">
        <v>6.2278820000000001</v>
      </c>
      <c r="H940" s="24">
        <v>6.5469999999999997</v>
      </c>
      <c r="I940" s="24">
        <v>1.4027750000000001</v>
      </c>
      <c r="J940" s="24">
        <v>4.725886</v>
      </c>
      <c r="K940" s="24">
        <v>1.322057</v>
      </c>
      <c r="L940" s="24">
        <v>2.7055910000000001</v>
      </c>
      <c r="M940" s="53">
        <v>19.706399999999999</v>
      </c>
      <c r="N940" s="24">
        <v>7.5780310671087072</v>
      </c>
      <c r="O940" s="24">
        <v>3.2222222222222223</v>
      </c>
      <c r="P940" s="24">
        <v>7.4887892376681613</v>
      </c>
      <c r="Q940" s="24">
        <v>1.3131256111778422</v>
      </c>
      <c r="R940" s="24">
        <v>5.78</v>
      </c>
      <c r="S940" s="24">
        <v>5.221149598840805</v>
      </c>
      <c r="T940" s="24">
        <v>0.13812339872814505</v>
      </c>
      <c r="U940" s="24" t="s">
        <v>3625</v>
      </c>
      <c r="V940">
        <v>0</v>
      </c>
      <c r="W940" s="21">
        <v>0</v>
      </c>
      <c r="X940" s="56" t="str">
        <f>IFERROR(VLOOKUP(A940,Output!A:F,6,0),"-")</f>
        <v>-</v>
      </c>
    </row>
    <row r="941" spans="1:24" hidden="1" x14ac:dyDescent="0.25">
      <c r="A941" s="21" t="s">
        <v>651</v>
      </c>
      <c r="B941" s="40" t="s">
        <v>996</v>
      </c>
      <c r="C941" s="21" t="s">
        <v>244</v>
      </c>
      <c r="D941" s="21" t="s">
        <v>73</v>
      </c>
      <c r="E941" s="21" t="s">
        <v>91</v>
      </c>
      <c r="F941" s="55">
        <v>1.6389359146113801E-4</v>
      </c>
      <c r="G941" s="24">
        <v>4.2514219999999998</v>
      </c>
      <c r="H941" s="24">
        <v>5.236459</v>
      </c>
      <c r="I941" s="24">
        <v>3.192088</v>
      </c>
      <c r="J941" s="24">
        <v>4.2217039999999999</v>
      </c>
      <c r="K941" s="24">
        <v>0</v>
      </c>
      <c r="L941" s="24">
        <v>7.2163259999999996</v>
      </c>
      <c r="M941" s="24">
        <v>15.123900000000001</v>
      </c>
      <c r="N941" s="24">
        <v>7.5637205452380671</v>
      </c>
      <c r="O941" s="24">
        <v>4.141414141414141</v>
      </c>
      <c r="P941" s="24">
        <v>8.0353430435120874</v>
      </c>
      <c r="Q941" s="24">
        <v>8.5008493363659916</v>
      </c>
      <c r="R941" s="24" t="e">
        <v>#N/A</v>
      </c>
      <c r="S941" s="24">
        <v>6.7546034275761846</v>
      </c>
      <c r="T941" s="24">
        <v>0.49842928148262033</v>
      </c>
      <c r="U941" s="24" t="s">
        <v>3131</v>
      </c>
      <c r="V941">
        <v>0</v>
      </c>
      <c r="W941" s="21">
        <v>1</v>
      </c>
      <c r="X941" s="56" t="str">
        <f>IFERROR(VLOOKUP(A941,Output!A:F,6,0),"-")</f>
        <v>-</v>
      </c>
    </row>
    <row r="942" spans="1:24" x14ac:dyDescent="0.25">
      <c r="A942" s="21" t="s">
        <v>1825</v>
      </c>
      <c r="B942" s="40" t="s">
        <v>1826</v>
      </c>
      <c r="C942" s="21" t="s">
        <v>248</v>
      </c>
      <c r="D942" s="21" t="s">
        <v>75</v>
      </c>
      <c r="E942" s="21" t="s">
        <v>98</v>
      </c>
      <c r="F942" s="55">
        <v>1.6369640130589125E-4</v>
      </c>
      <c r="G942" s="24">
        <v>5.1766949999999996</v>
      </c>
      <c r="H942" s="24">
        <v>4.8769099999999996</v>
      </c>
      <c r="I942" s="24">
        <v>2.2621540000000002</v>
      </c>
      <c r="J942" s="24">
        <v>3.890965</v>
      </c>
      <c r="K942" s="24">
        <v>0.63669600000000004</v>
      </c>
      <c r="L942" s="24">
        <v>4.5121469999999997</v>
      </c>
      <c r="M942" s="24">
        <v>34.825600000000001</v>
      </c>
      <c r="N942" s="24">
        <v>2.0425299050947707</v>
      </c>
      <c r="O942" s="24">
        <v>7.741935483870968</v>
      </c>
      <c r="P942" s="24">
        <v>6.0606060606060606</v>
      </c>
      <c r="Q942" s="24">
        <v>2.4517995142070377</v>
      </c>
      <c r="R942" s="24">
        <v>2.74</v>
      </c>
      <c r="S942" s="24">
        <v>3.2267036062114731</v>
      </c>
      <c r="T942" s="24">
        <v>0.23648380268302721</v>
      </c>
      <c r="U942" s="24" t="s">
        <v>3594</v>
      </c>
      <c r="V942">
        <v>0</v>
      </c>
      <c r="W942" s="21">
        <v>1</v>
      </c>
      <c r="X942" s="56" t="str">
        <f>IFERROR(VLOOKUP(A942,Output!A:F,6,0),"-")</f>
        <v>-</v>
      </c>
    </row>
    <row r="943" spans="1:24" hidden="1" x14ac:dyDescent="0.25">
      <c r="A943" s="21" t="s">
        <v>2262</v>
      </c>
      <c r="B943" s="40" t="s">
        <v>2263</v>
      </c>
      <c r="C943" s="21" t="s">
        <v>247</v>
      </c>
      <c r="D943" s="21" t="s">
        <v>74</v>
      </c>
      <c r="E943" s="21" t="s">
        <v>90</v>
      </c>
      <c r="F943" s="55">
        <v>1.6324920220381372E-4</v>
      </c>
      <c r="G943" s="24">
        <v>4.5037050000000001</v>
      </c>
      <c r="H943" s="24">
        <v>5.0379259999999997</v>
      </c>
      <c r="I943" s="24">
        <v>6.4117300000000004</v>
      </c>
      <c r="J943" s="24">
        <v>5.2363790000000003</v>
      </c>
      <c r="K943" s="24">
        <v>2.4743179999999998</v>
      </c>
      <c r="L943" s="24">
        <v>8.7590330000000005</v>
      </c>
      <c r="M943" s="24">
        <v>194.3075</v>
      </c>
      <c r="N943" s="24">
        <v>9.0246881453634966</v>
      </c>
      <c r="O943" s="24">
        <v>9.1578947368421062</v>
      </c>
      <c r="P943" s="24">
        <v>5.9999999999999982</v>
      </c>
      <c r="Q943" s="24">
        <v>7.2493860503391696</v>
      </c>
      <c r="R943" s="24">
        <v>4.9800000000000004</v>
      </c>
      <c r="S943" s="24">
        <v>6.4506392737205172</v>
      </c>
      <c r="T943" s="24">
        <v>0.31750388113834094</v>
      </c>
      <c r="U943" s="24" t="s">
        <v>3774</v>
      </c>
      <c r="V943">
        <v>0</v>
      </c>
      <c r="W943" s="21">
        <v>0</v>
      </c>
      <c r="X943" s="56" t="str">
        <f>IFERROR(VLOOKUP(A943,Output!A:F,6,0),"-")</f>
        <v>-</v>
      </c>
    </row>
    <row r="944" spans="1:24" hidden="1" x14ac:dyDescent="0.25">
      <c r="A944" s="21" t="s">
        <v>2184</v>
      </c>
      <c r="B944" s="40" t="s">
        <v>2185</v>
      </c>
      <c r="C944" s="21" t="s">
        <v>257</v>
      </c>
      <c r="D944" s="21" t="s">
        <v>74</v>
      </c>
      <c r="E944" s="21" t="s">
        <v>95</v>
      </c>
      <c r="F944" s="55">
        <v>1.6310845270014522E-4</v>
      </c>
      <c r="G944" s="21">
        <v>7.1528619999999998</v>
      </c>
      <c r="H944" s="21">
        <v>6.9942890000000002</v>
      </c>
      <c r="I944" s="21">
        <v>6.3978120000000001</v>
      </c>
      <c r="J944" s="21">
        <v>6.8787750000000001</v>
      </c>
      <c r="K944" s="24">
        <v>0.25964759999999998</v>
      </c>
      <c r="L944" s="24">
        <v>2.5794869999999999</v>
      </c>
      <c r="M944" s="24">
        <v>21.000399999999999</v>
      </c>
      <c r="N944" s="24">
        <v>6.6390718459318592</v>
      </c>
      <c r="O944" s="24">
        <v>1.9101123595505618</v>
      </c>
      <c r="P944" s="24">
        <v>0</v>
      </c>
      <c r="Q944" s="24">
        <v>7.6388227094068331</v>
      </c>
      <c r="R944" s="24">
        <v>2.5499999999999998</v>
      </c>
      <c r="S944" s="24">
        <v>2.6307681759140027</v>
      </c>
      <c r="T944" s="24">
        <v>1.2191543259249329</v>
      </c>
      <c r="U944" s="24" t="s">
        <v>3793</v>
      </c>
      <c r="V944">
        <v>0</v>
      </c>
      <c r="W944" s="21">
        <v>0</v>
      </c>
      <c r="X944" s="56" t="str">
        <f>IFERROR(VLOOKUP(A944,Output!A:F,6,0),"-")</f>
        <v>-</v>
      </c>
    </row>
    <row r="945" spans="1:24" hidden="1" x14ac:dyDescent="0.25">
      <c r="A945" s="21" t="s">
        <v>1586</v>
      </c>
      <c r="B945" s="40" t="s">
        <v>1587</v>
      </c>
      <c r="C945" s="21" t="s">
        <v>250</v>
      </c>
      <c r="D945" s="21" t="s">
        <v>76</v>
      </c>
      <c r="E945" s="21" t="s">
        <v>86</v>
      </c>
      <c r="F945" s="55">
        <v>1.6268439325914261E-4</v>
      </c>
      <c r="G945" s="24">
        <v>5.2777159999999999</v>
      </c>
      <c r="H945" s="24">
        <v>5.6285980000000002</v>
      </c>
      <c r="I945" s="24">
        <v>7.3263249999999998</v>
      </c>
      <c r="J945" s="24">
        <v>6.0775459999999999</v>
      </c>
      <c r="K945" s="24">
        <v>2.282222</v>
      </c>
      <c r="L945" s="24">
        <v>4.3976139999999999</v>
      </c>
      <c r="M945" s="24">
        <v>681.76649999999995</v>
      </c>
      <c r="N945" s="24">
        <v>10</v>
      </c>
      <c r="O945" s="24">
        <v>9.2857142857142865</v>
      </c>
      <c r="P945" s="24">
        <v>3.4649122807017552</v>
      </c>
      <c r="Q945" s="24">
        <v>2.5192663957721182</v>
      </c>
      <c r="R945" s="24">
        <v>6.55</v>
      </c>
      <c r="S945" s="24">
        <v>4.1612808438903777</v>
      </c>
      <c r="T945" s="24">
        <v>0.24806384784044419</v>
      </c>
      <c r="U945" s="24" t="s">
        <v>3514</v>
      </c>
      <c r="V945">
        <v>0</v>
      </c>
      <c r="W945" s="21">
        <v>0</v>
      </c>
      <c r="X945" s="56" t="str">
        <f>IFERROR(VLOOKUP(A945,Output!A:F,6,0),"-")</f>
        <v>-</v>
      </c>
    </row>
    <row r="946" spans="1:24" hidden="1" x14ac:dyDescent="0.25">
      <c r="A946" s="21" t="s">
        <v>2147</v>
      </c>
      <c r="B946" s="40" t="s">
        <v>2148</v>
      </c>
      <c r="C946" s="21" t="s">
        <v>249</v>
      </c>
      <c r="D946" s="21" t="s">
        <v>74</v>
      </c>
      <c r="E946" s="21" t="s">
        <v>98</v>
      </c>
      <c r="F946" s="55">
        <v>1.6213216021722954E-4</v>
      </c>
      <c r="G946" s="24">
        <v>6.5023799999999996</v>
      </c>
      <c r="H946" s="24">
        <v>6.225136</v>
      </c>
      <c r="I946" s="24">
        <v>4.6073570000000004</v>
      </c>
      <c r="J946" s="24">
        <v>5.6334730000000004</v>
      </c>
      <c r="K946" s="24">
        <v>5.4279659999999996</v>
      </c>
      <c r="L946" s="24">
        <v>11.530749999999999</v>
      </c>
      <c r="M946" s="24">
        <v>19.2807</v>
      </c>
      <c r="N946" s="24">
        <v>10</v>
      </c>
      <c r="O946" s="24">
        <v>3.1578947368421053</v>
      </c>
      <c r="P946" s="24">
        <v>3.7446808510638303</v>
      </c>
      <c r="Q946" s="24">
        <v>10</v>
      </c>
      <c r="R946" s="24">
        <v>6.4600010000000001</v>
      </c>
      <c r="S946" s="24">
        <v>7.1853051236865628</v>
      </c>
      <c r="T946" s="24">
        <v>-3.2967693452397168E-2</v>
      </c>
      <c r="U946" s="24" t="s">
        <v>3742</v>
      </c>
      <c r="V946">
        <v>0</v>
      </c>
      <c r="W946" s="21">
        <v>0</v>
      </c>
      <c r="X946" s="56" t="str">
        <f>IFERROR(VLOOKUP(A946,Output!A:F,6,0),"-")</f>
        <v>-</v>
      </c>
    </row>
    <row r="947" spans="1:24" hidden="1" x14ac:dyDescent="0.25">
      <c r="A947" s="21" t="s">
        <v>1294</v>
      </c>
      <c r="B947" s="40" t="s">
        <v>1295</v>
      </c>
      <c r="C947" s="21" t="s">
        <v>250</v>
      </c>
      <c r="D947" s="21" t="s">
        <v>76</v>
      </c>
      <c r="E947" s="21" t="s">
        <v>93</v>
      </c>
      <c r="F947" s="55">
        <v>1.6173113983007973E-4</v>
      </c>
      <c r="G947" s="24">
        <v>5.2250509999999997</v>
      </c>
      <c r="H947" s="24">
        <v>6.1981919999999997</v>
      </c>
      <c r="I947" s="24">
        <v>5.3088749999999996</v>
      </c>
      <c r="J947" s="24">
        <v>5.594989</v>
      </c>
      <c r="K947" s="24">
        <v>3.978507</v>
      </c>
      <c r="L947" s="24">
        <v>6.1440960000000002</v>
      </c>
      <c r="M947" s="24">
        <v>4.5587</v>
      </c>
      <c r="N947" s="24">
        <v>3.5516746724890842</v>
      </c>
      <c r="O947" s="24">
        <v>9.4047619047619051</v>
      </c>
      <c r="P947" s="24">
        <v>2.3448270582639354</v>
      </c>
      <c r="Q947" s="24">
        <v>4.7603833865814691</v>
      </c>
      <c r="R947" s="24">
        <v>4.16</v>
      </c>
      <c r="S947" s="24">
        <v>4.2061697778907758</v>
      </c>
      <c r="T947" s="24">
        <v>0.32059576645570098</v>
      </c>
      <c r="U947" s="24" t="s">
        <v>3323</v>
      </c>
      <c r="V947">
        <v>0</v>
      </c>
      <c r="W947" s="21">
        <v>0</v>
      </c>
      <c r="X947" s="56" t="str">
        <f>IFERROR(VLOOKUP(A947,Output!A:F,6,0),"-")</f>
        <v>-</v>
      </c>
    </row>
    <row r="948" spans="1:24" hidden="1" x14ac:dyDescent="0.25">
      <c r="A948" s="21" t="s">
        <v>1600</v>
      </c>
      <c r="B948" s="40" t="s">
        <v>1601</v>
      </c>
      <c r="C948" s="21" t="s">
        <v>250</v>
      </c>
      <c r="D948" s="21" t="s">
        <v>76</v>
      </c>
      <c r="E948" s="21" t="s">
        <v>97</v>
      </c>
      <c r="F948" s="55">
        <v>1.6161604516803775E-4</v>
      </c>
      <c r="G948" s="24">
        <v>4.4971639999999997</v>
      </c>
      <c r="H948" s="24">
        <v>6.4419820000000003</v>
      </c>
      <c r="I948" s="24">
        <v>7.4264530000000004</v>
      </c>
      <c r="J948" s="24">
        <v>6.0578430000000001</v>
      </c>
      <c r="K948" s="24">
        <v>5.1374750000000002</v>
      </c>
      <c r="L948" s="24">
        <v>7.3131979999999999</v>
      </c>
      <c r="M948" s="24">
        <v>151.87909999999999</v>
      </c>
      <c r="N948" s="24">
        <v>3.8156336421952957</v>
      </c>
      <c r="O948" s="24">
        <v>8.7671232876712324</v>
      </c>
      <c r="P948" s="24">
        <v>6.3763432258064521</v>
      </c>
      <c r="Q948" s="24">
        <v>7.1972430382088994</v>
      </c>
      <c r="R948" s="24">
        <v>5.57</v>
      </c>
      <c r="S948" s="24">
        <v>6.391593746136973</v>
      </c>
      <c r="T948" s="24">
        <v>0.4532326833406003</v>
      </c>
      <c r="U948" s="24" t="s">
        <v>3490</v>
      </c>
      <c r="V948">
        <v>0</v>
      </c>
      <c r="W948" s="21">
        <v>0</v>
      </c>
      <c r="X948" s="56" t="str">
        <f>IFERROR(VLOOKUP(A948,Output!A:F,6,0),"-")</f>
        <v>-</v>
      </c>
    </row>
    <row r="949" spans="1:24" hidden="1" x14ac:dyDescent="0.25">
      <c r="A949" s="21" t="s">
        <v>1212</v>
      </c>
      <c r="B949" s="40" t="s">
        <v>1213</v>
      </c>
      <c r="C949" s="21" t="s">
        <v>244</v>
      </c>
      <c r="D949" s="21" t="s">
        <v>73</v>
      </c>
      <c r="E949" s="21" t="s">
        <v>90</v>
      </c>
      <c r="F949" s="55">
        <v>1.6134702145623677E-4</v>
      </c>
      <c r="G949" s="21">
        <v>5.27799</v>
      </c>
      <c r="H949" s="21">
        <v>6.792986</v>
      </c>
      <c r="I949" s="21">
        <v>7.7127039999999996</v>
      </c>
      <c r="J949" s="21">
        <v>6.4629029999999998</v>
      </c>
      <c r="K949" s="24">
        <v>3.195233</v>
      </c>
      <c r="L949" s="24">
        <v>4.9760780000000002</v>
      </c>
      <c r="M949" s="24">
        <v>89.079499999999996</v>
      </c>
      <c r="N949" s="57">
        <v>2.102859408795962</v>
      </c>
      <c r="O949" s="24">
        <v>6.0824742268041234</v>
      </c>
      <c r="P949" s="24">
        <v>2.3236514522821579</v>
      </c>
      <c r="Q949" s="24">
        <v>4.635441245870692</v>
      </c>
      <c r="R949" s="24">
        <v>5.75</v>
      </c>
      <c r="S949" s="24">
        <v>3.1705188765204246</v>
      </c>
      <c r="T949" s="24">
        <v>0.38350378765459969</v>
      </c>
      <c r="U949" s="24" t="s">
        <v>3252</v>
      </c>
      <c r="V949">
        <v>0</v>
      </c>
      <c r="W949" s="21">
        <v>0</v>
      </c>
      <c r="X949" s="56" t="str">
        <f>IFERROR(VLOOKUP(A949,Output!A:F,6,0),"-")</f>
        <v>-</v>
      </c>
    </row>
    <row r="950" spans="1:24" hidden="1" x14ac:dyDescent="0.25">
      <c r="A950" s="21" t="s">
        <v>577</v>
      </c>
      <c r="B950" s="40" t="s">
        <v>900</v>
      </c>
      <c r="C950" s="21" t="s">
        <v>244</v>
      </c>
      <c r="D950" s="21" t="s">
        <v>73</v>
      </c>
      <c r="E950" s="21" t="s">
        <v>91</v>
      </c>
      <c r="F950" s="55">
        <v>1.6107970806721091E-4</v>
      </c>
      <c r="G950" s="24">
        <v>3.3365670000000001</v>
      </c>
      <c r="H950" s="24">
        <v>3.719166</v>
      </c>
      <c r="I950" s="24">
        <v>5.2730759999999997</v>
      </c>
      <c r="J950" s="24">
        <v>4.2642100000000003</v>
      </c>
      <c r="K950" s="24">
        <v>0.37036029999999998</v>
      </c>
      <c r="L950" s="24">
        <v>2.1856870000000002</v>
      </c>
      <c r="M950" s="24">
        <v>40.898899999999998</v>
      </c>
      <c r="N950" s="24">
        <v>1.104477969737959</v>
      </c>
      <c r="O950" s="24">
        <v>1.8181818181818183</v>
      </c>
      <c r="P950" s="24">
        <v>6.2266112423009936</v>
      </c>
      <c r="Q950" s="24">
        <v>1.7904206374341403</v>
      </c>
      <c r="R950" s="24">
        <v>5.39</v>
      </c>
      <c r="S950" s="24">
        <v>2.965447377609038</v>
      </c>
      <c r="T950" s="24">
        <v>0.98745531989954638</v>
      </c>
      <c r="U950" s="24" t="s">
        <v>3031</v>
      </c>
      <c r="V950">
        <v>0</v>
      </c>
      <c r="W950" s="21">
        <v>1</v>
      </c>
      <c r="X950" s="56" t="str">
        <f>IFERROR(VLOOKUP(A950,Output!A:F,6,0),"-")</f>
        <v>-</v>
      </c>
    </row>
    <row r="951" spans="1:24" hidden="1" x14ac:dyDescent="0.25">
      <c r="A951" s="21" t="s">
        <v>433</v>
      </c>
      <c r="B951" s="40" t="s">
        <v>871</v>
      </c>
      <c r="C951" s="21" t="s">
        <v>244</v>
      </c>
      <c r="D951" s="21" t="s">
        <v>73</v>
      </c>
      <c r="E951" s="21" t="s">
        <v>93</v>
      </c>
      <c r="F951" s="55">
        <v>1.6095415025407417E-4</v>
      </c>
      <c r="G951" s="24">
        <v>1.393097</v>
      </c>
      <c r="H951" s="24">
        <v>3.6684139999999998</v>
      </c>
      <c r="I951" s="24">
        <v>3.2944010000000001</v>
      </c>
      <c r="J951" s="24">
        <v>2.854914</v>
      </c>
      <c r="K951" s="24">
        <v>1.3318700000000001</v>
      </c>
      <c r="L951" s="24">
        <v>3.0911520000000001</v>
      </c>
      <c r="M951" s="24">
        <v>7.2998000000000003</v>
      </c>
      <c r="N951" s="24">
        <v>7.6204427083333321</v>
      </c>
      <c r="O951" s="24">
        <v>9.1752577319587623</v>
      </c>
      <c r="P951" s="24">
        <v>8.4196891191709859</v>
      </c>
      <c r="Q951" s="24">
        <v>0.93298884396741633</v>
      </c>
      <c r="R951" s="24">
        <v>7.6399990000000004</v>
      </c>
      <c r="S951" s="24">
        <v>4.7682298654714046</v>
      </c>
      <c r="T951" s="24">
        <v>0.27304278051198366</v>
      </c>
      <c r="U951" s="24" t="s">
        <v>2969</v>
      </c>
      <c r="V951">
        <v>0</v>
      </c>
      <c r="W951" s="21">
        <v>1</v>
      </c>
      <c r="X951" s="56" t="str">
        <f>IFERROR(VLOOKUP(A951,Output!A:F,6,0),"-")</f>
        <v>-</v>
      </c>
    </row>
    <row r="952" spans="1:24" hidden="1" x14ac:dyDescent="0.25">
      <c r="A952" s="21" t="s">
        <v>455</v>
      </c>
      <c r="B952" s="40" t="s">
        <v>688</v>
      </c>
      <c r="C952" s="21" t="s">
        <v>244</v>
      </c>
      <c r="D952" s="21" t="s">
        <v>73</v>
      </c>
      <c r="E952" s="21" t="s">
        <v>99</v>
      </c>
      <c r="F952" s="55">
        <v>1.6094489438964424E-4</v>
      </c>
      <c r="G952" s="21">
        <v>4.0865600000000004</v>
      </c>
      <c r="H952" s="21">
        <v>6.4288939999999997</v>
      </c>
      <c r="I952" s="21">
        <v>6.9898619999999996</v>
      </c>
      <c r="J952" s="21">
        <v>5.8351050000000004</v>
      </c>
      <c r="K952" s="24">
        <v>0</v>
      </c>
      <c r="L952" s="24">
        <v>0.82237919999999998</v>
      </c>
      <c r="M952" s="24">
        <v>6.1966000000000001</v>
      </c>
      <c r="N952" s="24">
        <v>6.9790850022955802</v>
      </c>
      <c r="O952" s="24">
        <v>9.4791666666666661</v>
      </c>
      <c r="P952" s="24">
        <v>3.0248752238805969</v>
      </c>
      <c r="Q952" s="24">
        <v>0.94117222571017389</v>
      </c>
      <c r="R952" s="24" t="e">
        <v>#N/A</v>
      </c>
      <c r="S952" s="24">
        <v>2.8498539353749841</v>
      </c>
      <c r="T952" s="24">
        <v>1.6985494084940047</v>
      </c>
      <c r="U952" s="24" t="s">
        <v>2904</v>
      </c>
      <c r="V952">
        <v>0</v>
      </c>
      <c r="W952" s="21">
        <v>0</v>
      </c>
      <c r="X952" s="56" t="str">
        <f>IFERROR(VLOOKUP(A952,Output!A:F,6,0),"-")</f>
        <v>-</v>
      </c>
    </row>
    <row r="953" spans="1:24" hidden="1" x14ac:dyDescent="0.25">
      <c r="A953" s="21" t="s">
        <v>1622</v>
      </c>
      <c r="B953" s="40" t="s">
        <v>1623</v>
      </c>
      <c r="C953" s="21" t="s">
        <v>250</v>
      </c>
      <c r="D953" s="21" t="s">
        <v>76</v>
      </c>
      <c r="E953" s="21" t="s">
        <v>102</v>
      </c>
      <c r="F953" s="55">
        <v>1.6085857339311275E-4</v>
      </c>
      <c r="G953" s="24">
        <v>2.8468969999999998</v>
      </c>
      <c r="H953" s="24">
        <v>7.1292239999999998</v>
      </c>
      <c r="I953" s="24">
        <v>6.8253190000000004</v>
      </c>
      <c r="J953" s="24">
        <v>4.499047</v>
      </c>
      <c r="K953" s="24">
        <v>5.8043760000000004</v>
      </c>
      <c r="L953" s="24">
        <v>8.7387379999999997</v>
      </c>
      <c r="M953" s="24">
        <v>2239.944</v>
      </c>
      <c r="N953" s="24">
        <v>0</v>
      </c>
      <c r="O953" s="24">
        <v>3.243243243243243</v>
      </c>
      <c r="P953" s="24">
        <v>10</v>
      </c>
      <c r="Q953" s="24">
        <v>10</v>
      </c>
      <c r="R953" s="24">
        <v>7.22</v>
      </c>
      <c r="S953" s="24">
        <v>8.5</v>
      </c>
      <c r="T953" s="24">
        <v>0.14422222650832348</v>
      </c>
      <c r="U953" s="24" t="s">
        <v>3429</v>
      </c>
      <c r="V953">
        <v>1</v>
      </c>
      <c r="W953" s="21">
        <v>1</v>
      </c>
      <c r="X953" s="56" t="str">
        <f>IFERROR(VLOOKUP(A953,Output!A:F,6,0),"-")</f>
        <v>-</v>
      </c>
    </row>
    <row r="954" spans="1:24" hidden="1" x14ac:dyDescent="0.25">
      <c r="A954" s="21" t="s">
        <v>745</v>
      </c>
      <c r="B954" s="40" t="s">
        <v>746</v>
      </c>
      <c r="C954" s="21" t="s">
        <v>294</v>
      </c>
      <c r="D954" s="21" t="s">
        <v>77</v>
      </c>
      <c r="E954" s="21" t="s">
        <v>85</v>
      </c>
      <c r="F954" s="55">
        <v>1.607863374076703E-4</v>
      </c>
      <c r="G954" s="24">
        <v>4.8585070000000004</v>
      </c>
      <c r="H954" s="24">
        <v>5.817672</v>
      </c>
      <c r="I954" s="24">
        <v>6.6298459999999997</v>
      </c>
      <c r="J954" s="24">
        <v>5.8141829999999999</v>
      </c>
      <c r="K954" s="24">
        <v>3.794842</v>
      </c>
      <c r="L954" s="24">
        <v>13.744490000000001</v>
      </c>
      <c r="M954" s="24">
        <v>7.9023000000000003</v>
      </c>
      <c r="N954" s="24">
        <v>2.3591923485653563</v>
      </c>
      <c r="O954" s="24">
        <v>1.3333333333333344</v>
      </c>
      <c r="P954" s="24">
        <v>5.8064534859527441</v>
      </c>
      <c r="Q954" s="24">
        <v>8.9304215991692644</v>
      </c>
      <c r="R954" s="24" t="e">
        <v>#N/A</v>
      </c>
      <c r="S954" s="24">
        <v>6.341576543606843</v>
      </c>
      <c r="T954" s="24">
        <v>0.33178426815373901</v>
      </c>
      <c r="U954" s="24" t="s">
        <v>3426</v>
      </c>
      <c r="V954">
        <v>0</v>
      </c>
      <c r="W954" s="21">
        <v>0</v>
      </c>
      <c r="X954" s="56" t="str">
        <f>IFERROR(VLOOKUP(A954,Output!A:F,6,0),"-")</f>
        <v>-</v>
      </c>
    </row>
    <row r="955" spans="1:24" x14ac:dyDescent="0.25">
      <c r="A955" s="21" t="s">
        <v>1715</v>
      </c>
      <c r="B955" s="40" t="s">
        <v>1716</v>
      </c>
      <c r="C955" s="21" t="s">
        <v>248</v>
      </c>
      <c r="D955" s="21" t="s">
        <v>75</v>
      </c>
      <c r="E955" s="21" t="s">
        <v>98</v>
      </c>
      <c r="F955" s="55">
        <v>1.6076822810769865E-4</v>
      </c>
      <c r="G955" s="24">
        <v>2.7444760000000001</v>
      </c>
      <c r="H955" s="24">
        <v>4.9196429999999998</v>
      </c>
      <c r="I955" s="24">
        <v>2.837977</v>
      </c>
      <c r="J955" s="24">
        <v>3.6519430000000002</v>
      </c>
      <c r="K955" s="24">
        <v>0.5997884</v>
      </c>
      <c r="L955" s="24">
        <v>5.1408620000000003</v>
      </c>
      <c r="M955" s="24">
        <v>8.9894999999999996</v>
      </c>
      <c r="N955" s="24">
        <v>4.4683635845819678</v>
      </c>
      <c r="O955" s="24">
        <v>8.279569892473118</v>
      </c>
      <c r="P955" s="24">
        <v>5.2651515151515156</v>
      </c>
      <c r="Q955" s="24">
        <v>2.6145456279247541</v>
      </c>
      <c r="R955" s="24">
        <v>3.14</v>
      </c>
      <c r="S955" s="24">
        <v>4.0550384309505194</v>
      </c>
      <c r="T955" s="24">
        <v>0.55389282849850496</v>
      </c>
      <c r="U955" s="24" t="s">
        <v>3468</v>
      </c>
      <c r="V955">
        <v>0</v>
      </c>
      <c r="W955" s="21">
        <v>1</v>
      </c>
      <c r="X955" s="56" t="str">
        <f>IFERROR(VLOOKUP(A955,Output!A:F,6,0),"-")</f>
        <v>-</v>
      </c>
    </row>
    <row r="956" spans="1:24" hidden="1" x14ac:dyDescent="0.25">
      <c r="A956" s="21" t="s">
        <v>476</v>
      </c>
      <c r="B956" s="40" t="s">
        <v>876</v>
      </c>
      <c r="C956" s="21" t="s">
        <v>245</v>
      </c>
      <c r="D956" s="21" t="s">
        <v>73</v>
      </c>
      <c r="E956" s="21" t="s">
        <v>102</v>
      </c>
      <c r="F956" s="55">
        <v>1.5963991811224323E-4</v>
      </c>
      <c r="G956" s="21">
        <v>3.3545370000000001</v>
      </c>
      <c r="H956" s="21">
        <v>4.5365690000000001</v>
      </c>
      <c r="I956" s="21">
        <v>5.131818</v>
      </c>
      <c r="J956" s="21">
        <v>3.9464000000000001</v>
      </c>
      <c r="K956" s="24">
        <v>6.1529480000000003</v>
      </c>
      <c r="L956" s="24">
        <v>6.2873900000000003</v>
      </c>
      <c r="M956" s="24">
        <v>3874.9189999999999</v>
      </c>
      <c r="N956" s="24">
        <v>6.723682976454425</v>
      </c>
      <c r="O956" s="24">
        <v>1.5463917525773194</v>
      </c>
      <c r="P956" s="24">
        <v>2.2619047619047619</v>
      </c>
      <c r="Q956" s="24">
        <v>4.9057951909268311</v>
      </c>
      <c r="R956" s="24">
        <v>8.5399999999999991</v>
      </c>
      <c r="S956" s="24">
        <v>5.8114376751297208</v>
      </c>
      <c r="T956" s="24">
        <v>0.59739952564799492</v>
      </c>
      <c r="U956" s="24" t="s">
        <v>2998</v>
      </c>
      <c r="V956">
        <v>1</v>
      </c>
      <c r="W956" s="21">
        <v>1</v>
      </c>
      <c r="X956" s="56" t="str">
        <f>IFERROR(VLOOKUP(A956,Output!A:F,6,0),"-")</f>
        <v>-</v>
      </c>
    </row>
    <row r="957" spans="1:24" hidden="1" x14ac:dyDescent="0.25">
      <c r="A957" s="21" t="s">
        <v>754</v>
      </c>
      <c r="B957" s="40" t="s">
        <v>755</v>
      </c>
      <c r="C957" s="21" t="s">
        <v>258</v>
      </c>
      <c r="D957" s="21" t="s">
        <v>74</v>
      </c>
      <c r="E957" s="21" t="s">
        <v>85</v>
      </c>
      <c r="F957" s="55">
        <v>1.5959434304064793E-4</v>
      </c>
      <c r="G957" s="24">
        <v>6.8435759999999997</v>
      </c>
      <c r="H957" s="24">
        <v>7.9633849999999997</v>
      </c>
      <c r="I957" s="24">
        <v>7.2528230000000002</v>
      </c>
      <c r="J957" s="24">
        <v>7.3787459999999996</v>
      </c>
      <c r="K957" s="24">
        <v>5.2011260000000004</v>
      </c>
      <c r="L957" s="24">
        <v>6.9995630000000002</v>
      </c>
      <c r="M957" s="24">
        <v>2.0145</v>
      </c>
      <c r="N957" s="24">
        <v>4.3072993664438695</v>
      </c>
      <c r="O957" s="24">
        <v>1.1111111111111112</v>
      </c>
      <c r="P957" s="24">
        <v>9.7017547368421049</v>
      </c>
      <c r="Q957" s="24">
        <v>1.9542447629547963</v>
      </c>
      <c r="R957" s="24">
        <v>4.63</v>
      </c>
      <c r="S957" s="24">
        <v>4.8127791538941223</v>
      </c>
      <c r="T957" s="24">
        <v>0.15761692913846453</v>
      </c>
      <c r="U957" s="24" t="s">
        <v>3542</v>
      </c>
      <c r="V957">
        <v>0</v>
      </c>
      <c r="W957" s="21">
        <v>0</v>
      </c>
      <c r="X957" s="56" t="str">
        <f>IFERROR(VLOOKUP(A957,Output!A:F,6,0),"-")</f>
        <v>-</v>
      </c>
    </row>
    <row r="958" spans="1:24" hidden="1" x14ac:dyDescent="0.25">
      <c r="A958" s="21" t="s">
        <v>486</v>
      </c>
      <c r="B958" s="40" t="s">
        <v>708</v>
      </c>
      <c r="C958" s="21" t="s">
        <v>244</v>
      </c>
      <c r="D958" s="21" t="s">
        <v>73</v>
      </c>
      <c r="E958" s="21" t="s">
        <v>91</v>
      </c>
      <c r="F958" s="55">
        <v>1.5930077116666321E-4</v>
      </c>
      <c r="G958" s="24">
        <v>3.3266429999999998</v>
      </c>
      <c r="H958" s="24">
        <v>5.4307860000000003</v>
      </c>
      <c r="I958" s="24">
        <v>2.1708660000000002</v>
      </c>
      <c r="J958" s="24">
        <v>3.7059890000000002</v>
      </c>
      <c r="K958" s="24">
        <v>0.41075210000000001</v>
      </c>
      <c r="L958" s="24">
        <v>8.8820189999999997</v>
      </c>
      <c r="M958" s="24">
        <v>28.204599999999999</v>
      </c>
      <c r="N958" s="24">
        <v>6.7026414050386771</v>
      </c>
      <c r="O958" s="24">
        <v>9.6969696969696955</v>
      </c>
      <c r="P958" s="24">
        <v>5.0103950311418091</v>
      </c>
      <c r="Q958" s="24">
        <v>9.547500071977657</v>
      </c>
      <c r="R958" s="24">
        <v>4.42</v>
      </c>
      <c r="S958" s="24">
        <v>7.0826676282361118</v>
      </c>
      <c r="T958" s="24">
        <v>1.0388158605419975</v>
      </c>
      <c r="U958" s="24" t="s">
        <v>2953</v>
      </c>
      <c r="V958">
        <v>0</v>
      </c>
      <c r="W958" s="21">
        <v>1</v>
      </c>
      <c r="X958" s="56" t="str">
        <f>IFERROR(VLOOKUP(A958,Output!A:F,6,0),"-")</f>
        <v>-</v>
      </c>
    </row>
    <row r="959" spans="1:24" x14ac:dyDescent="0.25">
      <c r="A959" s="21" t="s">
        <v>1456</v>
      </c>
      <c r="B959" s="40" t="s">
        <v>1457</v>
      </c>
      <c r="C959" s="21" t="s">
        <v>248</v>
      </c>
      <c r="D959" s="21" t="s">
        <v>75</v>
      </c>
      <c r="E959" s="21" t="s">
        <v>87</v>
      </c>
      <c r="F959" s="55">
        <v>1.5894955135443541E-4</v>
      </c>
      <c r="G959" s="21">
        <v>3.8000980000000002</v>
      </c>
      <c r="H959" s="21">
        <v>4.902514</v>
      </c>
      <c r="I959" s="21">
        <v>1.4691449999999999</v>
      </c>
      <c r="J959" s="21">
        <v>3.3905859999999999</v>
      </c>
      <c r="K959" s="21">
        <v>3.3519549999999998</v>
      </c>
      <c r="L959" s="21">
        <v>5.6050360000000001</v>
      </c>
      <c r="M959" s="21">
        <v>254.52619999999999</v>
      </c>
      <c r="N959" s="21">
        <v>2.8061716489874633</v>
      </c>
      <c r="O959" s="21">
        <v>2.2666666666666666</v>
      </c>
      <c r="P959" s="21">
        <v>0.92682926829268308</v>
      </c>
      <c r="Q959" s="21">
        <v>6.5220790825824713</v>
      </c>
      <c r="R959" s="21">
        <v>4.74</v>
      </c>
      <c r="S959" s="21">
        <v>4.7297761536650578</v>
      </c>
      <c r="T959" s="21">
        <v>0.32874888215730547</v>
      </c>
      <c r="U959" s="21" t="s">
        <v>3396</v>
      </c>
      <c r="V959">
        <v>0</v>
      </c>
      <c r="W959" s="21">
        <v>1</v>
      </c>
      <c r="X959" s="56" t="str">
        <f>IFERROR(VLOOKUP(A959,Output!A:F,6,0),"-")</f>
        <v>-</v>
      </c>
    </row>
    <row r="960" spans="1:24" hidden="1" x14ac:dyDescent="0.25">
      <c r="A960" s="21" t="s">
        <v>1959</v>
      </c>
      <c r="B960" s="40" t="s">
        <v>1960</v>
      </c>
      <c r="C960" s="21" t="s">
        <v>247</v>
      </c>
      <c r="D960" s="21" t="s">
        <v>74</v>
      </c>
      <c r="E960" s="21" t="s">
        <v>91</v>
      </c>
      <c r="F960" s="55">
        <v>1.5854189089062933E-4</v>
      </c>
      <c r="G960" s="24">
        <v>5.6972319999999996</v>
      </c>
      <c r="H960" s="24">
        <v>5.6903899999999998</v>
      </c>
      <c r="I960" s="24">
        <v>5.0194330000000003</v>
      </c>
      <c r="J960" s="24">
        <v>5.4233760000000002</v>
      </c>
      <c r="K960" s="24">
        <v>3.1496940000000002</v>
      </c>
      <c r="L960" s="24">
        <v>6.5430720000000004</v>
      </c>
      <c r="M960" s="24">
        <v>16.631799999999998</v>
      </c>
      <c r="N960" s="24">
        <v>1.9431167235494882</v>
      </c>
      <c r="O960" s="24">
        <v>4.3298969072164946</v>
      </c>
      <c r="P960" s="24">
        <v>4.0740740740740753</v>
      </c>
      <c r="Q960" s="24">
        <v>6.6081603368021593</v>
      </c>
      <c r="R960" s="24">
        <v>6.86</v>
      </c>
      <c r="S960" s="24">
        <v>5.5141992603045304</v>
      </c>
      <c r="T960" s="24">
        <v>0.37843884741772843</v>
      </c>
      <c r="U960" s="24" t="s">
        <v>3702</v>
      </c>
      <c r="V960">
        <v>0</v>
      </c>
      <c r="W960" s="21">
        <v>0</v>
      </c>
      <c r="X960" s="56" t="str">
        <f>IFERROR(VLOOKUP(A960,Output!A:F,6,0),"-")</f>
        <v>-</v>
      </c>
    </row>
    <row r="961" spans="1:24" hidden="1" x14ac:dyDescent="0.25">
      <c r="A961" s="21" t="s">
        <v>4269</v>
      </c>
      <c r="B961" s="40" t="s">
        <v>4270</v>
      </c>
      <c r="C961" s="21" t="s">
        <v>244</v>
      </c>
      <c r="D961" s="21" t="s">
        <v>73</v>
      </c>
      <c r="E961" s="21" t="s">
        <v>91</v>
      </c>
      <c r="F961" s="55">
        <v>1.581698453834341E-4</v>
      </c>
      <c r="G961" s="24">
        <v>2.047307</v>
      </c>
      <c r="H961" s="24">
        <v>4.9438940000000002</v>
      </c>
      <c r="I961" s="24">
        <v>3.5801020000000001</v>
      </c>
      <c r="J961" s="24">
        <v>3.8190599999999999</v>
      </c>
      <c r="K961" s="24">
        <v>0</v>
      </c>
      <c r="L961" s="24">
        <v>10.97941</v>
      </c>
      <c r="M961" s="24">
        <v>17.7986</v>
      </c>
      <c r="N961" s="24">
        <v>9.7520092076225762</v>
      </c>
      <c r="O961" s="24">
        <v>6.8686868686868685</v>
      </c>
      <c r="P961" s="24">
        <v>9.2827442857266362</v>
      </c>
      <c r="Q961" s="24">
        <v>6.6524642271039074</v>
      </c>
      <c r="R961" s="24" t="e">
        <v>#N/A</v>
      </c>
      <c r="S961" s="24">
        <v>7.7871368325197166</v>
      </c>
      <c r="T961" s="24">
        <v>0.48655981782075447</v>
      </c>
      <c r="U961" s="24" t="s">
        <v>4271</v>
      </c>
      <c r="V961">
        <v>0</v>
      </c>
      <c r="W961" s="21">
        <v>1</v>
      </c>
      <c r="X961" s="56" t="str">
        <f>IFERROR(VLOOKUP(A961,Output!A:F,6,0),"-")</f>
        <v>-</v>
      </c>
    </row>
    <row r="962" spans="1:24" hidden="1" x14ac:dyDescent="0.25">
      <c r="A962" s="21" t="s">
        <v>4403</v>
      </c>
      <c r="B962" s="40" t="s">
        <v>4466</v>
      </c>
      <c r="C962" s="21" t="s">
        <v>244</v>
      </c>
      <c r="D962" s="21" t="s">
        <v>73</v>
      </c>
      <c r="E962" s="21" t="s">
        <v>99</v>
      </c>
      <c r="F962" s="55">
        <v>1.5810968226463942E-4</v>
      </c>
      <c r="G962" s="21">
        <v>4.457649</v>
      </c>
      <c r="H962" s="21">
        <v>4.1464889999999999</v>
      </c>
      <c r="I962" s="21">
        <v>5.6692830000000001</v>
      </c>
      <c r="J962" s="21">
        <v>4.7277909999999999</v>
      </c>
      <c r="K962" s="24">
        <v>0</v>
      </c>
      <c r="L962" s="24">
        <v>1.9450890000000001</v>
      </c>
      <c r="M962" s="24">
        <v>29.524000000000001</v>
      </c>
      <c r="N962" s="24">
        <v>3.6148380911474409</v>
      </c>
      <c r="O962" s="24">
        <v>0.41666666666666663</v>
      </c>
      <c r="P962" s="24">
        <v>9.4626865671641802</v>
      </c>
      <c r="Q962" s="24">
        <v>0.17538775948061791</v>
      </c>
      <c r="R962" s="24" t="e">
        <v>#N/A</v>
      </c>
      <c r="S962" s="24">
        <v>3.8758719335774456</v>
      </c>
      <c r="T962" s="24">
        <v>1.6285875160258059</v>
      </c>
      <c r="U962" s="24" t="s">
        <v>4467</v>
      </c>
      <c r="V962">
        <v>0</v>
      </c>
      <c r="W962" s="21">
        <v>0</v>
      </c>
      <c r="X962" s="56" t="str">
        <f>IFERROR(VLOOKUP(A962,Output!A:F,6,0),"-")</f>
        <v>-</v>
      </c>
    </row>
    <row r="963" spans="1:24" hidden="1" x14ac:dyDescent="0.25">
      <c r="A963" s="21" t="s">
        <v>4248</v>
      </c>
      <c r="B963" s="40" t="s">
        <v>4249</v>
      </c>
      <c r="C963" s="21" t="s">
        <v>244</v>
      </c>
      <c r="D963" s="21" t="s">
        <v>73</v>
      </c>
      <c r="E963" s="21" t="s">
        <v>95</v>
      </c>
      <c r="F963" s="55">
        <v>1.5765755340868074E-4</v>
      </c>
      <c r="G963" s="21">
        <v>1.6417120000000001</v>
      </c>
      <c r="H963" s="21">
        <v>5.671881</v>
      </c>
      <c r="I963" s="21">
        <v>3.4746999999999999</v>
      </c>
      <c r="J963" s="21">
        <v>2.9976419999999999</v>
      </c>
      <c r="K963" s="24">
        <v>0.81066369999999999</v>
      </c>
      <c r="L963" s="24">
        <v>3.96238</v>
      </c>
      <c r="M963" s="24">
        <v>213.83959999999999</v>
      </c>
      <c r="N963" s="24">
        <v>5.5568852959948911</v>
      </c>
      <c r="O963" s="24">
        <v>6.4948453608247423</v>
      </c>
      <c r="P963" s="24">
        <v>10</v>
      </c>
      <c r="Q963" s="24">
        <v>0.1798431982763779</v>
      </c>
      <c r="R963" s="24" t="e">
        <v>#N/A</v>
      </c>
      <c r="S963" s="24">
        <v>3.8836515987515163</v>
      </c>
      <c r="T963" s="24">
        <v>0.62584895059334189</v>
      </c>
      <c r="U963" s="24" t="s">
        <v>4250</v>
      </c>
      <c r="V963">
        <v>0</v>
      </c>
      <c r="W963" s="21">
        <v>1</v>
      </c>
      <c r="X963" s="56" t="str">
        <f>IFERROR(VLOOKUP(A963,Output!A:F,6,0),"-")</f>
        <v>-</v>
      </c>
    </row>
    <row r="964" spans="1:24" x14ac:dyDescent="0.25">
      <c r="A964" s="21" t="s">
        <v>2490</v>
      </c>
      <c r="B964" s="40" t="s">
        <v>2491</v>
      </c>
      <c r="C964" s="21" t="s">
        <v>253</v>
      </c>
      <c r="D964" s="21" t="s">
        <v>75</v>
      </c>
      <c r="E964" s="21" t="s">
        <v>101</v>
      </c>
      <c r="F964" s="55">
        <v>1.5750684379002783E-4</v>
      </c>
      <c r="G964" s="21">
        <v>4.0109890000000004</v>
      </c>
      <c r="H964" s="21">
        <v>6.0446460000000002</v>
      </c>
      <c r="I964" s="21">
        <v>4.5894700000000004</v>
      </c>
      <c r="J964" s="21">
        <v>5.0558439999999996</v>
      </c>
      <c r="K964" s="24">
        <v>1.6046069999999999</v>
      </c>
      <c r="L964" s="24">
        <v>5.8905390000000004</v>
      </c>
      <c r="M964" s="53">
        <v>51.517299999999999</v>
      </c>
      <c r="N964" s="24">
        <v>6.4373844283215753</v>
      </c>
      <c r="O964" s="24">
        <v>1.9354838709677415</v>
      </c>
      <c r="P964" s="24">
        <v>5.5303030303030312</v>
      </c>
      <c r="Q964" s="24">
        <v>2.0605210086529571</v>
      </c>
      <c r="R964" s="24">
        <v>4.1100000000000003</v>
      </c>
      <c r="S964" s="24">
        <v>4.5020560635164681</v>
      </c>
      <c r="T964" s="24">
        <v>0.41682104004088893</v>
      </c>
      <c r="U964" s="24" t="s">
        <v>3948</v>
      </c>
      <c r="V964">
        <v>0</v>
      </c>
      <c r="W964" s="21">
        <v>0</v>
      </c>
      <c r="X964" s="56" t="str">
        <f>IFERROR(VLOOKUP(A964,Output!A:F,6,0),"-")</f>
        <v>-</v>
      </c>
    </row>
    <row r="965" spans="1:24" hidden="1" x14ac:dyDescent="0.25">
      <c r="A965" s="21" t="s">
        <v>459</v>
      </c>
      <c r="B965" s="40" t="s">
        <v>858</v>
      </c>
      <c r="C965" s="21" t="s">
        <v>244</v>
      </c>
      <c r="D965" s="21" t="s">
        <v>73</v>
      </c>
      <c r="E965" s="21" t="s">
        <v>94</v>
      </c>
      <c r="F965" s="55">
        <v>1.5724536561988173E-4</v>
      </c>
      <c r="G965" s="24">
        <v>6.6224769999999999</v>
      </c>
      <c r="H965" s="24">
        <v>3.3745180000000001</v>
      </c>
      <c r="I965" s="24">
        <v>5.3646799999999999</v>
      </c>
      <c r="J965" s="24">
        <v>4.8201739999999997</v>
      </c>
      <c r="K965" s="24">
        <v>0.82026659999999996</v>
      </c>
      <c r="L965" s="24">
        <v>3.5659390000000002</v>
      </c>
      <c r="M965" s="24">
        <v>15.613799999999999</v>
      </c>
      <c r="N965" s="24">
        <v>3.7204389730471243</v>
      </c>
      <c r="O965" s="24">
        <v>8.5714285714285712</v>
      </c>
      <c r="P965" s="24">
        <v>3.4744946813262549</v>
      </c>
      <c r="Q965" s="24">
        <v>5.3960557799323077</v>
      </c>
      <c r="R965" s="24">
        <v>5.89</v>
      </c>
      <c r="S965" s="24">
        <v>4.4551652574722489</v>
      </c>
      <c r="T965" s="24">
        <v>1.0483581791129977</v>
      </c>
      <c r="U965" s="24" t="s">
        <v>2971</v>
      </c>
      <c r="V965">
        <v>0</v>
      </c>
      <c r="W965" s="21">
        <v>0</v>
      </c>
      <c r="X965" s="56" t="str">
        <f>IFERROR(VLOOKUP(A965,Output!A:F,6,0),"-")</f>
        <v>-</v>
      </c>
    </row>
    <row r="966" spans="1:24" hidden="1" x14ac:dyDescent="0.25">
      <c r="A966" s="21" t="s">
        <v>425</v>
      </c>
      <c r="B966" s="40" t="s">
        <v>854</v>
      </c>
      <c r="C966" s="21" t="s">
        <v>244</v>
      </c>
      <c r="D966" s="21" t="s">
        <v>73</v>
      </c>
      <c r="E966" s="21" t="s">
        <v>92</v>
      </c>
      <c r="F966" s="55">
        <v>1.5723530489767529E-4</v>
      </c>
      <c r="G966" s="21">
        <v>6.6035409999999999</v>
      </c>
      <c r="H966" s="21">
        <v>5.9069440000000002</v>
      </c>
      <c r="I966" s="21">
        <v>6.2689789999999999</v>
      </c>
      <c r="J966" s="21">
        <v>6.2598209999999996</v>
      </c>
      <c r="K966" s="24">
        <v>1.067747</v>
      </c>
      <c r="L966" s="24">
        <v>6.728891</v>
      </c>
      <c r="M966" s="24">
        <v>134.3322</v>
      </c>
      <c r="N966" s="24">
        <v>4.3844687499999999</v>
      </c>
      <c r="O966" s="24">
        <v>1.8181818181818183</v>
      </c>
      <c r="P966" s="24">
        <v>7.4974253450157562</v>
      </c>
      <c r="Q966" s="24">
        <v>5.032298380674276</v>
      </c>
      <c r="R966" s="24">
        <v>7.24</v>
      </c>
      <c r="S966" s="24">
        <v>6.1568561981772092</v>
      </c>
      <c r="T966" s="24">
        <v>1.0542115320701644</v>
      </c>
      <c r="U966" s="24" t="s">
        <v>2979</v>
      </c>
      <c r="V966">
        <v>0</v>
      </c>
      <c r="W966" s="21">
        <v>0</v>
      </c>
      <c r="X966" s="56" t="str">
        <f>IFERROR(VLOOKUP(A966,Output!A:F,6,0),"-")</f>
        <v>-</v>
      </c>
    </row>
    <row r="967" spans="1:24" hidden="1" x14ac:dyDescent="0.25">
      <c r="A967" s="21" t="s">
        <v>443</v>
      </c>
      <c r="B967" s="40" t="s">
        <v>873</v>
      </c>
      <c r="C967" s="21" t="s">
        <v>244</v>
      </c>
      <c r="D967" s="21" t="s">
        <v>73</v>
      </c>
      <c r="E967" s="21" t="s">
        <v>91</v>
      </c>
      <c r="F967" s="55">
        <v>1.5687915533156631E-4</v>
      </c>
      <c r="G967" s="24">
        <v>5.5372690000000002</v>
      </c>
      <c r="H967" s="24">
        <v>6.4216379999999997</v>
      </c>
      <c r="I967" s="24">
        <v>6.6304179999999997</v>
      </c>
      <c r="J967" s="24">
        <v>6.3282759999999998</v>
      </c>
      <c r="K967" s="24">
        <v>0</v>
      </c>
      <c r="L967" s="24">
        <v>6.8791349999999998</v>
      </c>
      <c r="M967" s="24">
        <v>3.0710000000000002</v>
      </c>
      <c r="N967" s="24">
        <v>6.0390359550828059</v>
      </c>
      <c r="O967" s="24">
        <v>2.8282828282828283</v>
      </c>
      <c r="P967" s="24">
        <v>5.1351351553632636</v>
      </c>
      <c r="Q967" s="24">
        <v>8.300847033080931</v>
      </c>
      <c r="R967" s="24" t="e">
        <v>#N/A</v>
      </c>
      <c r="S967" s="24">
        <v>5.9165028209048414</v>
      </c>
      <c r="T967" s="24">
        <v>0.59561846217361947</v>
      </c>
      <c r="U967" s="24" t="s">
        <v>2986</v>
      </c>
      <c r="V967">
        <v>0</v>
      </c>
      <c r="W967" s="21">
        <v>0</v>
      </c>
      <c r="X967" s="56" t="str">
        <f>IFERROR(VLOOKUP(A967,Output!A:F,6,0),"-")</f>
        <v>-</v>
      </c>
    </row>
    <row r="968" spans="1:24" x14ac:dyDescent="0.25">
      <c r="A968" s="21" t="s">
        <v>1652</v>
      </c>
      <c r="B968" s="40" t="s">
        <v>1653</v>
      </c>
      <c r="C968" s="21" t="s">
        <v>248</v>
      </c>
      <c r="D968" s="21" t="s">
        <v>75</v>
      </c>
      <c r="E968" s="21" t="s">
        <v>92</v>
      </c>
      <c r="F968" s="55">
        <v>1.5681687946110827E-4</v>
      </c>
      <c r="G968" s="24">
        <v>5.9654280000000002</v>
      </c>
      <c r="H968" s="24">
        <v>4.8996000000000004</v>
      </c>
      <c r="I968" s="24">
        <v>3.8953929999999999</v>
      </c>
      <c r="J968" s="24">
        <v>5.0246690000000003</v>
      </c>
      <c r="K968" s="24">
        <v>0.98864730000000001</v>
      </c>
      <c r="L968" s="24">
        <v>3.0388359999999999</v>
      </c>
      <c r="M968" s="53">
        <v>19.3093</v>
      </c>
      <c r="N968" s="24">
        <v>5.8147180882752263</v>
      </c>
      <c r="O968" s="24">
        <v>2.9473684210526314</v>
      </c>
      <c r="P968" s="24">
        <v>7.7714286733061178</v>
      </c>
      <c r="Q968" s="24">
        <v>1.0048006395034774</v>
      </c>
      <c r="R968" s="24">
        <v>2.94</v>
      </c>
      <c r="S968" s="24">
        <v>3.5982035802474099</v>
      </c>
      <c r="T968" s="24">
        <v>0.54784282875765311</v>
      </c>
      <c r="U968" s="24" t="s">
        <v>3442</v>
      </c>
      <c r="V968">
        <v>0</v>
      </c>
      <c r="W968" s="21">
        <v>0</v>
      </c>
      <c r="X968" s="56" t="str">
        <f>IFERROR(VLOOKUP(A968,Output!A:F,6,0),"-")</f>
        <v>-</v>
      </c>
    </row>
    <row r="969" spans="1:24" x14ac:dyDescent="0.25">
      <c r="A969" s="21" t="s">
        <v>1872</v>
      </c>
      <c r="B969" s="40" t="s">
        <v>1873</v>
      </c>
      <c r="C969" s="21" t="s">
        <v>248</v>
      </c>
      <c r="D969" s="21" t="s">
        <v>75</v>
      </c>
      <c r="E969" s="21" t="s">
        <v>96</v>
      </c>
      <c r="F969" s="55">
        <v>1.5659151928368336E-4</v>
      </c>
      <c r="G969" s="24">
        <v>4.9714919999999996</v>
      </c>
      <c r="H969" s="24">
        <v>5.182283</v>
      </c>
      <c r="I969" s="24">
        <v>1.5997760000000001</v>
      </c>
      <c r="J969" s="24">
        <v>3.9178500000000001</v>
      </c>
      <c r="K969" s="24">
        <v>2.126633</v>
      </c>
      <c r="L969" s="24">
        <v>3.8509880000000001</v>
      </c>
      <c r="M969" s="24">
        <v>6.2708000000000004</v>
      </c>
      <c r="N969" s="24">
        <v>3.8199004368548399</v>
      </c>
      <c r="O969" s="24">
        <v>3.0107526881720426</v>
      </c>
      <c r="P969" s="24">
        <v>6.5151515151515156</v>
      </c>
      <c r="Q969" s="24">
        <v>3.1056681763625198</v>
      </c>
      <c r="R969" s="24">
        <v>4.84</v>
      </c>
      <c r="S969" s="24">
        <v>4.467190932164157</v>
      </c>
      <c r="T969" s="24">
        <v>0.20906361555423264</v>
      </c>
      <c r="U969" s="24" t="s">
        <v>3627</v>
      </c>
      <c r="V969">
        <v>0</v>
      </c>
      <c r="W969" s="21">
        <v>1</v>
      </c>
      <c r="X969" s="56" t="str">
        <f>IFERROR(VLOOKUP(A969,Output!A:F,6,0),"-")</f>
        <v>-</v>
      </c>
    </row>
    <row r="970" spans="1:24" x14ac:dyDescent="0.25">
      <c r="A970" s="21" t="s">
        <v>1817</v>
      </c>
      <c r="B970" s="40" t="s">
        <v>1818</v>
      </c>
      <c r="C970" s="21" t="s">
        <v>248</v>
      </c>
      <c r="D970" s="21" t="s">
        <v>75</v>
      </c>
      <c r="E970" s="21" t="s">
        <v>99</v>
      </c>
      <c r="F970" s="55">
        <v>1.5654644724819841E-4</v>
      </c>
      <c r="G970" s="24">
        <v>7.3643239999999999</v>
      </c>
      <c r="H970" s="24">
        <v>7.2853669999999999</v>
      </c>
      <c r="I970" s="24">
        <v>1.7452810000000001</v>
      </c>
      <c r="J970" s="24">
        <v>5.4649910000000004</v>
      </c>
      <c r="K970" s="24">
        <v>1.2466090000000001</v>
      </c>
      <c r="L970" s="24">
        <v>4.108225</v>
      </c>
      <c r="M970" s="24">
        <v>13.4528</v>
      </c>
      <c r="N970" s="24">
        <v>5.4651864024721721</v>
      </c>
      <c r="O970" s="24">
        <v>5.5555555555555554</v>
      </c>
      <c r="P970" s="24">
        <v>6.3228699551569498</v>
      </c>
      <c r="Q970" s="24">
        <v>2.810740421383179</v>
      </c>
      <c r="R970" s="24">
        <v>4.8499999999999996</v>
      </c>
      <c r="S970" s="24">
        <v>5.3346407839952645</v>
      </c>
      <c r="T970" s="24">
        <v>0.27170489198183467</v>
      </c>
      <c r="U970" s="24" t="s">
        <v>3589</v>
      </c>
      <c r="V970">
        <v>0</v>
      </c>
      <c r="W970" s="21">
        <v>0</v>
      </c>
      <c r="X970" s="56" t="str">
        <f>IFERROR(VLOOKUP(A970,Output!A:F,6,0),"-")</f>
        <v>-</v>
      </c>
    </row>
    <row r="971" spans="1:24" x14ac:dyDescent="0.25">
      <c r="A971" s="21" t="s">
        <v>4548</v>
      </c>
      <c r="B971" s="40" t="s">
        <v>4549</v>
      </c>
      <c r="C971" s="21" t="s">
        <v>248</v>
      </c>
      <c r="D971" s="21" t="s">
        <v>75</v>
      </c>
      <c r="E971" s="21" t="s">
        <v>99</v>
      </c>
      <c r="F971" s="55">
        <v>1.5640529531564166E-4</v>
      </c>
      <c r="G971" s="21">
        <v>6.5279400000000001</v>
      </c>
      <c r="H971" s="21">
        <v>7.3770499999999997</v>
      </c>
      <c r="I971" s="21">
        <v>5.8650929999999999</v>
      </c>
      <c r="J971" s="21">
        <v>6.5838190000000001</v>
      </c>
      <c r="K971" s="21">
        <v>1.1201970000000001</v>
      </c>
      <c r="L971" s="21">
        <v>10.36469</v>
      </c>
      <c r="M971" s="21">
        <v>22.329899999999999</v>
      </c>
      <c r="N971" s="21">
        <v>8.1842742007367466</v>
      </c>
      <c r="O971" s="21">
        <v>9.5555555555555571</v>
      </c>
      <c r="P971" s="21">
        <v>9.0582959641255592</v>
      </c>
      <c r="Q971" s="21">
        <v>4.1948081007405191</v>
      </c>
      <c r="R971" s="21">
        <v>5.14</v>
      </c>
      <c r="S971" s="21">
        <v>6.6200580864586005</v>
      </c>
      <c r="T971" s="21">
        <v>1.2478695789787468</v>
      </c>
      <c r="U971" s="21" t="s">
        <v>4550</v>
      </c>
      <c r="V971">
        <v>0</v>
      </c>
      <c r="W971" s="21">
        <v>0</v>
      </c>
      <c r="X971" s="56" t="str">
        <f>IFERROR(VLOOKUP(A971,Output!A:F,6,0),"-")</f>
        <v>-</v>
      </c>
    </row>
    <row r="972" spans="1:24" hidden="1" x14ac:dyDescent="0.25">
      <c r="A972" s="21" t="s">
        <v>2407</v>
      </c>
      <c r="B972" s="40" t="s">
        <v>2408</v>
      </c>
      <c r="C972" s="21" t="s">
        <v>250</v>
      </c>
      <c r="D972" s="21" t="s">
        <v>76</v>
      </c>
      <c r="E972" s="21" t="s">
        <v>100</v>
      </c>
      <c r="F972" s="55">
        <v>1.5599431481350741E-4</v>
      </c>
      <c r="G972" s="21">
        <v>3.5199980000000002</v>
      </c>
      <c r="H972" s="21">
        <v>5.2805900000000001</v>
      </c>
      <c r="I972" s="21">
        <v>4.5294689999999997</v>
      </c>
      <c r="J972" s="21">
        <v>4.443352</v>
      </c>
      <c r="K972" s="24">
        <v>4.6760469999999996</v>
      </c>
      <c r="L972" s="24">
        <v>4.0917219999999999</v>
      </c>
      <c r="M972" s="24">
        <v>53.148499999999999</v>
      </c>
      <c r="N972" s="24">
        <v>10</v>
      </c>
      <c r="O972" s="24">
        <v>0</v>
      </c>
      <c r="P972" s="24">
        <v>0</v>
      </c>
      <c r="Q972" s="24">
        <v>10</v>
      </c>
      <c r="R972" s="24">
        <v>4.6399999999999997</v>
      </c>
      <c r="S972" s="24">
        <v>3.5</v>
      </c>
      <c r="T972" s="24">
        <v>0.25789807044042923</v>
      </c>
      <c r="U972" s="24" t="s">
        <v>3933</v>
      </c>
      <c r="V972">
        <v>0</v>
      </c>
      <c r="W972" s="21">
        <v>1</v>
      </c>
      <c r="X972" s="56" t="str">
        <f>IFERROR(VLOOKUP(A972,Output!A:F,6,0),"-")</f>
        <v>-</v>
      </c>
    </row>
    <row r="973" spans="1:24" hidden="1" x14ac:dyDescent="0.25">
      <c r="A973" s="21" t="s">
        <v>422</v>
      </c>
      <c r="B973" s="40" t="s">
        <v>709</v>
      </c>
      <c r="C973" s="21" t="s">
        <v>244</v>
      </c>
      <c r="D973" s="21" t="s">
        <v>73</v>
      </c>
      <c r="E973" s="21" t="s">
        <v>98</v>
      </c>
      <c r="F973" s="55">
        <v>1.5573142814225241E-4</v>
      </c>
      <c r="G973" s="24">
        <v>5.5374679999999996</v>
      </c>
      <c r="H973" s="24">
        <v>3.0546509999999998</v>
      </c>
      <c r="I973" s="24">
        <v>7.2984859999999996</v>
      </c>
      <c r="J973" s="24">
        <v>5.2487490000000001</v>
      </c>
      <c r="K973" s="24">
        <v>1.757369</v>
      </c>
      <c r="L973" s="24">
        <v>7.6451229999999999</v>
      </c>
      <c r="M973" s="24">
        <v>27.2074</v>
      </c>
      <c r="N973" s="24">
        <v>1.8961143405598548</v>
      </c>
      <c r="O973" s="24">
        <v>5.612244897959183</v>
      </c>
      <c r="P973" s="24">
        <v>6.8142448385533969</v>
      </c>
      <c r="Q973" s="24">
        <v>7.2192589302829706</v>
      </c>
      <c r="R973" s="24">
        <v>5.71</v>
      </c>
      <c r="S973" s="24">
        <v>5.5570871091120848</v>
      </c>
      <c r="T973" s="24">
        <v>1.3498005701215507</v>
      </c>
      <c r="U973" s="24" t="s">
        <v>2932</v>
      </c>
      <c r="V973">
        <v>0</v>
      </c>
      <c r="W973" s="21">
        <v>0</v>
      </c>
      <c r="X973" s="56" t="str">
        <f>IFERROR(VLOOKUP(A973,Output!A:F,6,0),"-")</f>
        <v>-</v>
      </c>
    </row>
    <row r="974" spans="1:24" hidden="1" x14ac:dyDescent="0.25">
      <c r="A974" s="21" t="s">
        <v>564</v>
      </c>
      <c r="B974" s="40" t="s">
        <v>911</v>
      </c>
      <c r="C974" s="21" t="s">
        <v>244</v>
      </c>
      <c r="D974" s="21" t="s">
        <v>73</v>
      </c>
      <c r="E974" s="21" t="s">
        <v>99</v>
      </c>
      <c r="F974" s="55">
        <v>1.5539016844500901E-4</v>
      </c>
      <c r="G974" s="24">
        <v>6.2706350000000004</v>
      </c>
      <c r="H974" s="24">
        <v>5.5579720000000004</v>
      </c>
      <c r="I974" s="24">
        <v>6.2857000000000003</v>
      </c>
      <c r="J974" s="24">
        <v>6.0381030000000004</v>
      </c>
      <c r="K974" s="24">
        <v>0</v>
      </c>
      <c r="L974" s="24">
        <v>3.6755390000000001</v>
      </c>
      <c r="M974" s="24">
        <v>13.811299999999999</v>
      </c>
      <c r="N974" s="24">
        <v>3.2734809213481384</v>
      </c>
      <c r="O974" s="24">
        <v>4.479166666666667</v>
      </c>
      <c r="P974" s="24">
        <v>0.99502447761194046</v>
      </c>
      <c r="Q974" s="24">
        <v>8.3004476813067303</v>
      </c>
      <c r="R974" s="24" t="e">
        <v>#N/A</v>
      </c>
      <c r="S974" s="24">
        <v>3.5140851670646924</v>
      </c>
      <c r="T974" s="24">
        <v>1.5986497335940211</v>
      </c>
      <c r="U974" s="24" t="s">
        <v>2952</v>
      </c>
      <c r="V974">
        <v>0</v>
      </c>
      <c r="W974" s="21">
        <v>0</v>
      </c>
      <c r="X974" s="56" t="str">
        <f>IFERROR(VLOOKUP(A974,Output!A:F,6,0),"-")</f>
        <v>-</v>
      </c>
    </row>
    <row r="975" spans="1:24" hidden="1" x14ac:dyDescent="0.25">
      <c r="A975" s="21" t="s">
        <v>546</v>
      </c>
      <c r="B975" s="40" t="s">
        <v>909</v>
      </c>
      <c r="C975" s="21" t="s">
        <v>244</v>
      </c>
      <c r="D975" s="21" t="s">
        <v>73</v>
      </c>
      <c r="E975" s="21" t="s">
        <v>91</v>
      </c>
      <c r="F975" s="55">
        <v>1.5495182277847319E-4</v>
      </c>
      <c r="G975" s="21">
        <v>4.9023279999999998</v>
      </c>
      <c r="H975" s="21">
        <v>5.3211440000000003</v>
      </c>
      <c r="I975" s="21">
        <v>5.9954609999999997</v>
      </c>
      <c r="J975" s="21">
        <v>5.5071070000000004</v>
      </c>
      <c r="K975" s="24">
        <v>0.63033760000000005</v>
      </c>
      <c r="L975" s="24">
        <v>5.6541199999999998</v>
      </c>
      <c r="M975" s="24">
        <v>28.058299999999999</v>
      </c>
      <c r="N975" s="24">
        <v>3.6257176922417731</v>
      </c>
      <c r="O975" s="24">
        <v>2.0202020202020203</v>
      </c>
      <c r="P975" s="24">
        <v>4.6985447205881705</v>
      </c>
      <c r="Q975" s="24">
        <v>6.5580283879883687</v>
      </c>
      <c r="R975" s="24">
        <v>4.72</v>
      </c>
      <c r="S975" s="24">
        <v>4.7252519609839352</v>
      </c>
      <c r="T975" s="24">
        <v>1.067026960446456</v>
      </c>
      <c r="U975" s="24" t="s">
        <v>3039</v>
      </c>
      <c r="V975">
        <v>0</v>
      </c>
      <c r="W975" s="21">
        <v>0</v>
      </c>
      <c r="X975" s="56" t="str">
        <f>IFERROR(VLOOKUP(A975,Output!A:F,6,0),"-")</f>
        <v>-</v>
      </c>
    </row>
    <row r="976" spans="1:24" hidden="1" x14ac:dyDescent="0.25">
      <c r="A976" s="21" t="s">
        <v>1112</v>
      </c>
      <c r="B976" s="40" t="s">
        <v>1113</v>
      </c>
      <c r="C976" s="21" t="s">
        <v>244</v>
      </c>
      <c r="D976" s="21" t="s">
        <v>73</v>
      </c>
      <c r="E976" s="21" t="s">
        <v>99</v>
      </c>
      <c r="F976" s="55">
        <v>1.545914477090375E-4</v>
      </c>
      <c r="G976" s="24">
        <v>4.7706819999999999</v>
      </c>
      <c r="H976" s="24">
        <v>5.4584869999999999</v>
      </c>
      <c r="I976" s="24">
        <v>3.3315950000000001</v>
      </c>
      <c r="J976" s="24">
        <v>4.5452979999999998</v>
      </c>
      <c r="K976" s="24">
        <v>0</v>
      </c>
      <c r="L976" s="24">
        <v>3.8309380000000002</v>
      </c>
      <c r="M976" s="24">
        <v>15.210100000000001</v>
      </c>
      <c r="N976" s="24">
        <v>4.0114442787248823</v>
      </c>
      <c r="O976" s="24">
        <v>0.41666666666666663</v>
      </c>
      <c r="P976" s="24">
        <v>5.8507462686567173</v>
      </c>
      <c r="Q976" s="24">
        <v>4.6923982541094826</v>
      </c>
      <c r="R976" s="24">
        <v>3.42</v>
      </c>
      <c r="S976" s="24">
        <v>4.4030931042411785</v>
      </c>
      <c r="T976" s="24">
        <v>1.2597824850821058</v>
      </c>
      <c r="U976" s="24" t="s">
        <v>3149</v>
      </c>
      <c r="V976">
        <v>0</v>
      </c>
      <c r="W976" s="21">
        <v>1</v>
      </c>
      <c r="X976" s="56" t="str">
        <f>IFERROR(VLOOKUP(A976,Output!A:F,6,0),"-")</f>
        <v>-</v>
      </c>
    </row>
    <row r="977" spans="1:24" hidden="1" x14ac:dyDescent="0.25">
      <c r="A977" s="21" t="s">
        <v>434</v>
      </c>
      <c r="B977" s="40" t="s">
        <v>702</v>
      </c>
      <c r="C977" s="21" t="s">
        <v>244</v>
      </c>
      <c r="D977" s="21" t="s">
        <v>73</v>
      </c>
      <c r="E977" s="21" t="s">
        <v>89</v>
      </c>
      <c r="F977" s="55">
        <v>1.5362581959166069E-4</v>
      </c>
      <c r="G977" s="24">
        <v>6.0000109999999998</v>
      </c>
      <c r="H977" s="24">
        <v>5.1772770000000001</v>
      </c>
      <c r="I977" s="24">
        <v>5.5837770000000004</v>
      </c>
      <c r="J977" s="24">
        <v>5.5663720000000003</v>
      </c>
      <c r="K977" s="24">
        <v>3.1020409999999998</v>
      </c>
      <c r="L977" s="24">
        <v>9.2209699999999994</v>
      </c>
      <c r="M977" s="24">
        <v>1.8344</v>
      </c>
      <c r="N977" s="24">
        <v>3.7510846354166665</v>
      </c>
      <c r="O977" s="24">
        <v>6.3917525773195871</v>
      </c>
      <c r="P977" s="24">
        <v>0.81174445595854938</v>
      </c>
      <c r="Q977" s="24">
        <v>5.653608190143987</v>
      </c>
      <c r="R977" s="24">
        <v>4.8600000000000003</v>
      </c>
      <c r="S977" s="24">
        <v>3.3431653889949726</v>
      </c>
      <c r="T977" s="24">
        <v>1.4535830025926022</v>
      </c>
      <c r="U977" s="24" t="s">
        <v>2928</v>
      </c>
      <c r="V977">
        <v>0</v>
      </c>
      <c r="W977" s="21">
        <v>0</v>
      </c>
      <c r="X977" s="56" t="str">
        <f>IFERROR(VLOOKUP(A977,Output!A:F,6,0),"-")</f>
        <v>-</v>
      </c>
    </row>
    <row r="978" spans="1:24" hidden="1" x14ac:dyDescent="0.25">
      <c r="A978" s="21" t="s">
        <v>270</v>
      </c>
      <c r="B978" s="40" t="s">
        <v>868</v>
      </c>
      <c r="C978" s="21" t="s">
        <v>245</v>
      </c>
      <c r="D978" s="21" t="s">
        <v>73</v>
      </c>
      <c r="E978" s="21" t="s">
        <v>99</v>
      </c>
      <c r="F978" s="55">
        <v>1.536035853955844E-4</v>
      </c>
      <c r="G978" s="24">
        <v>8.9907509999999995</v>
      </c>
      <c r="H978" s="24">
        <v>3.2983799999999999</v>
      </c>
      <c r="I978" s="24">
        <v>6.5951529999999998</v>
      </c>
      <c r="J978" s="24">
        <v>6.2947620000000004</v>
      </c>
      <c r="K978" s="24">
        <v>2.6106150000000001</v>
      </c>
      <c r="L978" s="24">
        <v>11.147460000000001</v>
      </c>
      <c r="M978" s="24">
        <v>9.9398999999999997</v>
      </c>
      <c r="N978" s="24">
        <v>8.3208368840439526</v>
      </c>
      <c r="O978" s="24">
        <v>2.916666666666667</v>
      </c>
      <c r="P978" s="24">
        <v>4.8059701492537314</v>
      </c>
      <c r="Q978" s="24">
        <v>5.1266369944803216</v>
      </c>
      <c r="R978" s="24">
        <v>7.74</v>
      </c>
      <c r="S978" s="24">
        <v>7.1158932885589792</v>
      </c>
      <c r="T978" s="24">
        <v>1.4650087667712441</v>
      </c>
      <c r="U978" s="24" t="s">
        <v>2974</v>
      </c>
      <c r="V978">
        <v>0</v>
      </c>
      <c r="W978" s="21">
        <v>0</v>
      </c>
      <c r="X978" s="56" t="str">
        <f>IFERROR(VLOOKUP(A978,Output!A:F,6,0),"-")</f>
        <v>-</v>
      </c>
    </row>
    <row r="979" spans="1:24" hidden="1" x14ac:dyDescent="0.25">
      <c r="A979" s="21" t="s">
        <v>2509</v>
      </c>
      <c r="B979" s="40" t="s">
        <v>2510</v>
      </c>
      <c r="C979" s="21" t="s">
        <v>305</v>
      </c>
      <c r="D979" s="21" t="s">
        <v>74</v>
      </c>
      <c r="E979" s="21" t="s">
        <v>102</v>
      </c>
      <c r="F979" s="55">
        <v>1.5312519805466682E-4</v>
      </c>
      <c r="G979" s="24">
        <v>6.0457090000000004</v>
      </c>
      <c r="H979" s="24">
        <v>7.9461680000000001</v>
      </c>
      <c r="I979" s="24">
        <v>7.870571</v>
      </c>
      <c r="J979" s="24">
        <v>6.7907729999999997</v>
      </c>
      <c r="K979" s="24">
        <v>3.1208520000000002</v>
      </c>
      <c r="L979" s="24">
        <v>5.9117459999999999</v>
      </c>
      <c r="M979" s="24">
        <v>210.1163</v>
      </c>
      <c r="N979" s="24">
        <v>1.6383129870871771</v>
      </c>
      <c r="O979" s="24">
        <v>2.8571428571428577</v>
      </c>
      <c r="P979" s="24">
        <v>0</v>
      </c>
      <c r="Q979" s="24">
        <v>2.4586327937912449</v>
      </c>
      <c r="R979" s="24">
        <v>3.86</v>
      </c>
      <c r="S979" s="24">
        <v>1.3374735068213255</v>
      </c>
      <c r="T979" s="24">
        <v>0.46348418370422761</v>
      </c>
      <c r="U979" s="24" t="s">
        <v>3958</v>
      </c>
      <c r="V979">
        <v>0</v>
      </c>
      <c r="W979" s="21">
        <v>0</v>
      </c>
      <c r="X979" s="56" t="str">
        <f>IFERROR(VLOOKUP(A979,Output!A:F,6,0),"-")</f>
        <v>-</v>
      </c>
    </row>
    <row r="980" spans="1:24" x14ac:dyDescent="0.25">
      <c r="A980" s="21" t="s">
        <v>1413</v>
      </c>
      <c r="B980" s="40" t="s">
        <v>1414</v>
      </c>
      <c r="C980" s="21" t="s">
        <v>248</v>
      </c>
      <c r="D980" s="21" t="s">
        <v>75</v>
      </c>
      <c r="E980" s="21" t="s">
        <v>103</v>
      </c>
      <c r="F980" s="55">
        <v>1.5273625053416475E-4</v>
      </c>
      <c r="G980" s="24">
        <v>5.5901680000000002</v>
      </c>
      <c r="H980" s="24">
        <v>4.8514119999999998</v>
      </c>
      <c r="I980" s="24">
        <v>2.3089209999999998</v>
      </c>
      <c r="J980" s="24">
        <v>4.3841669999999997</v>
      </c>
      <c r="K980" s="24">
        <v>3.5880709999999998</v>
      </c>
      <c r="L980" s="24">
        <v>13.9078</v>
      </c>
      <c r="M980" s="24">
        <v>37.631599999999999</v>
      </c>
      <c r="N980" s="24">
        <v>6.9230757113717889</v>
      </c>
      <c r="O980" s="24">
        <v>6.4516129032258061</v>
      </c>
      <c r="P980" s="24">
        <v>5.6818181818181825</v>
      </c>
      <c r="Q980" s="24">
        <v>8.158148354555836</v>
      </c>
      <c r="R980" s="24">
        <v>6.41</v>
      </c>
      <c r="S980" s="24">
        <v>7.4984008204873893</v>
      </c>
      <c r="T980" s="24">
        <v>0.39624465814755339</v>
      </c>
      <c r="U980" s="24" t="s">
        <v>3354</v>
      </c>
      <c r="V980">
        <v>0</v>
      </c>
      <c r="W980" s="21">
        <v>1</v>
      </c>
      <c r="X980" s="56" t="str">
        <f>IFERROR(VLOOKUP(A980,Output!A:F,6,0),"-")</f>
        <v>-</v>
      </c>
    </row>
    <row r="981" spans="1:24" hidden="1" x14ac:dyDescent="0.25">
      <c r="A981" s="21" t="s">
        <v>1772</v>
      </c>
      <c r="B981" s="40" t="s">
        <v>1773</v>
      </c>
      <c r="C981" s="21" t="s">
        <v>298</v>
      </c>
      <c r="D981" s="21" t="s">
        <v>74</v>
      </c>
      <c r="E981" s="21" t="s">
        <v>87</v>
      </c>
      <c r="F981" s="55">
        <v>1.5256572129276511E-4</v>
      </c>
      <c r="G981" s="24">
        <v>4.8668570000000004</v>
      </c>
      <c r="H981" s="24">
        <v>5.894272</v>
      </c>
      <c r="I981" s="24">
        <v>6.1941350000000002</v>
      </c>
      <c r="J981" s="24">
        <v>5.5732650000000001</v>
      </c>
      <c r="K981" s="24">
        <v>1.344222</v>
      </c>
      <c r="L981" s="24">
        <v>3.8947889999999998</v>
      </c>
      <c r="M981" s="24">
        <v>12.3367</v>
      </c>
      <c r="N981" s="24">
        <v>8.9277204130262113</v>
      </c>
      <c r="O981" s="24">
        <v>7.1134020618556697</v>
      </c>
      <c r="P981" s="24">
        <v>6.9836065573770476</v>
      </c>
      <c r="Q981" s="24">
        <v>1.6011892063859441</v>
      </c>
      <c r="R981" s="24">
        <v>2.98</v>
      </c>
      <c r="S981" s="24">
        <v>4.6602437794509033</v>
      </c>
      <c r="T981" s="24">
        <v>0.69359543074263541</v>
      </c>
      <c r="U981" s="24" t="s">
        <v>3500</v>
      </c>
      <c r="V981">
        <v>0</v>
      </c>
      <c r="W981" s="21">
        <v>0</v>
      </c>
      <c r="X981" s="56" t="str">
        <f>IFERROR(VLOOKUP(A981,Output!A:F,6,0),"-")</f>
        <v>-</v>
      </c>
    </row>
    <row r="982" spans="1:24" hidden="1" x14ac:dyDescent="0.25">
      <c r="A982" s="21" t="s">
        <v>2230</v>
      </c>
      <c r="B982" s="40" t="s">
        <v>2231</v>
      </c>
      <c r="C982" s="21" t="s">
        <v>247</v>
      </c>
      <c r="D982" s="21" t="s">
        <v>74</v>
      </c>
      <c r="E982" s="21" t="s">
        <v>86</v>
      </c>
      <c r="F982" s="55">
        <v>1.5190312212824713E-4</v>
      </c>
      <c r="G982" s="24">
        <v>4.63469</v>
      </c>
      <c r="H982" s="24">
        <v>5.7631410000000001</v>
      </c>
      <c r="I982" s="24">
        <v>2.7447900000000001</v>
      </c>
      <c r="J982" s="24">
        <v>4.3808740000000004</v>
      </c>
      <c r="K982" s="24">
        <v>1.338516</v>
      </c>
      <c r="L982" s="24">
        <v>3.7828270000000002</v>
      </c>
      <c r="M982" s="24">
        <v>350.1336</v>
      </c>
      <c r="N982" s="24">
        <v>8.3478951548848297</v>
      </c>
      <c r="O982" s="24">
        <v>9.4845360824742269</v>
      </c>
      <c r="P982" s="24">
        <v>6.360655737704918</v>
      </c>
      <c r="Q982" s="24">
        <v>2.0095251005575383</v>
      </c>
      <c r="R982" s="24">
        <v>2.31</v>
      </c>
      <c r="S982" s="24">
        <v>3.8105337240335073</v>
      </c>
      <c r="T982" s="24">
        <v>0.77032022011627255</v>
      </c>
      <c r="U982" s="24" t="s">
        <v>3758</v>
      </c>
      <c r="V982">
        <v>0</v>
      </c>
      <c r="W982" s="21">
        <v>1</v>
      </c>
      <c r="X982" s="56" t="str">
        <f>IFERROR(VLOOKUP(A982,Output!A:F,6,0),"-")</f>
        <v>-</v>
      </c>
    </row>
    <row r="983" spans="1:24" hidden="1" x14ac:dyDescent="0.25">
      <c r="A983" s="21" t="s">
        <v>1670</v>
      </c>
      <c r="B983" s="40" t="s">
        <v>1671</v>
      </c>
      <c r="C983" s="21" t="s">
        <v>257</v>
      </c>
      <c r="D983" s="21" t="s">
        <v>74</v>
      </c>
      <c r="E983" s="21" t="s">
        <v>87</v>
      </c>
      <c r="F983" s="55">
        <v>1.5126446748258053E-4</v>
      </c>
      <c r="G983" s="24">
        <v>4.1543780000000003</v>
      </c>
      <c r="H983" s="24">
        <v>7.5455930000000002</v>
      </c>
      <c r="I983" s="24">
        <v>5.6694659999999999</v>
      </c>
      <c r="J983" s="24">
        <v>5.7898129999999997</v>
      </c>
      <c r="K983" s="24">
        <v>0.67594200000000004</v>
      </c>
      <c r="L983" s="24">
        <v>1.490245</v>
      </c>
      <c r="M983" s="24">
        <v>338.30090000000001</v>
      </c>
      <c r="N983" s="24">
        <v>6.799046862589357</v>
      </c>
      <c r="O983" s="24">
        <v>4.9484536082474229</v>
      </c>
      <c r="P983" s="24">
        <v>2.3606557377049184</v>
      </c>
      <c r="Q983" s="24">
        <v>3.2765302492139425</v>
      </c>
      <c r="R983" s="24">
        <v>2.3199999999999998</v>
      </c>
      <c r="S983" s="24">
        <v>3.1075401208530682</v>
      </c>
      <c r="T983" s="24">
        <v>0.37522611887264606</v>
      </c>
      <c r="U983" s="24" t="s">
        <v>3509</v>
      </c>
      <c r="V983">
        <v>0</v>
      </c>
      <c r="W983" s="21">
        <v>0</v>
      </c>
      <c r="X983" s="56" t="str">
        <f>IFERROR(VLOOKUP(A983,Output!A:F,6,0),"-")</f>
        <v>-</v>
      </c>
    </row>
    <row r="984" spans="1:24" hidden="1" x14ac:dyDescent="0.25">
      <c r="A984" s="21" t="s">
        <v>1978</v>
      </c>
      <c r="B984" s="40" t="s">
        <v>1979</v>
      </c>
      <c r="C984" s="21" t="s">
        <v>249</v>
      </c>
      <c r="D984" s="21" t="s">
        <v>74</v>
      </c>
      <c r="E984" s="21" t="s">
        <v>103</v>
      </c>
      <c r="F984" s="55">
        <v>1.510685852212206E-4</v>
      </c>
      <c r="G984" s="24">
        <v>5.047866</v>
      </c>
      <c r="H984" s="24">
        <v>5.6538209999999998</v>
      </c>
      <c r="I984" s="24">
        <v>2.4289160000000001</v>
      </c>
      <c r="J984" s="24">
        <v>4.4439669999999998</v>
      </c>
      <c r="K984" s="24">
        <v>5.1139599999999996</v>
      </c>
      <c r="L984" s="24">
        <v>34.666049999999998</v>
      </c>
      <c r="M984" s="24">
        <v>21.797799999999999</v>
      </c>
      <c r="N984" s="24">
        <v>6.4011792293435423</v>
      </c>
      <c r="O984" s="24">
        <v>2.6262626262626263</v>
      </c>
      <c r="P984" s="24">
        <v>1.2462908011869436</v>
      </c>
      <c r="Q984" s="24">
        <v>9.085941986932891</v>
      </c>
      <c r="R984" s="24">
        <v>6.82</v>
      </c>
      <c r="S984" s="24">
        <v>5.8542912429544103</v>
      </c>
      <c r="T984" s="24">
        <v>0.91860404165254161</v>
      </c>
      <c r="U984" s="24" t="s">
        <v>3623</v>
      </c>
      <c r="V984">
        <v>0</v>
      </c>
      <c r="W984" s="21">
        <v>1</v>
      </c>
      <c r="X984" s="56" t="str">
        <f>IFERROR(VLOOKUP(A984,Output!A:F,6,0),"-")</f>
        <v>-</v>
      </c>
    </row>
    <row r="985" spans="1:24" hidden="1" x14ac:dyDescent="0.25">
      <c r="A985" s="21" t="s">
        <v>2395</v>
      </c>
      <c r="B985" s="40" t="s">
        <v>2396</v>
      </c>
      <c r="C985" s="21" t="s">
        <v>257</v>
      </c>
      <c r="D985" s="21" t="s">
        <v>74</v>
      </c>
      <c r="E985" s="21" t="s">
        <v>91</v>
      </c>
      <c r="F985" s="55">
        <v>1.5003001686784688E-4</v>
      </c>
      <c r="G985" s="24">
        <v>4.2442909999999996</v>
      </c>
      <c r="H985" s="24">
        <v>4.9538960000000003</v>
      </c>
      <c r="I985" s="24">
        <v>4.4256149999999996</v>
      </c>
      <c r="J985" s="24">
        <v>4.6006629999999999</v>
      </c>
      <c r="K985" s="24">
        <v>0.27016960000000001</v>
      </c>
      <c r="L985" s="24">
        <v>1.573078</v>
      </c>
      <c r="M985" s="24">
        <v>18.654499999999999</v>
      </c>
      <c r="N985" s="24">
        <v>5.9476668941979529</v>
      </c>
      <c r="O985" s="24">
        <v>4.536082474226804</v>
      </c>
      <c r="P985" s="24">
        <v>3.8746438746438754</v>
      </c>
      <c r="Q985" s="24">
        <v>0.18618992558332598</v>
      </c>
      <c r="R985" s="24">
        <v>2.39</v>
      </c>
      <c r="S985" s="24">
        <v>2.1694521675261682</v>
      </c>
      <c r="T985" s="24">
        <v>0.76259255167323081</v>
      </c>
      <c r="U985" s="24" t="s">
        <v>3853</v>
      </c>
      <c r="V985">
        <v>0</v>
      </c>
      <c r="W985" s="21">
        <v>1</v>
      </c>
      <c r="X985" s="56" t="str">
        <f>IFERROR(VLOOKUP(A985,Output!A:F,6,0),"-")</f>
        <v>-</v>
      </c>
    </row>
    <row r="986" spans="1:24" x14ac:dyDescent="0.25">
      <c r="A986" s="21" t="s">
        <v>1282</v>
      </c>
      <c r="B986" s="40" t="s">
        <v>1283</v>
      </c>
      <c r="C986" s="21" t="s">
        <v>248</v>
      </c>
      <c r="D986" s="21" t="s">
        <v>75</v>
      </c>
      <c r="E986" s="21" t="s">
        <v>86</v>
      </c>
      <c r="F986" s="55">
        <v>1.4989117890139761E-4</v>
      </c>
      <c r="G986" s="24">
        <v>3.8502399999999999</v>
      </c>
      <c r="H986" s="24">
        <v>4.9613670000000001</v>
      </c>
      <c r="I986" s="24">
        <v>2.7153900000000002</v>
      </c>
      <c r="J986" s="24">
        <v>3.842333</v>
      </c>
      <c r="K986" s="24">
        <v>4.0088200000000001</v>
      </c>
      <c r="L986" s="24">
        <v>16.553059999999999</v>
      </c>
      <c r="M986" s="24">
        <v>2138.1689999999999</v>
      </c>
      <c r="N986" s="24">
        <v>9.7942777242044343</v>
      </c>
      <c r="O986" s="24">
        <v>7.8666666666666671</v>
      </c>
      <c r="P986" s="24">
        <v>4.1951219512195133</v>
      </c>
      <c r="Q986" s="24">
        <v>10</v>
      </c>
      <c r="R986" s="24">
        <v>7.17</v>
      </c>
      <c r="S986" s="24">
        <v>7.8898507557181894</v>
      </c>
      <c r="T986" s="24">
        <v>0.45706502657447551</v>
      </c>
      <c r="U986" s="24" t="s">
        <v>3244</v>
      </c>
      <c r="V986">
        <v>0</v>
      </c>
      <c r="W986" s="21">
        <v>1</v>
      </c>
      <c r="X986" s="56" t="str">
        <f>IFERROR(VLOOKUP(A986,Output!A:F,6,0),"-")</f>
        <v>-</v>
      </c>
    </row>
    <row r="987" spans="1:24" x14ac:dyDescent="0.25">
      <c r="A987" s="21" t="s">
        <v>1924</v>
      </c>
      <c r="B987" s="40" t="s">
        <v>1925</v>
      </c>
      <c r="C987" s="21" t="s">
        <v>248</v>
      </c>
      <c r="D987" s="21" t="s">
        <v>75</v>
      </c>
      <c r="E987" s="21" t="s">
        <v>103</v>
      </c>
      <c r="F987" s="55">
        <v>1.4967084908507595E-4</v>
      </c>
      <c r="G987" s="21">
        <v>5.5</v>
      </c>
      <c r="H987" s="21">
        <v>3.361853</v>
      </c>
      <c r="I987" s="21">
        <v>3.911807</v>
      </c>
      <c r="J987" s="21">
        <v>4.2578870000000002</v>
      </c>
      <c r="K987" s="24">
        <v>1.255773</v>
      </c>
      <c r="L987" s="24">
        <v>2.9399510000000002</v>
      </c>
      <c r="M987" s="24">
        <v>11.432600000000001</v>
      </c>
      <c r="N987" s="24">
        <v>3.3420852371795866</v>
      </c>
      <c r="O987" s="24">
        <v>1.075268817204301</v>
      </c>
      <c r="P987" s="24">
        <v>5.9090909090909092</v>
      </c>
      <c r="Q987" s="24">
        <v>2.1587816965503519</v>
      </c>
      <c r="R987" s="24">
        <v>4.09</v>
      </c>
      <c r="S987" s="24">
        <v>3.8385838061866173</v>
      </c>
      <c r="T987" s="24">
        <v>0.43335618341516968</v>
      </c>
      <c r="U987" s="24" t="s">
        <v>3561</v>
      </c>
      <c r="V987">
        <v>0</v>
      </c>
      <c r="W987" s="21">
        <v>1</v>
      </c>
      <c r="X987" s="56" t="str">
        <f>IFERROR(VLOOKUP(A987,Output!A:F,6,0),"-")</f>
        <v>-</v>
      </c>
    </row>
    <row r="988" spans="1:24" hidden="1" x14ac:dyDescent="0.25">
      <c r="A988" s="21" t="s">
        <v>1742</v>
      </c>
      <c r="B988" s="40" t="s">
        <v>1743</v>
      </c>
      <c r="C988" s="21" t="s">
        <v>247</v>
      </c>
      <c r="D988" s="21" t="s">
        <v>74</v>
      </c>
      <c r="E988" s="21" t="s">
        <v>92</v>
      </c>
      <c r="F988" s="55">
        <v>1.4877081687648532E-4</v>
      </c>
      <c r="G988" s="24">
        <v>4.9068610000000001</v>
      </c>
      <c r="H988" s="24">
        <v>5.2443999999999997</v>
      </c>
      <c r="I988" s="24">
        <v>3.8579270000000001</v>
      </c>
      <c r="J988" s="24">
        <v>4.6934430000000003</v>
      </c>
      <c r="K988" s="24">
        <v>2.8945669999999999</v>
      </c>
      <c r="L988" s="24">
        <v>5.581779</v>
      </c>
      <c r="M988" s="24">
        <v>54.8583</v>
      </c>
      <c r="N988" s="24">
        <v>2.5925940740740745</v>
      </c>
      <c r="O988" s="24">
        <v>6.6326530612244898</v>
      </c>
      <c r="P988" s="24">
        <v>6.6301369863013697</v>
      </c>
      <c r="Q988" s="24">
        <v>4.076713622657766</v>
      </c>
      <c r="R988" s="24">
        <v>7.2</v>
      </c>
      <c r="S988" s="24">
        <v>5.461543408282445</v>
      </c>
      <c r="T988" s="24">
        <v>0.35946310461524317</v>
      </c>
      <c r="U988" s="24" t="s">
        <v>3516</v>
      </c>
      <c r="V988">
        <v>0</v>
      </c>
      <c r="W988" s="21">
        <v>0</v>
      </c>
      <c r="X988" s="56" t="str">
        <f>IFERROR(VLOOKUP(A988,Output!A:F,6,0),"-")</f>
        <v>-</v>
      </c>
    </row>
    <row r="989" spans="1:24" hidden="1" x14ac:dyDescent="0.25">
      <c r="A989" s="21" t="s">
        <v>1642</v>
      </c>
      <c r="B989" s="40" t="s">
        <v>1643</v>
      </c>
      <c r="C989" s="21" t="s">
        <v>249</v>
      </c>
      <c r="D989" s="21" t="s">
        <v>74</v>
      </c>
      <c r="E989" s="21" t="s">
        <v>97</v>
      </c>
      <c r="F989" s="55">
        <v>1.4851980185743395E-4</v>
      </c>
      <c r="G989" s="24">
        <v>8.0732250000000008</v>
      </c>
      <c r="H989" s="24">
        <v>5.341488</v>
      </c>
      <c r="I989" s="24">
        <v>5.8838980000000003</v>
      </c>
      <c r="J989" s="24">
        <v>6.6511469999999999</v>
      </c>
      <c r="K989" s="24">
        <v>5.1106550000000004</v>
      </c>
      <c r="L989" s="24">
        <v>14.381180000000001</v>
      </c>
      <c r="M989" s="24">
        <v>71.312799999999996</v>
      </c>
      <c r="N989" s="24">
        <v>9.992900089739118</v>
      </c>
      <c r="O989" s="24">
        <v>10</v>
      </c>
      <c r="P989" s="24">
        <v>2.8048780487804876</v>
      </c>
      <c r="Q989" s="24">
        <v>9.9613347682305466</v>
      </c>
      <c r="R989" s="24">
        <v>6.09</v>
      </c>
      <c r="S989" s="24">
        <v>6.9189490742790127</v>
      </c>
      <c r="T989" s="24">
        <v>0.64677036754463257</v>
      </c>
      <c r="U989" s="24" t="s">
        <v>4208</v>
      </c>
      <c r="V989">
        <v>0</v>
      </c>
      <c r="W989" s="21">
        <v>0</v>
      </c>
      <c r="X989" s="56" t="str">
        <f>IFERROR(VLOOKUP(A989,Output!A:F,6,0),"-")</f>
        <v>-</v>
      </c>
    </row>
    <row r="990" spans="1:24" hidden="1" x14ac:dyDescent="0.25">
      <c r="A990" s="21" t="s">
        <v>419</v>
      </c>
      <c r="B990" s="40" t="s">
        <v>694</v>
      </c>
      <c r="C990" s="21" t="s">
        <v>244</v>
      </c>
      <c r="D990" s="21" t="s">
        <v>73</v>
      </c>
      <c r="E990" s="21" t="s">
        <v>93</v>
      </c>
      <c r="F990" s="55">
        <v>1.4711502321574477E-4</v>
      </c>
      <c r="G990" s="24">
        <v>2.8809239999999998</v>
      </c>
      <c r="H990" s="24">
        <v>5.2802259999999999</v>
      </c>
      <c r="I990" s="24">
        <v>6.1391749999999998</v>
      </c>
      <c r="J990" s="24">
        <v>4.8610670000000002</v>
      </c>
      <c r="K990" s="24">
        <v>1.5557460000000001</v>
      </c>
      <c r="L990" s="24">
        <v>9.4646290000000004</v>
      </c>
      <c r="M990" s="24">
        <v>1.8756999999999999</v>
      </c>
      <c r="N990" s="24">
        <v>5.9244791666666661</v>
      </c>
      <c r="O990" s="24">
        <v>8.7628865979381434</v>
      </c>
      <c r="P990" s="24">
        <v>5.2849740932642497</v>
      </c>
      <c r="Q990" s="24">
        <v>6.327067145694687</v>
      </c>
      <c r="R990" s="24">
        <v>6.93</v>
      </c>
      <c r="S990" s="24">
        <v>6.0843912018903339</v>
      </c>
      <c r="T990" s="24">
        <v>0.60778484789923448</v>
      </c>
      <c r="U990" s="24" t="s">
        <v>2917</v>
      </c>
      <c r="V990">
        <v>0</v>
      </c>
      <c r="W990" s="21">
        <v>0</v>
      </c>
      <c r="X990" s="56" t="str">
        <f>IFERROR(VLOOKUP(A990,Output!A:F,6,0),"-")</f>
        <v>-</v>
      </c>
    </row>
    <row r="991" spans="1:24" x14ac:dyDescent="0.25">
      <c r="A991" s="21" t="s">
        <v>2029</v>
      </c>
      <c r="B991" s="40" t="s">
        <v>2030</v>
      </c>
      <c r="C991" s="21" t="s">
        <v>253</v>
      </c>
      <c r="D991" s="21" t="s">
        <v>75</v>
      </c>
      <c r="E991" s="21" t="s">
        <v>102</v>
      </c>
      <c r="F991" s="55">
        <v>1.4618692159219809E-4</v>
      </c>
      <c r="G991" s="24">
        <v>4.9613399999999999</v>
      </c>
      <c r="H991" s="24">
        <v>5.50915</v>
      </c>
      <c r="I991" s="24">
        <v>4.9485390000000002</v>
      </c>
      <c r="J991" s="24">
        <v>5.0683420000000003</v>
      </c>
      <c r="K991" s="24">
        <v>5.9357030000000002</v>
      </c>
      <c r="L991" s="24">
        <v>5.9093900000000001</v>
      </c>
      <c r="M991" s="24">
        <v>248.83959999999999</v>
      </c>
      <c r="N991" s="24">
        <v>3.0249982562495652</v>
      </c>
      <c r="O991" s="24">
        <v>2.5000000000000009</v>
      </c>
      <c r="P991" s="24">
        <v>4.7560975609756104</v>
      </c>
      <c r="Q991" s="24">
        <v>0.98602034907767411</v>
      </c>
      <c r="R991" s="24">
        <v>6.87</v>
      </c>
      <c r="S991" s="24">
        <v>3.9399781984968718</v>
      </c>
      <c r="T991" s="24">
        <v>0.57532011872717559</v>
      </c>
      <c r="U991" s="24" t="s">
        <v>3680</v>
      </c>
      <c r="V991">
        <v>0</v>
      </c>
      <c r="W991" s="21">
        <v>0</v>
      </c>
      <c r="X991" s="56" t="str">
        <f>IFERROR(VLOOKUP(A991,Output!A:F,6,0),"-")</f>
        <v>-</v>
      </c>
    </row>
    <row r="992" spans="1:24" hidden="1" x14ac:dyDescent="0.25">
      <c r="A992" s="21" t="s">
        <v>1042</v>
      </c>
      <c r="B992" s="40" t="s">
        <v>1043</v>
      </c>
      <c r="C992" s="21" t="s">
        <v>244</v>
      </c>
      <c r="D992" s="21" t="s">
        <v>73</v>
      </c>
      <c r="E992" s="21" t="s">
        <v>94</v>
      </c>
      <c r="F992" s="55">
        <v>1.4596538448921164E-4</v>
      </c>
      <c r="G992" s="24">
        <v>5.7251719999999997</v>
      </c>
      <c r="H992" s="24">
        <v>5.9698729999999998</v>
      </c>
      <c r="I992" s="24">
        <v>4.9752510000000001</v>
      </c>
      <c r="J992" s="24">
        <v>5.5230839999999999</v>
      </c>
      <c r="K992" s="24">
        <v>1.6952910000000001</v>
      </c>
      <c r="L992" s="24">
        <v>9.5762409999999996</v>
      </c>
      <c r="M992" s="24">
        <v>5.8365</v>
      </c>
      <c r="N992" s="24">
        <v>0.38217827401660032</v>
      </c>
      <c r="O992" s="24">
        <v>4.387755102040817</v>
      </c>
      <c r="P992" s="24">
        <v>4.6294513748968296</v>
      </c>
      <c r="Q992" s="24">
        <v>8.7905433007901355</v>
      </c>
      <c r="R992" s="24">
        <v>5.87</v>
      </c>
      <c r="S992" s="24">
        <v>5.988572970136361</v>
      </c>
      <c r="T992" s="24">
        <v>0.66714327070459389</v>
      </c>
      <c r="U992" s="24" t="s">
        <v>3147</v>
      </c>
      <c r="V992">
        <v>0</v>
      </c>
      <c r="W992" s="21">
        <v>0</v>
      </c>
      <c r="X992" s="56" t="str">
        <f>IFERROR(VLOOKUP(A992,Output!A:F,6,0),"-")</f>
        <v>-</v>
      </c>
    </row>
    <row r="993" spans="1:24" hidden="1" x14ac:dyDescent="0.25">
      <c r="A993" s="21" t="s">
        <v>507</v>
      </c>
      <c r="B993" s="40" t="s">
        <v>1012</v>
      </c>
      <c r="C993" s="21" t="s">
        <v>245</v>
      </c>
      <c r="D993" s="21" t="s">
        <v>73</v>
      </c>
      <c r="E993" s="21" t="s">
        <v>102</v>
      </c>
      <c r="F993" s="55">
        <v>1.4526978615585646E-4</v>
      </c>
      <c r="G993" s="21">
        <v>2.6229580000000001</v>
      </c>
      <c r="H993" s="21">
        <v>3.6223109999999998</v>
      </c>
      <c r="I993" s="21">
        <v>5.8725870000000002</v>
      </c>
      <c r="J993" s="21">
        <v>3.4727549999999998</v>
      </c>
      <c r="K993" s="24">
        <v>3.2048290000000001</v>
      </c>
      <c r="L993" s="24">
        <v>4.7688139999999999</v>
      </c>
      <c r="M993" s="24">
        <v>4497.018</v>
      </c>
      <c r="N993" s="24">
        <v>4.0921053587257523</v>
      </c>
      <c r="O993" s="24">
        <v>8.0412371134020617</v>
      </c>
      <c r="P993" s="24">
        <v>5.3571428571428568</v>
      </c>
      <c r="Q993" s="24">
        <v>1.3558198622822846</v>
      </c>
      <c r="R993" s="24">
        <v>3.89</v>
      </c>
      <c r="S993" s="24">
        <v>4.0263487718010342</v>
      </c>
      <c r="T993" s="24">
        <v>0.49993082018914609</v>
      </c>
      <c r="U993" s="24" t="s">
        <v>3139</v>
      </c>
      <c r="V993">
        <v>0</v>
      </c>
      <c r="W993" s="21">
        <v>1</v>
      </c>
      <c r="X993" s="56" t="str">
        <f>IFERROR(VLOOKUP(A993,Output!A:F,6,0),"-")</f>
        <v>-</v>
      </c>
    </row>
    <row r="994" spans="1:24" hidden="1" x14ac:dyDescent="0.25">
      <c r="A994" s="21" t="s">
        <v>644</v>
      </c>
      <c r="B994" s="40" t="s">
        <v>903</v>
      </c>
      <c r="C994" s="21" t="s">
        <v>244</v>
      </c>
      <c r="D994" s="21" t="s">
        <v>73</v>
      </c>
      <c r="E994" s="21" t="s">
        <v>91</v>
      </c>
      <c r="F994" s="55">
        <v>1.4515046599048774E-4</v>
      </c>
      <c r="G994" s="21">
        <v>5.7727550000000001</v>
      </c>
      <c r="H994" s="21">
        <v>6.7633020000000004</v>
      </c>
      <c r="I994" s="21">
        <v>7.5660319999999999</v>
      </c>
      <c r="J994" s="21">
        <v>6.886285</v>
      </c>
      <c r="K994" s="21">
        <v>0</v>
      </c>
      <c r="L994" s="21">
        <v>1.232831</v>
      </c>
      <c r="M994" s="21">
        <v>91.747200000000007</v>
      </c>
      <c r="N994" s="21">
        <v>0.82204401175255892</v>
      </c>
      <c r="O994" s="21">
        <v>1.8181818181818183</v>
      </c>
      <c r="P994" s="21">
        <v>0.61330565233552736</v>
      </c>
      <c r="Q994" s="21">
        <v>4.3998502864710778</v>
      </c>
      <c r="R994" s="21" t="e">
        <v>#N/A</v>
      </c>
      <c r="S994" s="21">
        <v>1.5468267715488515</v>
      </c>
      <c r="T994" s="21">
        <v>1.0050383513447405</v>
      </c>
      <c r="U994" s="21" t="s">
        <v>2944</v>
      </c>
      <c r="V994">
        <v>0</v>
      </c>
      <c r="W994" s="21">
        <v>0</v>
      </c>
      <c r="X994" s="56" t="str">
        <f>IFERROR(VLOOKUP(A994,Output!A:F,6,0),"-")</f>
        <v>-</v>
      </c>
    </row>
    <row r="995" spans="1:24" hidden="1" x14ac:dyDescent="0.25">
      <c r="A995" s="21" t="s">
        <v>1278</v>
      </c>
      <c r="B995" s="40" t="s">
        <v>1279</v>
      </c>
      <c r="C995" s="21" t="s">
        <v>245</v>
      </c>
      <c r="D995" s="21" t="s">
        <v>73</v>
      </c>
      <c r="E995" s="21" t="s">
        <v>93</v>
      </c>
      <c r="F995" s="55">
        <v>1.4499271386629031E-4</v>
      </c>
      <c r="G995" s="21">
        <v>5.3192149999999998</v>
      </c>
      <c r="H995" s="21">
        <v>2.684564</v>
      </c>
      <c r="I995" s="21">
        <v>5.0515420000000004</v>
      </c>
      <c r="J995" s="21">
        <v>4.3034020000000002</v>
      </c>
      <c r="K995" s="24">
        <v>5.1317620000000002</v>
      </c>
      <c r="L995" s="24">
        <v>9.4878060000000009</v>
      </c>
      <c r="M995" s="24">
        <v>0.48948000000000003</v>
      </c>
      <c r="N995" s="24">
        <v>4.5073789062500005</v>
      </c>
      <c r="O995" s="24">
        <v>3.0927835051546388</v>
      </c>
      <c r="P995" s="24">
        <v>3.00518134715026</v>
      </c>
      <c r="Q995" s="24">
        <v>4.6046773305005217</v>
      </c>
      <c r="R995" s="24">
        <v>7.5</v>
      </c>
      <c r="S995" s="24">
        <v>5.1557294227754564</v>
      </c>
      <c r="T995" s="24">
        <v>0.5482148761743717</v>
      </c>
      <c r="U995" s="24" t="s">
        <v>3309</v>
      </c>
      <c r="V995">
        <v>0</v>
      </c>
      <c r="W995" s="21">
        <v>1</v>
      </c>
      <c r="X995" s="56" t="str">
        <f>IFERROR(VLOOKUP(A995,Output!A:F,6,0),"-")</f>
        <v>-</v>
      </c>
    </row>
    <row r="996" spans="1:24" hidden="1" x14ac:dyDescent="0.25">
      <c r="A996" s="21" t="s">
        <v>1792</v>
      </c>
      <c r="B996" s="40" t="s">
        <v>1793</v>
      </c>
      <c r="C996" s="21" t="s">
        <v>247</v>
      </c>
      <c r="D996" s="21" t="s">
        <v>74</v>
      </c>
      <c r="E996" s="21" t="s">
        <v>102</v>
      </c>
      <c r="F996" s="55">
        <v>1.4458092850637956E-4</v>
      </c>
      <c r="G996" s="21">
        <v>7.4729460000000003</v>
      </c>
      <c r="H996" s="21">
        <v>6.205616</v>
      </c>
      <c r="I996" s="21">
        <v>5.2929079999999997</v>
      </c>
      <c r="J996" s="21">
        <v>6.7834729999999999</v>
      </c>
      <c r="K996" s="24">
        <v>4.6809799999999999</v>
      </c>
      <c r="L996" s="24">
        <v>2.5850230000000001</v>
      </c>
      <c r="M996" s="24">
        <v>248.01130000000001</v>
      </c>
      <c r="N996" s="24">
        <v>5.0035742671294203</v>
      </c>
      <c r="O996" s="24">
        <v>4.2857142857142865</v>
      </c>
      <c r="P996" s="24">
        <v>3.0182926829268295</v>
      </c>
      <c r="Q996" s="24">
        <v>0.34035237522533801</v>
      </c>
      <c r="R996" s="24">
        <v>6.58</v>
      </c>
      <c r="S996" s="24">
        <v>3.0469892898144435</v>
      </c>
      <c r="T996" s="24">
        <v>7.9686124261362998E-2</v>
      </c>
      <c r="U996" s="24" t="s">
        <v>3541</v>
      </c>
      <c r="V996">
        <v>0</v>
      </c>
      <c r="W996" s="21">
        <v>0</v>
      </c>
      <c r="X996" s="56" t="str">
        <f>IFERROR(VLOOKUP(A996,Output!A:F,6,0),"-")</f>
        <v>-</v>
      </c>
    </row>
    <row r="997" spans="1:24" x14ac:dyDescent="0.25">
      <c r="A997" s="21" t="s">
        <v>1984</v>
      </c>
      <c r="B997" s="40" t="s">
        <v>1985</v>
      </c>
      <c r="C997" s="21" t="s">
        <v>248</v>
      </c>
      <c r="D997" s="21" t="s">
        <v>75</v>
      </c>
      <c r="E997" s="21" t="s">
        <v>103</v>
      </c>
      <c r="F997" s="55">
        <v>1.4414117433873486E-4</v>
      </c>
      <c r="G997" s="24">
        <v>3.9341979999999999</v>
      </c>
      <c r="H997" s="24">
        <v>4.7730300000000003</v>
      </c>
      <c r="I997" s="24">
        <v>5.1847519999999996</v>
      </c>
      <c r="J997" s="24">
        <v>4.5610140000000001</v>
      </c>
      <c r="K997" s="24">
        <v>2.811124</v>
      </c>
      <c r="L997" s="24">
        <v>18.686779999999999</v>
      </c>
      <c r="M997" s="24">
        <v>49.6372</v>
      </c>
      <c r="N997" s="24">
        <v>9.2228920568596493</v>
      </c>
      <c r="O997" s="24">
        <v>3.9784946236559131</v>
      </c>
      <c r="P997" s="24">
        <v>0.56818181818181823</v>
      </c>
      <c r="Q997" s="24">
        <v>8.6255440270389681</v>
      </c>
      <c r="R997" s="24">
        <v>5.44</v>
      </c>
      <c r="S997" s="24">
        <v>5.9265447420765947</v>
      </c>
      <c r="T997" s="24">
        <v>0.56826785531478174</v>
      </c>
      <c r="U997" s="24" t="s">
        <v>3626</v>
      </c>
      <c r="V997">
        <v>0</v>
      </c>
      <c r="W997" s="21">
        <v>1</v>
      </c>
      <c r="X997" s="56" t="str">
        <f>IFERROR(VLOOKUP(A997,Output!A:F,6,0),"-")</f>
        <v>-</v>
      </c>
    </row>
    <row r="998" spans="1:24" hidden="1" x14ac:dyDescent="0.25">
      <c r="A998" s="21" t="s">
        <v>590</v>
      </c>
      <c r="B998" s="40" t="s">
        <v>879</v>
      </c>
      <c r="C998" s="21" t="s">
        <v>244</v>
      </c>
      <c r="D998" s="21" t="s">
        <v>73</v>
      </c>
      <c r="E998" s="21" t="s">
        <v>97</v>
      </c>
      <c r="F998" s="55">
        <v>1.4400646126839023E-4</v>
      </c>
      <c r="G998" s="24">
        <v>4.3856809999999999</v>
      </c>
      <c r="H998" s="24">
        <v>3.0732200000000001</v>
      </c>
      <c r="I998" s="24">
        <v>4.3445879999999999</v>
      </c>
      <c r="J998" s="24">
        <v>4.106751</v>
      </c>
      <c r="K998" s="24">
        <v>4.2896780000000003</v>
      </c>
      <c r="L998" s="24">
        <v>1.759979</v>
      </c>
      <c r="M998" s="24">
        <v>103.5264</v>
      </c>
      <c r="N998" s="24">
        <v>5.3107796516865253</v>
      </c>
      <c r="O998" s="24">
        <v>3.1958762886597936</v>
      </c>
      <c r="P998" s="24">
        <v>3.7727272727272738</v>
      </c>
      <c r="Q998" s="24">
        <v>1.3892400618064338</v>
      </c>
      <c r="R998" s="24">
        <v>8.17</v>
      </c>
      <c r="S998" s="24">
        <v>4.2146362483232709</v>
      </c>
      <c r="T998" s="24">
        <v>0.85174077276934212</v>
      </c>
      <c r="U998" s="24" t="s">
        <v>3010</v>
      </c>
      <c r="V998">
        <v>0</v>
      </c>
      <c r="W998" s="21">
        <v>1</v>
      </c>
      <c r="X998" s="56" t="str">
        <f>IFERROR(VLOOKUP(A998,Output!A:F,6,0),"-")</f>
        <v>-</v>
      </c>
    </row>
    <row r="999" spans="1:24" hidden="1" x14ac:dyDescent="0.25">
      <c r="A999" s="21" t="s">
        <v>1628</v>
      </c>
      <c r="B999" s="40" t="s">
        <v>1629</v>
      </c>
      <c r="C999" s="21" t="s">
        <v>247</v>
      </c>
      <c r="D999" s="21" t="s">
        <v>74</v>
      </c>
      <c r="E999" s="21" t="s">
        <v>94</v>
      </c>
      <c r="F999" s="55">
        <v>1.434869255736482E-4</v>
      </c>
      <c r="G999" s="24">
        <v>7.0947329999999997</v>
      </c>
      <c r="H999" s="24">
        <v>6.0366400000000002</v>
      </c>
      <c r="I999" s="24">
        <v>6.4302330000000003</v>
      </c>
      <c r="J999" s="24">
        <v>6.4056949999999997</v>
      </c>
      <c r="K999" s="24">
        <v>2.3439390000000002</v>
      </c>
      <c r="L999" s="24">
        <v>6.6041499999999997</v>
      </c>
      <c r="M999" s="24">
        <v>7.7739000000000003</v>
      </c>
      <c r="N999" s="24">
        <v>3.9596095869511458</v>
      </c>
      <c r="O999" s="24">
        <v>3.7373737373737375</v>
      </c>
      <c r="P999" s="24">
        <v>4.1543026706231458</v>
      </c>
      <c r="Q999" s="24">
        <v>5.2376083770057482</v>
      </c>
      <c r="R999" s="24">
        <v>4.42</v>
      </c>
      <c r="S999" s="24">
        <v>5.0867885047547299</v>
      </c>
      <c r="T999" s="24">
        <v>0.37448940806520048</v>
      </c>
      <c r="U999" s="24" t="s">
        <v>3480</v>
      </c>
      <c r="V999">
        <v>0</v>
      </c>
      <c r="W999" s="21">
        <v>0</v>
      </c>
      <c r="X999" s="56" t="str">
        <f>IFERROR(VLOOKUP(A999,Output!A:F,6,0),"-")</f>
        <v>-</v>
      </c>
    </row>
    <row r="1000" spans="1:24" hidden="1" x14ac:dyDescent="0.25">
      <c r="A1000" s="21" t="s">
        <v>2210</v>
      </c>
      <c r="B1000" s="40" t="s">
        <v>2211</v>
      </c>
      <c r="C1000" s="21" t="s">
        <v>258</v>
      </c>
      <c r="D1000" s="21" t="s">
        <v>74</v>
      </c>
      <c r="E1000" s="21" t="s">
        <v>95</v>
      </c>
      <c r="F1000" s="55">
        <v>1.4328943359673523E-4</v>
      </c>
      <c r="G1000" s="24">
        <v>5.9618450000000003</v>
      </c>
      <c r="H1000" s="24">
        <v>6.1943039999999998</v>
      </c>
      <c r="I1000" s="24">
        <v>5.6841980000000003</v>
      </c>
      <c r="J1000" s="24">
        <v>5.952807</v>
      </c>
      <c r="K1000" s="24">
        <v>6.6295299999999999</v>
      </c>
      <c r="L1000" s="24">
        <v>7.5757289999999999</v>
      </c>
      <c r="M1000" s="24">
        <v>433.24810000000002</v>
      </c>
      <c r="N1000" s="24">
        <v>5.5207690836382266</v>
      </c>
      <c r="O1000" s="24">
        <v>5.0561797752808992</v>
      </c>
      <c r="P1000" s="24">
        <v>8.9056603773584904</v>
      </c>
      <c r="Q1000" s="24">
        <v>0.99902219658574731</v>
      </c>
      <c r="R1000" s="24">
        <v>4.83</v>
      </c>
      <c r="S1000" s="24">
        <v>5.7068934338580526</v>
      </c>
      <c r="T1000" s="24">
        <v>0.15089675922439541</v>
      </c>
      <c r="U1000" s="24" t="s">
        <v>3773</v>
      </c>
      <c r="V1000">
        <v>0</v>
      </c>
      <c r="W1000" s="21">
        <v>0</v>
      </c>
      <c r="X1000" s="56" t="str">
        <f>IFERROR(VLOOKUP(A1000,Output!A:F,6,0),"-")</f>
        <v>-</v>
      </c>
    </row>
    <row r="1001" spans="1:24" hidden="1" x14ac:dyDescent="0.25">
      <c r="A1001" s="21" t="s">
        <v>4212</v>
      </c>
      <c r="B1001" s="40" t="s">
        <v>4213</v>
      </c>
      <c r="C1001" s="21" t="s">
        <v>244</v>
      </c>
      <c r="D1001" s="21" t="s">
        <v>73</v>
      </c>
      <c r="E1001" s="21" t="s">
        <v>95</v>
      </c>
      <c r="F1001" s="55">
        <v>1.4259484133560067E-4</v>
      </c>
      <c r="G1001" s="24">
        <v>4.0378449999999999</v>
      </c>
      <c r="H1001" s="24">
        <v>5.2030180000000001</v>
      </c>
      <c r="I1001" s="24">
        <v>6.1693759999999997</v>
      </c>
      <c r="J1001" s="24">
        <v>4.9103389999999996</v>
      </c>
      <c r="K1001" s="24">
        <v>3.2454320000000001</v>
      </c>
      <c r="L1001" s="24">
        <v>12.447480000000001</v>
      </c>
      <c r="M1001" s="24">
        <v>393.68740000000003</v>
      </c>
      <c r="N1001" s="24">
        <v>8.3263468068055797</v>
      </c>
      <c r="O1001" s="24">
        <v>4.2268041237113403</v>
      </c>
      <c r="P1001" s="24">
        <v>7.9933110367892981</v>
      </c>
      <c r="Q1001" s="24">
        <v>9.0057250583517838</v>
      </c>
      <c r="R1001" s="24">
        <v>7.74</v>
      </c>
      <c r="S1001" s="24">
        <v>8.2469161685543462</v>
      </c>
      <c r="T1001" s="24">
        <v>0.73944413281850396</v>
      </c>
      <c r="U1001" s="24" t="s">
        <v>4214</v>
      </c>
      <c r="V1001">
        <v>0</v>
      </c>
      <c r="W1001" s="21">
        <v>0</v>
      </c>
      <c r="X1001" s="56" t="str">
        <f>IFERROR(VLOOKUP(A1001,Output!A:F,6,0),"-")</f>
        <v>-</v>
      </c>
    </row>
    <row r="1002" spans="1:24" hidden="1" x14ac:dyDescent="0.25">
      <c r="A1002" s="21" t="s">
        <v>2178</v>
      </c>
      <c r="B1002" s="40" t="s">
        <v>2179</v>
      </c>
      <c r="C1002" s="21" t="s">
        <v>247</v>
      </c>
      <c r="D1002" s="21" t="s">
        <v>74</v>
      </c>
      <c r="E1002" s="21" t="s">
        <v>100</v>
      </c>
      <c r="F1002" s="55">
        <v>1.4253598611069283E-4</v>
      </c>
      <c r="G1002" s="21">
        <v>6.6670920000000002</v>
      </c>
      <c r="H1002" s="21">
        <v>4.7366349999999997</v>
      </c>
      <c r="I1002" s="21">
        <v>4.6824760000000003</v>
      </c>
      <c r="J1002" s="21">
        <v>5.3620679999999998</v>
      </c>
      <c r="K1002" s="24">
        <v>7.0159450000000003</v>
      </c>
      <c r="L1002" s="24">
        <v>13.27366</v>
      </c>
      <c r="M1002" s="24">
        <v>29.468800000000002</v>
      </c>
      <c r="N1002" s="24">
        <v>0</v>
      </c>
      <c r="O1002" s="24">
        <v>5.5555555555555554</v>
      </c>
      <c r="P1002" s="24">
        <v>5.7564575645756459</v>
      </c>
      <c r="Q1002" s="24">
        <v>9.4716700739339377</v>
      </c>
      <c r="R1002" s="24">
        <v>5.43</v>
      </c>
      <c r="S1002" s="24">
        <v>6.0278929059306989</v>
      </c>
      <c r="T1002" s="24">
        <v>0.14084409962639249</v>
      </c>
      <c r="U1002" s="24" t="s">
        <v>3790</v>
      </c>
      <c r="V1002">
        <v>0</v>
      </c>
      <c r="W1002" s="21">
        <v>0</v>
      </c>
      <c r="X1002" s="56" t="str">
        <f>IFERROR(VLOOKUP(A1002,Output!A:F,6,0),"-")</f>
        <v>-</v>
      </c>
    </row>
    <row r="1003" spans="1:24" hidden="1" x14ac:dyDescent="0.25">
      <c r="A1003" s="21" t="s">
        <v>4596</v>
      </c>
      <c r="B1003" s="40" t="s">
        <v>2153</v>
      </c>
      <c r="C1003" s="21" t="s">
        <v>258</v>
      </c>
      <c r="D1003" s="21" t="s">
        <v>74</v>
      </c>
      <c r="E1003" s="21" t="s">
        <v>95</v>
      </c>
      <c r="F1003" s="55">
        <v>1.4196976866491282E-4</v>
      </c>
      <c r="G1003" s="24">
        <v>5.7950429999999997</v>
      </c>
      <c r="H1003" s="24">
        <v>5.652622</v>
      </c>
      <c r="I1003" s="24">
        <v>4.9603710000000003</v>
      </c>
      <c r="J1003" s="24">
        <v>5.5161579999999999</v>
      </c>
      <c r="K1003" s="24">
        <v>3.4672499999999999</v>
      </c>
      <c r="L1003" s="24">
        <v>12.252330000000001</v>
      </c>
      <c r="M1003" s="24">
        <v>492.09050000000002</v>
      </c>
      <c r="N1003" s="24">
        <v>1.5863930411563492</v>
      </c>
      <c r="O1003" s="24">
        <v>10</v>
      </c>
      <c r="P1003" s="24">
        <v>10</v>
      </c>
      <c r="Q1003" s="24">
        <v>6.8620416341551973</v>
      </c>
      <c r="R1003" s="24">
        <v>3.56</v>
      </c>
      <c r="S1003" s="24">
        <v>5.6204951847007045</v>
      </c>
      <c r="T1003" s="24">
        <v>0.52321605242687996</v>
      </c>
      <c r="U1003" s="24" t="s">
        <v>3743</v>
      </c>
      <c r="V1003">
        <v>0</v>
      </c>
      <c r="W1003" s="21">
        <v>0</v>
      </c>
      <c r="X1003" s="56" t="str">
        <f>IFERROR(VLOOKUP(A1003,Output!A:F,6,0),"-")</f>
        <v>-</v>
      </c>
    </row>
    <row r="1004" spans="1:24" x14ac:dyDescent="0.25">
      <c r="A1004" s="21" t="s">
        <v>786</v>
      </c>
      <c r="B1004" s="40" t="s">
        <v>787</v>
      </c>
      <c r="C1004" s="21" t="s">
        <v>253</v>
      </c>
      <c r="D1004" s="21" t="s">
        <v>75</v>
      </c>
      <c r="E1004" s="21" t="s">
        <v>85</v>
      </c>
      <c r="F1004" s="55">
        <v>1.4185356732342809E-4</v>
      </c>
      <c r="G1004" s="24">
        <v>6.2232719999999997</v>
      </c>
      <c r="H1004" s="24">
        <v>6.1876769999999999</v>
      </c>
      <c r="I1004" s="24">
        <v>5.6649760000000002</v>
      </c>
      <c r="J1004" s="24">
        <v>6.0154100000000001</v>
      </c>
      <c r="K1004" s="24">
        <v>7.5319770000000004</v>
      </c>
      <c r="L1004" s="24">
        <v>10.82381</v>
      </c>
      <c r="M1004" s="24">
        <v>10.761799999999999</v>
      </c>
      <c r="N1004" s="24">
        <v>2.2153115205009026</v>
      </c>
      <c r="O1004" s="24">
        <v>2.5806451612903225</v>
      </c>
      <c r="P1004" s="24">
        <v>6.1510132596685088</v>
      </c>
      <c r="Q1004" s="24">
        <v>7.0051716031969899</v>
      </c>
      <c r="R1004" s="24">
        <v>6.66</v>
      </c>
      <c r="S1004" s="24">
        <v>5.7671167783121682</v>
      </c>
      <c r="T1004" s="24">
        <v>0.5297973225980489</v>
      </c>
      <c r="U1004" s="24" t="s">
        <v>3886</v>
      </c>
      <c r="V1004">
        <v>0</v>
      </c>
      <c r="W1004" s="21">
        <v>0</v>
      </c>
      <c r="X1004" s="56" t="str">
        <f>IFERROR(VLOOKUP(A1004,Output!A:F,6,0),"-")</f>
        <v>-</v>
      </c>
    </row>
    <row r="1005" spans="1:24" x14ac:dyDescent="0.25">
      <c r="A1005" s="21" t="s">
        <v>1315</v>
      </c>
      <c r="B1005" s="40" t="s">
        <v>1316</v>
      </c>
      <c r="C1005" s="21" t="s">
        <v>248</v>
      </c>
      <c r="D1005" s="21" t="s">
        <v>75</v>
      </c>
      <c r="E1005" s="21" t="s">
        <v>102</v>
      </c>
      <c r="F1005" s="55">
        <v>1.4184662542510564E-4</v>
      </c>
      <c r="G1005" s="24">
        <v>3.9420679999999999</v>
      </c>
      <c r="H1005" s="24">
        <v>5.0493370000000004</v>
      </c>
      <c r="I1005" s="24">
        <v>1.910299</v>
      </c>
      <c r="J1005" s="24">
        <v>3.7571680000000001</v>
      </c>
      <c r="K1005" s="24">
        <v>2.8519580000000002</v>
      </c>
      <c r="L1005" s="24">
        <v>28.337</v>
      </c>
      <c r="M1005" s="24">
        <v>132.96899999999999</v>
      </c>
      <c r="N1005" s="24">
        <v>4.6041661510415368</v>
      </c>
      <c r="O1005" s="24">
        <v>1.8750000000000011</v>
      </c>
      <c r="P1005" s="24">
        <v>6.7682926829268286</v>
      </c>
      <c r="Q1005" s="24">
        <v>8.4324592604847375</v>
      </c>
      <c r="R1005" s="24">
        <v>4.26</v>
      </c>
      <c r="S1005" s="24">
        <v>7.0191900079848848</v>
      </c>
      <c r="T1005" s="24">
        <v>0.31358385468658534</v>
      </c>
      <c r="U1005" s="24" t="s">
        <v>3314</v>
      </c>
      <c r="V1005">
        <v>1</v>
      </c>
      <c r="W1005" s="21">
        <v>1</v>
      </c>
      <c r="X1005" s="56" t="str">
        <f>IFERROR(VLOOKUP(A1005,Output!A:F,6,0),"-")</f>
        <v>-</v>
      </c>
    </row>
    <row r="1006" spans="1:24" hidden="1" x14ac:dyDescent="0.25">
      <c r="A1006" s="21" t="s">
        <v>4600</v>
      </c>
      <c r="B1006" s="40" t="s">
        <v>4601</v>
      </c>
      <c r="C1006" s="21" t="s">
        <v>244</v>
      </c>
      <c r="D1006" s="21" t="s">
        <v>73</v>
      </c>
      <c r="E1006" s="21" t="s">
        <v>91</v>
      </c>
      <c r="F1006" s="55">
        <v>1.4170265649033107E-4</v>
      </c>
      <c r="G1006" s="21" t="e">
        <v>#N/A</v>
      </c>
      <c r="H1006" s="21" t="e">
        <v>#N/A</v>
      </c>
      <c r="I1006" s="21" t="e">
        <v>#N/A</v>
      </c>
      <c r="J1006" s="21" t="e">
        <v>#N/A</v>
      </c>
      <c r="K1006" s="24">
        <v>0</v>
      </c>
      <c r="L1006" s="24" t="e">
        <v>#N/A</v>
      </c>
      <c r="M1006" s="53" t="e">
        <v>#N/A</v>
      </c>
      <c r="N1006" s="24">
        <v>6.5396095026765098</v>
      </c>
      <c r="O1006" s="24" t="e">
        <v>#N/A</v>
      </c>
      <c r="P1006" s="24">
        <v>8.2848232919549964</v>
      </c>
      <c r="Q1006" s="24">
        <v>9.3346373765583159</v>
      </c>
      <c r="R1006" s="24" t="e">
        <v>#N/A</v>
      </c>
      <c r="S1006" s="24" t="e">
        <v>#N/A</v>
      </c>
      <c r="T1006" s="24">
        <v>2.9444696504927571E-2</v>
      </c>
      <c r="U1006" s="24" t="s">
        <v>4602</v>
      </c>
      <c r="V1006">
        <v>0</v>
      </c>
      <c r="W1006" s="21">
        <v>0</v>
      </c>
      <c r="X1006" s="56" t="str">
        <f>IFERROR(VLOOKUP(A1006,Output!A:F,6,0),"-")</f>
        <v>-</v>
      </c>
    </row>
    <row r="1007" spans="1:24" x14ac:dyDescent="0.25">
      <c r="A1007" s="21" t="s">
        <v>1317</v>
      </c>
      <c r="B1007" s="40" t="s">
        <v>1318</v>
      </c>
      <c r="C1007" s="21" t="s">
        <v>248</v>
      </c>
      <c r="D1007" s="21" t="s">
        <v>75</v>
      </c>
      <c r="E1007" s="21" t="s">
        <v>102</v>
      </c>
      <c r="F1007" s="55">
        <v>1.4131360836260696E-4</v>
      </c>
      <c r="G1007" s="24">
        <v>5.7961729999999996</v>
      </c>
      <c r="H1007" s="24">
        <v>5.9985920000000004</v>
      </c>
      <c r="I1007" s="24">
        <v>3.5741580000000002</v>
      </c>
      <c r="J1007" s="24">
        <v>5.3922540000000003</v>
      </c>
      <c r="K1007" s="24">
        <v>2.0851950000000001</v>
      </c>
      <c r="L1007" s="24">
        <v>12.727320000000001</v>
      </c>
      <c r="M1007" s="24">
        <v>287.10500000000002</v>
      </c>
      <c r="N1007" s="24">
        <v>1.9749979937494975</v>
      </c>
      <c r="O1007" s="24">
        <v>7.4999999999999991</v>
      </c>
      <c r="P1007" s="24">
        <v>10</v>
      </c>
      <c r="Q1007" s="24">
        <v>9.9236214740673336</v>
      </c>
      <c r="R1007" s="24">
        <v>3.43</v>
      </c>
      <c r="S1007" s="24">
        <v>6.7747239938758916</v>
      </c>
      <c r="T1007" s="24">
        <v>0.22893730776463417</v>
      </c>
      <c r="U1007" s="24" t="s">
        <v>3357</v>
      </c>
      <c r="V1007">
        <v>1</v>
      </c>
      <c r="W1007" s="21">
        <v>0</v>
      </c>
      <c r="X1007" s="56" t="str">
        <f>IFERROR(VLOOKUP(A1007,Output!A:F,6,0),"-")</f>
        <v>-</v>
      </c>
    </row>
    <row r="1008" spans="1:24" hidden="1" x14ac:dyDescent="0.25">
      <c r="A1008" s="21" t="s">
        <v>1497</v>
      </c>
      <c r="B1008" s="40" t="s">
        <v>1498</v>
      </c>
      <c r="C1008" s="21" t="s">
        <v>250</v>
      </c>
      <c r="D1008" s="21" t="s">
        <v>76</v>
      </c>
      <c r="E1008" s="21" t="s">
        <v>89</v>
      </c>
      <c r="F1008" s="55">
        <v>1.4108834879240413E-4</v>
      </c>
      <c r="G1008" s="24">
        <v>7.1438249999999996</v>
      </c>
      <c r="H1008" s="24">
        <v>4.2427910000000004</v>
      </c>
      <c r="I1008" s="24">
        <v>3.9564499999999998</v>
      </c>
      <c r="J1008" s="24">
        <v>5.3173019999999998</v>
      </c>
      <c r="K1008" s="24">
        <v>3.7736070000000002</v>
      </c>
      <c r="L1008" s="24">
        <v>7.6371500000000001</v>
      </c>
      <c r="M1008" s="24">
        <v>9.0305999999999997</v>
      </c>
      <c r="N1008" s="24">
        <v>3.700873362445416</v>
      </c>
      <c r="O1008" s="24">
        <v>3.6904761904761916</v>
      </c>
      <c r="P1008" s="24">
        <v>10</v>
      </c>
      <c r="Q1008" s="24">
        <v>5.9910814696485613</v>
      </c>
      <c r="R1008" s="24">
        <v>5.38</v>
      </c>
      <c r="S1008" s="24">
        <v>5.7317255415397677</v>
      </c>
      <c r="T1008" s="24">
        <v>0.28870885931268248</v>
      </c>
      <c r="U1008" s="24" t="s">
        <v>3392</v>
      </c>
      <c r="V1008">
        <v>0</v>
      </c>
      <c r="W1008" s="21">
        <v>0</v>
      </c>
      <c r="X1008" s="56" t="str">
        <f>IFERROR(VLOOKUP(A1008,Output!A:F,6,0),"-")</f>
        <v>-</v>
      </c>
    </row>
    <row r="1009" spans="1:24" hidden="1" x14ac:dyDescent="0.25">
      <c r="A1009" s="21" t="s">
        <v>576</v>
      </c>
      <c r="B1009" s="40" t="s">
        <v>818</v>
      </c>
      <c r="C1009" s="21" t="s">
        <v>244</v>
      </c>
      <c r="D1009" s="21" t="s">
        <v>73</v>
      </c>
      <c r="E1009" s="21" t="s">
        <v>90</v>
      </c>
      <c r="F1009" s="55">
        <v>1.4101852738029124E-4</v>
      </c>
      <c r="G1009" s="24">
        <v>5.0377489999999998</v>
      </c>
      <c r="H1009" s="24">
        <v>7.4081539999999997</v>
      </c>
      <c r="I1009" s="24">
        <v>6.8088449999999998</v>
      </c>
      <c r="J1009" s="24">
        <v>6.2801989999999996</v>
      </c>
      <c r="K1009" s="24">
        <v>3.3443399999999999</v>
      </c>
      <c r="L1009" s="24">
        <v>6.7683140000000002</v>
      </c>
      <c r="M1009" s="24">
        <v>96.220699999999994</v>
      </c>
      <c r="N1009" s="24">
        <v>3.4967555875991341</v>
      </c>
      <c r="O1009" s="24">
        <v>1.6494845360824739</v>
      </c>
      <c r="P1009" s="24">
        <v>3.0290456431535273</v>
      </c>
      <c r="Q1009" s="24">
        <v>6.1719372345445951</v>
      </c>
      <c r="R1009" s="24">
        <v>5.17</v>
      </c>
      <c r="S1009" s="24">
        <v>5.2020854383211494</v>
      </c>
      <c r="T1009" s="24">
        <v>0.18192860280441903</v>
      </c>
      <c r="U1009" s="24" t="s">
        <v>2799</v>
      </c>
      <c r="V1009">
        <v>0</v>
      </c>
      <c r="W1009" s="21">
        <v>0</v>
      </c>
      <c r="X1009" s="56" t="str">
        <f>IFERROR(VLOOKUP(A1009,Output!A:F,6,0),"-")</f>
        <v>-</v>
      </c>
    </row>
    <row r="1010" spans="1:24" hidden="1" x14ac:dyDescent="0.25">
      <c r="A1010" s="21" t="s">
        <v>635</v>
      </c>
      <c r="B1010" s="40" t="s">
        <v>884</v>
      </c>
      <c r="C1010" s="21" t="s">
        <v>244</v>
      </c>
      <c r="D1010" s="21" t="s">
        <v>73</v>
      </c>
      <c r="E1010" s="21" t="s">
        <v>99</v>
      </c>
      <c r="F1010" s="55">
        <v>1.4079095384398092E-4</v>
      </c>
      <c r="G1010" s="24">
        <v>5.7134819999999999</v>
      </c>
      <c r="H1010" s="24">
        <v>5.7108020000000002</v>
      </c>
      <c r="I1010" s="24">
        <v>4.7857779999999996</v>
      </c>
      <c r="J1010" s="24">
        <v>5.3413279999999999</v>
      </c>
      <c r="K1010" s="24">
        <v>0</v>
      </c>
      <c r="L1010" s="24">
        <v>6.150271</v>
      </c>
      <c r="M1010" s="53">
        <v>1.0663</v>
      </c>
      <c r="N1010" s="24">
        <v>4.0726127918399984</v>
      </c>
      <c r="O1010" s="24">
        <v>1.25</v>
      </c>
      <c r="P1010" s="24">
        <v>5.4925373134328357</v>
      </c>
      <c r="Q1010" s="24">
        <v>7.9201522866226544</v>
      </c>
      <c r="R1010" s="24" t="e">
        <v>#N/A</v>
      </c>
      <c r="S1010" s="24">
        <v>5.4125908882366973</v>
      </c>
      <c r="T1010" s="24">
        <v>1.1725068821763149</v>
      </c>
      <c r="U1010" s="24" t="s">
        <v>2983</v>
      </c>
      <c r="V1010">
        <v>0</v>
      </c>
      <c r="W1010" s="21">
        <v>0</v>
      </c>
      <c r="X1010" s="56" t="str">
        <f>IFERROR(VLOOKUP(A1010,Output!A:F,6,0),"-")</f>
        <v>-</v>
      </c>
    </row>
    <row r="1011" spans="1:24" hidden="1" x14ac:dyDescent="0.25">
      <c r="A1011" s="21" t="s">
        <v>465</v>
      </c>
      <c r="B1011" s="40" t="s">
        <v>713</v>
      </c>
      <c r="C1011" s="21" t="s">
        <v>244</v>
      </c>
      <c r="D1011" s="21" t="s">
        <v>73</v>
      </c>
      <c r="E1011" s="21" t="s">
        <v>97</v>
      </c>
      <c r="F1011" s="55">
        <v>1.4068068832859802E-4</v>
      </c>
      <c r="G1011" s="24">
        <v>7.9450219999999998</v>
      </c>
      <c r="H1011" s="24">
        <v>5.3745839999999996</v>
      </c>
      <c r="I1011" s="24">
        <v>5.1337700000000002</v>
      </c>
      <c r="J1011" s="24">
        <v>6.3064340000000003</v>
      </c>
      <c r="K1011" s="24">
        <v>6.4066520000000002</v>
      </c>
      <c r="L1011" s="24">
        <v>3.4313069999999999</v>
      </c>
      <c r="M1011" s="24">
        <v>68.4191</v>
      </c>
      <c r="N1011" s="24">
        <v>3.3773360763471816</v>
      </c>
      <c r="O1011" s="24">
        <v>2.0618556701030926</v>
      </c>
      <c r="P1011" s="24">
        <v>1.8636363636363638</v>
      </c>
      <c r="Q1011" s="24">
        <v>8.3733670459334171</v>
      </c>
      <c r="R1011" s="24">
        <v>7.29</v>
      </c>
      <c r="S1011" s="24">
        <v>4.7523248610657047</v>
      </c>
      <c r="T1011" s="24">
        <v>1.5657479017294422</v>
      </c>
      <c r="U1011" s="24" t="s">
        <v>2942</v>
      </c>
      <c r="V1011">
        <v>0</v>
      </c>
      <c r="W1011" s="21">
        <v>0</v>
      </c>
      <c r="X1011" s="56" t="str">
        <f>IFERROR(VLOOKUP(A1011,Output!A:F,6,0),"-")</f>
        <v>-</v>
      </c>
    </row>
    <row r="1012" spans="1:24" hidden="1" x14ac:dyDescent="0.25">
      <c r="A1012" s="21" t="s">
        <v>2005</v>
      </c>
      <c r="B1012" s="40" t="s">
        <v>2006</v>
      </c>
      <c r="C1012" s="21" t="s">
        <v>249</v>
      </c>
      <c r="D1012" s="21" t="s">
        <v>74</v>
      </c>
      <c r="E1012" s="21" t="s">
        <v>88</v>
      </c>
      <c r="F1012" s="55">
        <v>1.3991788437090361E-4</v>
      </c>
      <c r="G1012" s="24">
        <v>5.2584619999999997</v>
      </c>
      <c r="H1012" s="24">
        <v>3.7629579999999998</v>
      </c>
      <c r="I1012" s="24">
        <v>4.4947800000000004</v>
      </c>
      <c r="J1012" s="24">
        <v>4.5807060000000002</v>
      </c>
      <c r="K1012" s="24">
        <v>4.9858169999999999</v>
      </c>
      <c r="L1012" s="24">
        <v>9.9187259999999995</v>
      </c>
      <c r="M1012" s="24">
        <v>59.770499999999998</v>
      </c>
      <c r="N1012" s="24">
        <v>6.3851851851851862</v>
      </c>
      <c r="O1012" s="24">
        <v>3.0612244897959178</v>
      </c>
      <c r="P1012" s="24">
        <v>2.9315068493150682</v>
      </c>
      <c r="Q1012" s="24">
        <v>9.2727702467351651</v>
      </c>
      <c r="R1012" s="24">
        <v>7.24</v>
      </c>
      <c r="S1012" s="24">
        <v>7.1659591831122302</v>
      </c>
      <c r="T1012" s="24">
        <v>0.29127547648381286</v>
      </c>
      <c r="U1012" s="24" t="s">
        <v>3661</v>
      </c>
      <c r="V1012">
        <v>0</v>
      </c>
      <c r="W1012" s="21">
        <v>1</v>
      </c>
      <c r="X1012" s="56" t="str">
        <f>IFERROR(VLOOKUP(A1012,Output!A:F,6,0),"-")</f>
        <v>-</v>
      </c>
    </row>
    <row r="1013" spans="1:24" x14ac:dyDescent="0.25">
      <c r="A1013" s="21" t="s">
        <v>1550</v>
      </c>
      <c r="B1013" s="40" t="s">
        <v>1551</v>
      </c>
      <c r="C1013" s="21" t="s">
        <v>255</v>
      </c>
      <c r="D1013" s="21" t="s">
        <v>75</v>
      </c>
      <c r="E1013" s="21" t="s">
        <v>97</v>
      </c>
      <c r="F1013" s="55">
        <v>1.3980882614218551E-4</v>
      </c>
      <c r="G1013" s="21">
        <v>6.3614949999999997</v>
      </c>
      <c r="H1013" s="21">
        <v>5.2378270000000002</v>
      </c>
      <c r="I1013" s="21">
        <v>4.4743230000000001</v>
      </c>
      <c r="J1013" s="21">
        <v>5.3818919999999997</v>
      </c>
      <c r="K1013" s="24">
        <v>5.5132680000000001</v>
      </c>
      <c r="L1013" s="24">
        <v>5.2570209999999999</v>
      </c>
      <c r="M1013" s="24">
        <v>29.058800000000002</v>
      </c>
      <c r="N1013" s="24">
        <v>5.16182782782783</v>
      </c>
      <c r="O1013" s="24">
        <v>8.0219780219780201</v>
      </c>
      <c r="P1013" s="24">
        <v>5.7627118644067803</v>
      </c>
      <c r="Q1013" s="24">
        <v>5.1883658009010878</v>
      </c>
      <c r="R1013" s="24">
        <v>5.39</v>
      </c>
      <c r="S1013" s="24">
        <v>5.4254909434512744</v>
      </c>
      <c r="T1013" s="24">
        <v>0.23525417529415643</v>
      </c>
      <c r="U1013" s="24" t="s">
        <v>3415</v>
      </c>
      <c r="V1013">
        <v>0</v>
      </c>
      <c r="W1013" s="21">
        <v>0</v>
      </c>
      <c r="X1013" s="56" t="str">
        <f>IFERROR(VLOOKUP(A1013,Output!A:F,6,0),"-")</f>
        <v>-</v>
      </c>
    </row>
    <row r="1014" spans="1:24" hidden="1" x14ac:dyDescent="0.25">
      <c r="A1014" s="21" t="s">
        <v>1662</v>
      </c>
      <c r="B1014" s="40" t="s">
        <v>1663</v>
      </c>
      <c r="C1014" s="21" t="s">
        <v>247</v>
      </c>
      <c r="D1014" s="21" t="s">
        <v>74</v>
      </c>
      <c r="E1014" s="21" t="s">
        <v>93</v>
      </c>
      <c r="F1014" s="55">
        <v>1.3971747478455076E-4</v>
      </c>
      <c r="G1014" s="24">
        <v>5.8489300000000002</v>
      </c>
      <c r="H1014" s="24">
        <v>6.9205420000000002</v>
      </c>
      <c r="I1014" s="24">
        <v>4.2984840000000002</v>
      </c>
      <c r="J1014" s="24">
        <v>5.6813380000000002</v>
      </c>
      <c r="K1014" s="24">
        <v>4.8806479999999999</v>
      </c>
      <c r="L1014" s="24">
        <v>5.6045439999999997</v>
      </c>
      <c r="M1014" s="24">
        <v>2.4416000000000002</v>
      </c>
      <c r="N1014" s="24">
        <v>5.8703984567268321</v>
      </c>
      <c r="O1014" s="24">
        <v>8.8888888888888893</v>
      </c>
      <c r="P1014" s="24">
        <v>7.9210526315789469</v>
      </c>
      <c r="Q1014" s="24">
        <v>2.056229327453142</v>
      </c>
      <c r="R1014" s="24">
        <v>4.91</v>
      </c>
      <c r="S1014" s="24">
        <v>4.5636152170284596</v>
      </c>
      <c r="T1014" s="24">
        <v>0.29645399509673331</v>
      </c>
      <c r="U1014" s="24" t="s">
        <v>3502</v>
      </c>
      <c r="V1014">
        <v>0</v>
      </c>
      <c r="W1014" s="21">
        <v>0</v>
      </c>
      <c r="X1014" s="56" t="str">
        <f>IFERROR(VLOOKUP(A1014,Output!A:F,6,0),"-")</f>
        <v>-</v>
      </c>
    </row>
    <row r="1015" spans="1:24" hidden="1" x14ac:dyDescent="0.25">
      <c r="A1015" s="21" t="s">
        <v>562</v>
      </c>
      <c r="B1015" s="40" t="s">
        <v>4569</v>
      </c>
      <c r="C1015" s="21" t="s">
        <v>244</v>
      </c>
      <c r="D1015" s="21" t="s">
        <v>73</v>
      </c>
      <c r="E1015" s="21" t="s">
        <v>99</v>
      </c>
      <c r="F1015" s="55">
        <v>1.3955851537368857E-4</v>
      </c>
      <c r="G1015" s="24">
        <v>4.4798809999999998</v>
      </c>
      <c r="H1015" s="24">
        <v>4.8949590000000001</v>
      </c>
      <c r="I1015" s="24">
        <v>5.470548</v>
      </c>
      <c r="J1015" s="24">
        <v>4.901605</v>
      </c>
      <c r="K1015" s="24">
        <v>0</v>
      </c>
      <c r="L1015" s="24">
        <v>2.5383529999999999</v>
      </c>
      <c r="M1015" s="24">
        <v>9.5797000000000008</v>
      </c>
      <c r="N1015" s="24">
        <v>4.4198894569762786</v>
      </c>
      <c r="O1015" s="24">
        <v>2.1875000000000004</v>
      </c>
      <c r="P1015" s="24">
        <v>1.6716417910447758</v>
      </c>
      <c r="Q1015" s="24">
        <v>3.2887173978966984</v>
      </c>
      <c r="R1015" s="24" t="e">
        <v>#N/A</v>
      </c>
      <c r="S1015" s="24">
        <v>3.1636677919157545</v>
      </c>
      <c r="T1015" s="24">
        <v>1.6461008620113793</v>
      </c>
      <c r="U1015" s="24" t="s">
        <v>2955</v>
      </c>
      <c r="V1015">
        <v>0</v>
      </c>
      <c r="W1015" s="21">
        <v>0</v>
      </c>
      <c r="X1015" s="56" t="str">
        <f>IFERROR(VLOOKUP(A1015,Output!A:F,6,0),"-")</f>
        <v>-</v>
      </c>
    </row>
    <row r="1016" spans="1:24" hidden="1" x14ac:dyDescent="0.25">
      <c r="A1016" s="21" t="s">
        <v>751</v>
      </c>
      <c r="B1016" s="40" t="s">
        <v>1753</v>
      </c>
      <c r="C1016" s="21" t="s">
        <v>258</v>
      </c>
      <c r="D1016" s="21" t="s">
        <v>74</v>
      </c>
      <c r="E1016" s="21" t="s">
        <v>89</v>
      </c>
      <c r="F1016" s="55">
        <v>1.3934039891625233E-4</v>
      </c>
      <c r="G1016" s="24">
        <v>3.6893940000000001</v>
      </c>
      <c r="H1016" s="24">
        <v>6.5802709999999998</v>
      </c>
      <c r="I1016" s="24">
        <v>5.4415050000000003</v>
      </c>
      <c r="J1016" s="24">
        <v>5.3144400000000003</v>
      </c>
      <c r="K1016" s="24">
        <v>7.5691800000000002</v>
      </c>
      <c r="L1016" s="24">
        <v>13.31259</v>
      </c>
      <c r="M1016" s="24">
        <v>10.8331</v>
      </c>
      <c r="N1016" s="24">
        <v>5.8874242083357498</v>
      </c>
      <c r="O1016" s="24">
        <v>8.3838383838383841</v>
      </c>
      <c r="P1016" s="24">
        <v>3.3947368421052633</v>
      </c>
      <c r="Q1016" s="24">
        <v>4.5837927232635058</v>
      </c>
      <c r="R1016" s="24">
        <v>8.06</v>
      </c>
      <c r="S1016" s="24">
        <v>4.8573703391465122</v>
      </c>
      <c r="T1016" s="24">
        <v>0.32402798157411994</v>
      </c>
      <c r="U1016" s="24" t="s">
        <v>3555</v>
      </c>
      <c r="V1016">
        <v>0</v>
      </c>
      <c r="W1016" s="21">
        <v>0</v>
      </c>
      <c r="X1016" s="56" t="str">
        <f>IFERROR(VLOOKUP(A1016,Output!A:F,6,0),"-")</f>
        <v>-</v>
      </c>
    </row>
    <row r="1017" spans="1:24" hidden="1" x14ac:dyDescent="0.25">
      <c r="A1017" s="21" t="s">
        <v>4469</v>
      </c>
      <c r="B1017" s="40" t="s">
        <v>4470</v>
      </c>
      <c r="C1017" s="21" t="s">
        <v>298</v>
      </c>
      <c r="D1017" s="21" t="s">
        <v>74</v>
      </c>
      <c r="E1017" s="21" t="s">
        <v>93</v>
      </c>
      <c r="F1017" s="55">
        <v>1.386411787229028E-4</v>
      </c>
      <c r="G1017" s="21">
        <v>6.3820949999999996</v>
      </c>
      <c r="H1017" s="21">
        <v>3.7227589999999999</v>
      </c>
      <c r="I1017" s="21">
        <v>6.467498</v>
      </c>
      <c r="J1017" s="21">
        <v>5.4812180000000001</v>
      </c>
      <c r="K1017" s="24">
        <v>6.2961390000000002</v>
      </c>
      <c r="L1017" s="24">
        <v>16.46172</v>
      </c>
      <c r="M1017" s="24">
        <v>0.44506000000000001</v>
      </c>
      <c r="N1017" s="24">
        <v>5.6150249512683503</v>
      </c>
      <c r="O1017" s="24">
        <v>7.7777777777777777</v>
      </c>
      <c r="P1017" s="24">
        <v>0.71929821052631582</v>
      </c>
      <c r="Q1017" s="24">
        <v>7.1154906284454231</v>
      </c>
      <c r="R1017" s="24">
        <v>5.74</v>
      </c>
      <c r="S1017" s="24">
        <v>5.3908325560460035</v>
      </c>
      <c r="T1017" s="24">
        <v>0.44368230553178983</v>
      </c>
      <c r="U1017" s="24" t="s">
        <v>3556</v>
      </c>
      <c r="V1017">
        <v>0</v>
      </c>
      <c r="W1017" s="21">
        <v>0</v>
      </c>
      <c r="X1017" s="56" t="str">
        <f>IFERROR(VLOOKUP(A1017,Output!A:F,6,0),"-")</f>
        <v>-</v>
      </c>
    </row>
    <row r="1018" spans="1:24" hidden="1" x14ac:dyDescent="0.25">
      <c r="A1018" s="21" t="s">
        <v>1947</v>
      </c>
      <c r="B1018" s="40" t="s">
        <v>1948</v>
      </c>
      <c r="C1018" s="21" t="s">
        <v>250</v>
      </c>
      <c r="D1018" s="21" t="s">
        <v>76</v>
      </c>
      <c r="E1018" s="21" t="s">
        <v>86</v>
      </c>
      <c r="F1018" s="55">
        <v>1.3845495475486107E-4</v>
      </c>
      <c r="G1018" s="21" t="e">
        <v>#N/A</v>
      </c>
      <c r="H1018" s="21" t="e">
        <v>#N/A</v>
      </c>
      <c r="I1018" s="21" t="e">
        <v>#N/A</v>
      </c>
      <c r="J1018" s="21" t="e">
        <v>#N/A</v>
      </c>
      <c r="K1018" s="24">
        <v>1.561426</v>
      </c>
      <c r="L1018" s="24">
        <v>3.2964380000000002</v>
      </c>
      <c r="M1018" s="24" t="e">
        <v>#N/A</v>
      </c>
      <c r="N1018" s="57">
        <v>0</v>
      </c>
      <c r="O1018" s="24">
        <v>0</v>
      </c>
      <c r="P1018" s="24">
        <v>0</v>
      </c>
      <c r="Q1018" s="24">
        <v>6.1954833234952247</v>
      </c>
      <c r="R1018" s="24">
        <v>2.89</v>
      </c>
      <c r="S1018" s="24">
        <v>2.4291191115610382</v>
      </c>
      <c r="T1018" s="24">
        <v>0.49721575222962006</v>
      </c>
      <c r="U1018" s="24" t="s">
        <v>3601</v>
      </c>
      <c r="V1018">
        <v>0</v>
      </c>
      <c r="W1018" s="21">
        <v>0</v>
      </c>
      <c r="X1018" s="56" t="str">
        <f>IFERROR(VLOOKUP(A1018,Output!A:F,6,0),"-")</f>
        <v>-</v>
      </c>
    </row>
    <row r="1019" spans="1:24" hidden="1" x14ac:dyDescent="0.25">
      <c r="A1019" s="21" t="s">
        <v>4408</v>
      </c>
      <c r="B1019" s="40" t="s">
        <v>4472</v>
      </c>
      <c r="C1019" s="21" t="s">
        <v>247</v>
      </c>
      <c r="D1019" s="21" t="s">
        <v>74</v>
      </c>
      <c r="E1019" s="21" t="s">
        <v>102</v>
      </c>
      <c r="F1019" s="55">
        <v>1.3840123049827855E-4</v>
      </c>
      <c r="G1019" s="24">
        <v>6.051431</v>
      </c>
      <c r="H1019" s="24">
        <v>4.0873400000000002</v>
      </c>
      <c r="I1019" s="24">
        <v>5.362628</v>
      </c>
      <c r="J1019" s="24">
        <v>5.5208529999999998</v>
      </c>
      <c r="K1019" s="24">
        <v>3.747833</v>
      </c>
      <c r="L1019" s="24">
        <v>13.17727</v>
      </c>
      <c r="M1019" s="24">
        <v>13.4506</v>
      </c>
      <c r="N1019" s="24">
        <v>3.2594708643619237</v>
      </c>
      <c r="O1019" s="24">
        <v>6.0439560439560447</v>
      </c>
      <c r="P1019" s="24">
        <v>10</v>
      </c>
      <c r="Q1019" s="24">
        <v>10</v>
      </c>
      <c r="R1019" s="24">
        <v>5.0599999999999996</v>
      </c>
      <c r="S1019" s="24">
        <v>7.1722539411622268</v>
      </c>
      <c r="T1019" s="24">
        <v>0.18949707564745366</v>
      </c>
      <c r="U1019" s="24" t="s">
        <v>4473</v>
      </c>
      <c r="V1019">
        <v>0</v>
      </c>
      <c r="W1019" s="21">
        <v>0</v>
      </c>
      <c r="X1019" s="56" t="str">
        <f>IFERROR(VLOOKUP(A1019,Output!A:F,6,0),"-")</f>
        <v>-</v>
      </c>
    </row>
    <row r="1020" spans="1:24" hidden="1" x14ac:dyDescent="0.25">
      <c r="A1020" s="21" t="s">
        <v>4260</v>
      </c>
      <c r="B1020" s="40" t="s">
        <v>4261</v>
      </c>
      <c r="C1020" s="21" t="s">
        <v>244</v>
      </c>
      <c r="D1020" s="21" t="s">
        <v>73</v>
      </c>
      <c r="E1020" s="21" t="s">
        <v>91</v>
      </c>
      <c r="F1020" s="55">
        <v>1.383520335666889E-4</v>
      </c>
      <c r="G1020" s="24">
        <v>5.0621499999999999</v>
      </c>
      <c r="H1020" s="24">
        <v>3.4129149999999999</v>
      </c>
      <c r="I1020" s="24">
        <v>6.5014110000000001</v>
      </c>
      <c r="J1020" s="24">
        <v>4.9781599999999999</v>
      </c>
      <c r="K1020" s="24">
        <v>0</v>
      </c>
      <c r="L1020" s="24">
        <v>0.8306751</v>
      </c>
      <c r="M1020" s="24">
        <v>30.270800000000001</v>
      </c>
      <c r="N1020" s="24">
        <v>5.4144656335737649</v>
      </c>
      <c r="O1020" s="24">
        <v>3.5353535353535355</v>
      </c>
      <c r="P1020" s="24">
        <v>6.3825363975778115</v>
      </c>
      <c r="Q1020" s="24">
        <v>0.31478225318861014</v>
      </c>
      <c r="R1020" s="24" t="e">
        <v>#N/A</v>
      </c>
      <c r="S1020" s="24">
        <v>3.1769535444043453</v>
      </c>
      <c r="T1020" s="24">
        <v>1.5606270664398196</v>
      </c>
      <c r="U1020" s="24" t="s">
        <v>4262</v>
      </c>
      <c r="V1020">
        <v>0</v>
      </c>
      <c r="W1020" s="21">
        <v>0</v>
      </c>
      <c r="X1020" s="56" t="str">
        <f>IFERROR(VLOOKUP(A1020,Output!A:F,6,0),"-")</f>
        <v>-</v>
      </c>
    </row>
    <row r="1021" spans="1:24" hidden="1" x14ac:dyDescent="0.25">
      <c r="A1021" s="21" t="s">
        <v>1692</v>
      </c>
      <c r="B1021" s="40" t="s">
        <v>1693</v>
      </c>
      <c r="C1021" s="21" t="s">
        <v>968</v>
      </c>
      <c r="D1021" s="21" t="s">
        <v>76</v>
      </c>
      <c r="E1021" s="21" t="s">
        <v>91</v>
      </c>
      <c r="F1021" s="55">
        <v>1.3828482794234968E-4</v>
      </c>
      <c r="G1021" s="21">
        <v>7.2205180000000002</v>
      </c>
      <c r="H1021" s="21">
        <v>4.6809950000000002</v>
      </c>
      <c r="I1021" s="21">
        <v>5.4360270000000002</v>
      </c>
      <c r="J1021" s="21">
        <v>5.4909119999999998</v>
      </c>
      <c r="K1021" s="24">
        <v>1.517298</v>
      </c>
      <c r="L1021" s="24">
        <v>1.6069169999999999</v>
      </c>
      <c r="M1021" s="24">
        <v>12.8796</v>
      </c>
      <c r="N1021" s="24">
        <v>0</v>
      </c>
      <c r="O1021" s="24">
        <v>8.7640449438202257</v>
      </c>
      <c r="P1021" s="24">
        <v>7.7314814814814801</v>
      </c>
      <c r="Q1021" s="24">
        <v>0.14759745762711915</v>
      </c>
      <c r="R1021" s="24">
        <v>5.86</v>
      </c>
      <c r="S1021" s="24">
        <v>2.7097583801783474</v>
      </c>
      <c r="T1021" s="24">
        <v>0.32319623813839443</v>
      </c>
      <c r="U1021" s="24" t="s">
        <v>3492</v>
      </c>
      <c r="V1021">
        <v>0</v>
      </c>
      <c r="W1021" s="21">
        <v>0</v>
      </c>
      <c r="X1021" s="56" t="str">
        <f>IFERROR(VLOOKUP(A1021,Output!A:F,6,0),"-")</f>
        <v>-</v>
      </c>
    </row>
    <row r="1022" spans="1:24" hidden="1" x14ac:dyDescent="0.25">
      <c r="A1022" s="21" t="s">
        <v>1920</v>
      </c>
      <c r="B1022" s="40" t="s">
        <v>1921</v>
      </c>
      <c r="C1022" s="21" t="s">
        <v>249</v>
      </c>
      <c r="D1022" s="21" t="s">
        <v>74</v>
      </c>
      <c r="E1022" s="21" t="s">
        <v>88</v>
      </c>
      <c r="F1022" s="55">
        <v>1.3823844801297787E-4</v>
      </c>
      <c r="G1022" s="24">
        <v>4.8862550000000002</v>
      </c>
      <c r="H1022" s="24">
        <v>6.4558260000000001</v>
      </c>
      <c r="I1022" s="24">
        <v>4.218121</v>
      </c>
      <c r="J1022" s="24">
        <v>5.1566859999999997</v>
      </c>
      <c r="K1022" s="24">
        <v>4.0702360000000004</v>
      </c>
      <c r="L1022" s="24">
        <v>11.158580000000001</v>
      </c>
      <c r="M1022" s="24">
        <v>41.133699999999997</v>
      </c>
      <c r="N1022" s="24">
        <v>5.7777777777777768</v>
      </c>
      <c r="O1022" s="24">
        <v>4.4897959183673466</v>
      </c>
      <c r="P1022" s="24">
        <v>3.4794520547945202</v>
      </c>
      <c r="Q1022" s="24">
        <v>9.1209807766497075</v>
      </c>
      <c r="R1022" s="24">
        <v>6.57</v>
      </c>
      <c r="S1022" s="24">
        <v>7.3147368602315312</v>
      </c>
      <c r="T1022" s="24">
        <v>0.38055486621782003</v>
      </c>
      <c r="U1022" s="24" t="s">
        <v>3649</v>
      </c>
      <c r="V1022">
        <v>0</v>
      </c>
      <c r="W1022" s="21">
        <v>0</v>
      </c>
      <c r="X1022" s="56" t="str">
        <f>IFERROR(VLOOKUP(A1022,Output!A:F,6,0),"-")</f>
        <v>-</v>
      </c>
    </row>
    <row r="1023" spans="1:24" hidden="1" x14ac:dyDescent="0.25">
      <c r="A1023" s="21" t="s">
        <v>4282</v>
      </c>
      <c r="B1023" s="40" t="s">
        <v>4283</v>
      </c>
      <c r="C1023" s="21" t="s">
        <v>244</v>
      </c>
      <c r="D1023" s="21" t="s">
        <v>73</v>
      </c>
      <c r="E1023" s="21" t="s">
        <v>92</v>
      </c>
      <c r="F1023" s="55">
        <v>1.3790543810794379E-4</v>
      </c>
      <c r="G1023" s="24">
        <v>4.4529649999999998</v>
      </c>
      <c r="H1023" s="24">
        <v>4.2301880000000001</v>
      </c>
      <c r="I1023" s="24">
        <v>5.4466020000000004</v>
      </c>
      <c r="J1023" s="24">
        <v>4.6842230000000002</v>
      </c>
      <c r="K1023" s="24">
        <v>1.6123460000000001</v>
      </c>
      <c r="L1023" s="24">
        <v>5.1936239999999998</v>
      </c>
      <c r="M1023" s="24">
        <v>36.0244</v>
      </c>
      <c r="N1023" s="24">
        <v>5.5516093750000008</v>
      </c>
      <c r="O1023" s="24">
        <v>3.9393939393939394</v>
      </c>
      <c r="P1023" s="24">
        <v>8.4860968136515069</v>
      </c>
      <c r="Q1023" s="24">
        <v>2.9183254579240767</v>
      </c>
      <c r="R1023" s="24">
        <v>7.02</v>
      </c>
      <c r="S1023" s="24">
        <v>6.2227025136439176</v>
      </c>
      <c r="T1023" s="24">
        <v>0.95252405671450979</v>
      </c>
      <c r="U1023" s="24" t="s">
        <v>4284</v>
      </c>
      <c r="V1023">
        <v>0</v>
      </c>
      <c r="W1023" s="21">
        <v>0</v>
      </c>
      <c r="X1023" s="56" t="str">
        <f>IFERROR(VLOOKUP(A1023,Output!A:F,6,0),"-")</f>
        <v>-</v>
      </c>
    </row>
    <row r="1024" spans="1:24" hidden="1" x14ac:dyDescent="0.25">
      <c r="A1024" s="21" t="s">
        <v>427</v>
      </c>
      <c r="B1024" s="40" t="s">
        <v>870</v>
      </c>
      <c r="C1024" s="21" t="s">
        <v>244</v>
      </c>
      <c r="D1024" s="21" t="s">
        <v>73</v>
      </c>
      <c r="E1024" s="21" t="s">
        <v>101</v>
      </c>
      <c r="F1024" s="55">
        <v>1.3786680493467094E-4</v>
      </c>
      <c r="G1024" s="24">
        <v>7.5894940000000002</v>
      </c>
      <c r="H1024" s="24">
        <v>6.3463989999999999</v>
      </c>
      <c r="I1024" s="24">
        <v>5.4044509999999999</v>
      </c>
      <c r="J1024" s="24">
        <v>6.2182389999999996</v>
      </c>
      <c r="K1024" s="24">
        <v>0</v>
      </c>
      <c r="L1024" s="24">
        <v>2.4639730000000002</v>
      </c>
      <c r="M1024" s="24">
        <v>97.082599999999999</v>
      </c>
      <c r="N1024" s="24">
        <v>4.269426396862567</v>
      </c>
      <c r="O1024" s="24">
        <v>1.8367346938775508</v>
      </c>
      <c r="P1024" s="24">
        <v>4.1963426148078646</v>
      </c>
      <c r="Q1024" s="24">
        <v>6.8409077039288029</v>
      </c>
      <c r="R1024" s="24" t="e">
        <v>#N/A</v>
      </c>
      <c r="S1024" s="24">
        <v>3.6065293551688598</v>
      </c>
      <c r="T1024" s="24">
        <v>2.1791041375203997</v>
      </c>
      <c r="U1024" s="24" t="s">
        <v>2957</v>
      </c>
      <c r="V1024">
        <v>0</v>
      </c>
      <c r="W1024" s="21">
        <v>0</v>
      </c>
      <c r="X1024" s="56" t="str">
        <f>IFERROR(VLOOKUP(A1024,Output!A:F,6,0),"-")</f>
        <v>-</v>
      </c>
    </row>
    <row r="1025" spans="1:24" hidden="1" x14ac:dyDescent="0.25">
      <c r="A1025" s="21" t="s">
        <v>2769</v>
      </c>
      <c r="B1025" s="40" t="s">
        <v>2770</v>
      </c>
      <c r="C1025" s="21" t="s">
        <v>254</v>
      </c>
      <c r="D1025" s="21" t="s">
        <v>74</v>
      </c>
      <c r="E1025" s="21" t="s">
        <v>91</v>
      </c>
      <c r="F1025" s="55">
        <v>1.3767454453330534E-4</v>
      </c>
      <c r="G1025" s="21">
        <v>5.2488440000000001</v>
      </c>
      <c r="H1025" s="21">
        <v>6.4207999999999998</v>
      </c>
      <c r="I1025" s="21">
        <v>4.7686760000000001</v>
      </c>
      <c r="J1025" s="21">
        <v>5.5255590000000003</v>
      </c>
      <c r="K1025" s="24">
        <v>4.25</v>
      </c>
      <c r="L1025" s="24">
        <v>6.4826119999999996</v>
      </c>
      <c r="M1025" s="24">
        <v>1.5907</v>
      </c>
      <c r="N1025" s="24">
        <v>2.2684860068259387</v>
      </c>
      <c r="O1025" s="24">
        <v>1.4432989690721647</v>
      </c>
      <c r="P1025" s="24">
        <v>8.6894586894586912</v>
      </c>
      <c r="Q1025" s="24">
        <v>6.3016004032138522</v>
      </c>
      <c r="R1025" s="24">
        <v>8.0499989999999997</v>
      </c>
      <c r="S1025" s="24">
        <v>6.9050533191180659</v>
      </c>
      <c r="T1025" s="24">
        <v>0.3296204509997725</v>
      </c>
      <c r="U1025" s="24" t="s">
        <v>4113</v>
      </c>
      <c r="V1025">
        <v>0</v>
      </c>
      <c r="W1025" s="21">
        <v>0</v>
      </c>
      <c r="X1025" s="56" t="str">
        <f>IFERROR(VLOOKUP(A1025,Output!A:F,6,0),"-")</f>
        <v>-</v>
      </c>
    </row>
    <row r="1026" spans="1:24" hidden="1" x14ac:dyDescent="0.25">
      <c r="A1026" s="21" t="s">
        <v>4485</v>
      </c>
      <c r="B1026" s="40" t="s">
        <v>4486</v>
      </c>
      <c r="C1026" s="21" t="s">
        <v>245</v>
      </c>
      <c r="D1026" s="21" t="s">
        <v>73</v>
      </c>
      <c r="E1026" s="21" t="s">
        <v>88</v>
      </c>
      <c r="F1026" s="55">
        <v>1.3759214721843435E-4</v>
      </c>
      <c r="G1026" s="21">
        <v>7.6494730000000004</v>
      </c>
      <c r="H1026" s="21">
        <v>6.4152100000000001</v>
      </c>
      <c r="I1026" s="21">
        <v>5.8500300000000003</v>
      </c>
      <c r="J1026" s="21">
        <v>6.7393609999999997</v>
      </c>
      <c r="K1026" s="24">
        <v>0.75790619999999997</v>
      </c>
      <c r="L1026" s="24">
        <v>3.9810370000000002</v>
      </c>
      <c r="M1026" s="24">
        <v>15.1769</v>
      </c>
      <c r="N1026" s="24">
        <v>8.2054914772727301</v>
      </c>
      <c r="O1026" s="24">
        <v>7.3737373737373737</v>
      </c>
      <c r="P1026" s="24">
        <v>7.682801245384959</v>
      </c>
      <c r="Q1026" s="24">
        <v>2.7475444650915848</v>
      </c>
      <c r="R1026" s="24">
        <v>6.89</v>
      </c>
      <c r="S1026" s="24">
        <v>5.8619702759037402</v>
      </c>
      <c r="T1026" s="24">
        <v>0.51873636195025674</v>
      </c>
      <c r="U1026" s="24" t="s">
        <v>4487</v>
      </c>
      <c r="V1026">
        <v>0</v>
      </c>
      <c r="W1026" s="21">
        <v>0</v>
      </c>
      <c r="X1026" s="56" t="str">
        <f>IFERROR(VLOOKUP(A1026,Output!A:F,6,0),"-")</f>
        <v>-</v>
      </c>
    </row>
    <row r="1027" spans="1:24" x14ac:dyDescent="0.25">
      <c r="A1027" s="21" t="s">
        <v>1226</v>
      </c>
      <c r="B1027" s="40" t="s">
        <v>1227</v>
      </c>
      <c r="C1027" s="21" t="s">
        <v>248</v>
      </c>
      <c r="D1027" s="21" t="s">
        <v>75</v>
      </c>
      <c r="E1027" s="21" t="s">
        <v>92</v>
      </c>
      <c r="F1027" s="55">
        <v>1.3754184360740201E-4</v>
      </c>
      <c r="G1027" s="24">
        <v>3.8673280000000001</v>
      </c>
      <c r="H1027" s="24">
        <v>5.4507120000000002</v>
      </c>
      <c r="I1027" s="24">
        <v>1.0833360000000001</v>
      </c>
      <c r="J1027" s="24">
        <v>3.5071460000000001</v>
      </c>
      <c r="K1027" s="24">
        <v>1.2743279999999999</v>
      </c>
      <c r="L1027" s="24">
        <v>6.1528980000000004</v>
      </c>
      <c r="M1027" s="24">
        <v>39.974299999999999</v>
      </c>
      <c r="N1027" s="24">
        <v>5.5821293647442172</v>
      </c>
      <c r="O1027" s="24">
        <v>6</v>
      </c>
      <c r="P1027" s="24">
        <v>2.1828575002122279</v>
      </c>
      <c r="Q1027" s="24">
        <v>4.1069524767814913</v>
      </c>
      <c r="R1027" s="24">
        <v>3.66</v>
      </c>
      <c r="S1027" s="24">
        <v>4.6044613394648275</v>
      </c>
      <c r="T1027" s="24">
        <v>0.32299752766121026</v>
      </c>
      <c r="U1027" s="24" t="s">
        <v>3295</v>
      </c>
      <c r="V1027">
        <v>0</v>
      </c>
      <c r="W1027" s="21">
        <v>1</v>
      </c>
      <c r="X1027" s="56" t="str">
        <f>IFERROR(VLOOKUP(A1027,Output!A:F,6,0),"-")</f>
        <v>-</v>
      </c>
    </row>
    <row r="1028" spans="1:24" hidden="1" x14ac:dyDescent="0.25">
      <c r="A1028" s="21" t="s">
        <v>1802</v>
      </c>
      <c r="B1028" s="40" t="s">
        <v>4263</v>
      </c>
      <c r="C1028" s="21" t="s">
        <v>256</v>
      </c>
      <c r="D1028" s="21" t="s">
        <v>74</v>
      </c>
      <c r="E1028" s="21" t="s">
        <v>88</v>
      </c>
      <c r="F1028" s="55">
        <v>1.3724263772898164E-4</v>
      </c>
      <c r="G1028" s="24">
        <v>4.7247170000000001</v>
      </c>
      <c r="H1028" s="24">
        <v>6.5772320000000004</v>
      </c>
      <c r="I1028" s="24">
        <v>3.4071479999999998</v>
      </c>
      <c r="J1028" s="24">
        <v>4.8852010000000003</v>
      </c>
      <c r="K1028" s="24">
        <v>5.4544740000000003</v>
      </c>
      <c r="L1028" s="24">
        <v>6.1197879999999998</v>
      </c>
      <c r="M1028" s="24">
        <v>30.5776</v>
      </c>
      <c r="N1028" s="24">
        <v>3.3086429629629639</v>
      </c>
      <c r="O1028" s="24">
        <v>8.2653061224489797</v>
      </c>
      <c r="P1028" s="24">
        <v>4.0547945205479454</v>
      </c>
      <c r="Q1028" s="24">
        <v>7.7518859326827263</v>
      </c>
      <c r="R1028" s="24">
        <v>5.78</v>
      </c>
      <c r="S1028" s="24">
        <v>5.9610142328496067</v>
      </c>
      <c r="T1028" s="24">
        <v>0.10511810901727331</v>
      </c>
      <c r="U1028" s="24" t="s">
        <v>3552</v>
      </c>
      <c r="V1028">
        <v>0</v>
      </c>
      <c r="W1028" s="21">
        <v>0</v>
      </c>
      <c r="X1028" s="56" t="str">
        <f>IFERROR(VLOOKUP(A1028,Output!A:F,6,0),"-")</f>
        <v>-</v>
      </c>
    </row>
    <row r="1029" spans="1:24" hidden="1" x14ac:dyDescent="0.25">
      <c r="A1029" s="21" t="s">
        <v>1849</v>
      </c>
      <c r="B1029" s="40" t="s">
        <v>1850</v>
      </c>
      <c r="C1029" s="21" t="s">
        <v>251</v>
      </c>
      <c r="D1029" s="21" t="s">
        <v>74</v>
      </c>
      <c r="E1029" s="21" t="s">
        <v>90</v>
      </c>
      <c r="F1029" s="55">
        <v>1.3677883843526346E-4</v>
      </c>
      <c r="G1029" s="24">
        <v>5.6748010000000004</v>
      </c>
      <c r="H1029" s="24">
        <v>5.497503</v>
      </c>
      <c r="I1029" s="24">
        <v>5.1694550000000001</v>
      </c>
      <c r="J1029" s="24">
        <v>5.470008</v>
      </c>
      <c r="K1029" s="24">
        <v>4.7369899999999996</v>
      </c>
      <c r="L1029" s="24">
        <v>8.8024719999999999</v>
      </c>
      <c r="M1029" s="24">
        <v>52.949599999999997</v>
      </c>
      <c r="N1029" s="24">
        <v>9.3020414082317231</v>
      </c>
      <c r="O1029" s="24">
        <v>7.8947368421052637</v>
      </c>
      <c r="P1029" s="24">
        <v>7.8297872340425521</v>
      </c>
      <c r="Q1029" s="24">
        <v>6.4009106379730385</v>
      </c>
      <c r="R1029" s="24">
        <v>7.6500009999999996</v>
      </c>
      <c r="S1029" s="24">
        <v>7.2254956670296613</v>
      </c>
      <c r="T1029" s="24">
        <v>0.31993390790512527</v>
      </c>
      <c r="U1029" s="24" t="s">
        <v>3547</v>
      </c>
      <c r="V1029">
        <v>0</v>
      </c>
      <c r="W1029" s="21">
        <v>0</v>
      </c>
      <c r="X1029" s="56" t="str">
        <f>IFERROR(VLOOKUP(A1029,Output!A:F,6,0),"-")</f>
        <v>-</v>
      </c>
    </row>
    <row r="1030" spans="1:24" hidden="1" x14ac:dyDescent="0.25">
      <c r="A1030" s="21" t="s">
        <v>2033</v>
      </c>
      <c r="B1030" s="40" t="s">
        <v>2034</v>
      </c>
      <c r="C1030" s="21" t="s">
        <v>247</v>
      </c>
      <c r="D1030" s="21" t="s">
        <v>74</v>
      </c>
      <c r="E1030" s="21" t="s">
        <v>94</v>
      </c>
      <c r="F1030" s="55">
        <v>1.3657923370668715E-4</v>
      </c>
      <c r="G1030" s="24">
        <v>8.2489369999999997</v>
      </c>
      <c r="H1030" s="24">
        <v>4.0368709999999997</v>
      </c>
      <c r="I1030" s="24">
        <v>5.9779689999999999</v>
      </c>
      <c r="J1030" s="24">
        <v>5.6557240000000002</v>
      </c>
      <c r="K1030" s="24">
        <v>5.1713930000000001</v>
      </c>
      <c r="L1030" s="24">
        <v>12.126139999999999</v>
      </c>
      <c r="M1030" s="24">
        <v>4.5457000000000001</v>
      </c>
      <c r="N1030" s="24">
        <v>2.8953931711154164</v>
      </c>
      <c r="O1030" s="24">
        <v>1.2121212121212119</v>
      </c>
      <c r="P1030" s="24">
        <v>1.8991097922848668</v>
      </c>
      <c r="Q1030" s="24">
        <v>6.9653829749203577</v>
      </c>
      <c r="R1030" s="24">
        <v>6.35</v>
      </c>
      <c r="S1030" s="24">
        <v>5.2785870145543985</v>
      </c>
      <c r="T1030" s="24">
        <v>0.38245417979445473</v>
      </c>
      <c r="U1030" s="24" t="s">
        <v>3682</v>
      </c>
      <c r="V1030">
        <v>0</v>
      </c>
      <c r="W1030" s="21">
        <v>0</v>
      </c>
      <c r="X1030" s="56" t="str">
        <f>IFERROR(VLOOKUP(A1030,Output!A:F,6,0),"-")</f>
        <v>-</v>
      </c>
    </row>
    <row r="1031" spans="1:24" x14ac:dyDescent="0.25">
      <c r="A1031" s="21" t="s">
        <v>1160</v>
      </c>
      <c r="B1031" s="40" t="s">
        <v>1161</v>
      </c>
      <c r="C1031" s="21" t="s">
        <v>248</v>
      </c>
      <c r="D1031" s="21" t="s">
        <v>75</v>
      </c>
      <c r="E1031" s="21" t="s">
        <v>102</v>
      </c>
      <c r="F1031" s="55">
        <v>1.3513612371339134E-4</v>
      </c>
      <c r="G1031" s="24">
        <v>3.7455449999999999</v>
      </c>
      <c r="H1031" s="24">
        <v>5.2869029999999997</v>
      </c>
      <c r="I1031" s="24">
        <v>4.6293670000000002</v>
      </c>
      <c r="J1031" s="24">
        <v>4.2305809999999999</v>
      </c>
      <c r="K1031" s="24">
        <v>2.0921129999999999</v>
      </c>
      <c r="L1031" s="24">
        <v>12.021850000000001</v>
      </c>
      <c r="M1031" s="24">
        <v>524.61030000000005</v>
      </c>
      <c r="N1031" s="24">
        <v>10</v>
      </c>
      <c r="O1031" s="24">
        <v>5.9374999999999991</v>
      </c>
      <c r="P1031" s="24">
        <v>8.536585365853659</v>
      </c>
      <c r="Q1031" s="24">
        <v>8.1539697245429714</v>
      </c>
      <c r="R1031" s="24">
        <v>4.66</v>
      </c>
      <c r="S1031" s="24">
        <v>6.9399403488720086</v>
      </c>
      <c r="T1031" s="24">
        <v>0.16526311033336102</v>
      </c>
      <c r="U1031" s="24" t="s">
        <v>3210</v>
      </c>
      <c r="V1031">
        <v>1</v>
      </c>
      <c r="W1031" s="21">
        <v>1</v>
      </c>
      <c r="X1031" s="56" t="str">
        <f>IFERROR(VLOOKUP(A1031,Output!A:F,6,0),"-")</f>
        <v>-</v>
      </c>
    </row>
    <row r="1032" spans="1:24" hidden="1" x14ac:dyDescent="0.25">
      <c r="A1032" s="21" t="s">
        <v>432</v>
      </c>
      <c r="B1032" s="40" t="s">
        <v>863</v>
      </c>
      <c r="C1032" s="21" t="s">
        <v>244</v>
      </c>
      <c r="D1032" s="21" t="s">
        <v>73</v>
      </c>
      <c r="E1032" s="21" t="s">
        <v>93</v>
      </c>
      <c r="F1032" s="55">
        <v>1.3489235241432863E-4</v>
      </c>
      <c r="G1032" s="24">
        <v>3.4035039999999999</v>
      </c>
      <c r="H1032" s="24">
        <v>2.5328249999999999</v>
      </c>
      <c r="I1032" s="24">
        <v>3.6089370000000001</v>
      </c>
      <c r="J1032" s="24">
        <v>3.170668</v>
      </c>
      <c r="K1032" s="24">
        <v>5.292802</v>
      </c>
      <c r="L1032" s="24">
        <v>9.5836109999999994</v>
      </c>
      <c r="M1032" s="24">
        <v>1.4744999999999999</v>
      </c>
      <c r="N1032" s="24">
        <v>5.2213541666666661</v>
      </c>
      <c r="O1032" s="24">
        <v>3.1958762886597931</v>
      </c>
      <c r="P1032" s="24">
        <v>6.6062176165803121</v>
      </c>
      <c r="Q1032" s="24">
        <v>6.0539525264511376</v>
      </c>
      <c r="R1032" s="24">
        <v>7.25</v>
      </c>
      <c r="S1032" s="24">
        <v>6.9540565453390313</v>
      </c>
      <c r="T1032" s="24">
        <v>0.78655362697567854</v>
      </c>
      <c r="U1032" s="24" t="s">
        <v>2978</v>
      </c>
      <c r="V1032">
        <v>0</v>
      </c>
      <c r="W1032" s="21">
        <v>1</v>
      </c>
      <c r="X1032" s="56" t="str">
        <f>IFERROR(VLOOKUP(A1032,Output!A:F,6,0),"-")</f>
        <v>-</v>
      </c>
    </row>
    <row r="1033" spans="1:24" x14ac:dyDescent="0.25">
      <c r="A1033" s="21" t="s">
        <v>1377</v>
      </c>
      <c r="B1033" s="40" t="s">
        <v>1378</v>
      </c>
      <c r="C1033" s="21" t="s">
        <v>248</v>
      </c>
      <c r="D1033" s="21" t="s">
        <v>75</v>
      </c>
      <c r="E1033" s="21" t="s">
        <v>87</v>
      </c>
      <c r="F1033" s="55">
        <v>1.3483470447608556E-4</v>
      </c>
      <c r="G1033" s="21">
        <v>4.2615470000000002</v>
      </c>
      <c r="H1033" s="21">
        <v>5.2937120000000002</v>
      </c>
      <c r="I1033" s="21">
        <v>3.8081399999999999</v>
      </c>
      <c r="J1033" s="21">
        <v>4.454466</v>
      </c>
      <c r="K1033" s="24">
        <v>3.5774180000000002</v>
      </c>
      <c r="L1033" s="24">
        <v>9.4403369999999995</v>
      </c>
      <c r="M1033" s="24">
        <v>846.72149999999999</v>
      </c>
      <c r="N1033" s="24">
        <v>3.3011880424300868</v>
      </c>
      <c r="O1033" s="24">
        <v>2.6666666666666665</v>
      </c>
      <c r="P1033" s="24">
        <v>5.1219512195121952</v>
      </c>
      <c r="Q1033" s="24">
        <v>8.9716285650457976</v>
      </c>
      <c r="R1033" s="24">
        <v>5.96</v>
      </c>
      <c r="S1033" s="24">
        <v>6.7404463457197856</v>
      </c>
      <c r="T1033" s="24">
        <v>0.48773330446150287</v>
      </c>
      <c r="U1033" s="24" t="s">
        <v>3332</v>
      </c>
      <c r="V1033">
        <v>0</v>
      </c>
      <c r="W1033" s="21">
        <v>1</v>
      </c>
      <c r="X1033" s="56" t="str">
        <f>IFERROR(VLOOKUP(A1033,Output!A:F,6,0),"-")</f>
        <v>-</v>
      </c>
    </row>
    <row r="1034" spans="1:24" hidden="1" x14ac:dyDescent="0.25">
      <c r="A1034" s="21" t="s">
        <v>474</v>
      </c>
      <c r="B1034" s="40" t="s">
        <v>851</v>
      </c>
      <c r="C1034" s="21" t="s">
        <v>244</v>
      </c>
      <c r="D1034" s="21" t="s">
        <v>73</v>
      </c>
      <c r="E1034" s="21" t="s">
        <v>101</v>
      </c>
      <c r="F1034" s="55">
        <v>1.3479536705225827E-4</v>
      </c>
      <c r="G1034" s="21">
        <v>6.7128579999999998</v>
      </c>
      <c r="H1034" s="21">
        <v>5.0862660000000002</v>
      </c>
      <c r="I1034" s="21">
        <v>5.9343579999999996</v>
      </c>
      <c r="J1034" s="21">
        <v>5.7508210000000002</v>
      </c>
      <c r="K1034" s="24">
        <v>3.8587220000000002</v>
      </c>
      <c r="L1034" s="24">
        <v>3.4377930000000001</v>
      </c>
      <c r="M1034" s="24">
        <v>44.376199999999997</v>
      </c>
      <c r="N1034" s="24">
        <v>4.1195099864037141</v>
      </c>
      <c r="O1034" s="24">
        <v>0.4081632653061224</v>
      </c>
      <c r="P1034" s="24">
        <v>4.7449470442538875</v>
      </c>
      <c r="Q1034" s="24">
        <v>3.7836976337403487</v>
      </c>
      <c r="R1034" s="24">
        <v>8.32</v>
      </c>
      <c r="S1034" s="24">
        <v>4.8904911836369065</v>
      </c>
      <c r="T1034" s="24">
        <v>1.1932266957480087</v>
      </c>
      <c r="U1034" s="24" t="s">
        <v>2960</v>
      </c>
      <c r="V1034">
        <v>0</v>
      </c>
      <c r="W1034" s="21">
        <v>0</v>
      </c>
      <c r="X1034" s="56" t="str">
        <f>IFERROR(VLOOKUP(A1034,Output!A:F,6,0),"-")</f>
        <v>-</v>
      </c>
    </row>
    <row r="1035" spans="1:24" x14ac:dyDescent="0.25">
      <c r="A1035" s="21" t="s">
        <v>1089</v>
      </c>
      <c r="B1035" s="40" t="s">
        <v>1090</v>
      </c>
      <c r="C1035" s="21" t="s">
        <v>248</v>
      </c>
      <c r="D1035" s="21" t="s">
        <v>75</v>
      </c>
      <c r="E1035" s="21" t="s">
        <v>88</v>
      </c>
      <c r="F1035" s="55">
        <v>1.3468731489576079E-4</v>
      </c>
      <c r="G1035" s="24">
        <v>6.1264659999999997</v>
      </c>
      <c r="H1035" s="24">
        <v>3.7232940000000001</v>
      </c>
      <c r="I1035" s="24">
        <v>4.1852070000000001</v>
      </c>
      <c r="J1035" s="24">
        <v>4.823137</v>
      </c>
      <c r="K1035" s="24">
        <v>2.3201420000000001</v>
      </c>
      <c r="L1035" s="24">
        <v>12.725149999999999</v>
      </c>
      <c r="M1035" s="24">
        <v>13.0755</v>
      </c>
      <c r="N1035" s="24">
        <v>5.3324583792334703</v>
      </c>
      <c r="O1035" s="24">
        <v>7.8947368421052637</v>
      </c>
      <c r="P1035" s="24">
        <v>4.7542859540897844</v>
      </c>
      <c r="Q1035" s="24">
        <v>6.7309457256912903</v>
      </c>
      <c r="R1035" s="24">
        <v>5.03</v>
      </c>
      <c r="S1035" s="24">
        <v>6.0982689803367744</v>
      </c>
      <c r="T1035" s="24">
        <v>8.0134016881404924E-2</v>
      </c>
      <c r="U1035" s="24" t="s">
        <v>3206</v>
      </c>
      <c r="V1035">
        <v>0</v>
      </c>
      <c r="W1035" s="21">
        <v>0</v>
      </c>
      <c r="X1035" s="56" t="str">
        <f>IFERROR(VLOOKUP(A1035,Output!A:F,6,0),"-")</f>
        <v>-</v>
      </c>
    </row>
    <row r="1036" spans="1:24" hidden="1" x14ac:dyDescent="0.25">
      <c r="A1036" s="21" t="s">
        <v>1778</v>
      </c>
      <c r="B1036" s="40" t="s">
        <v>1779</v>
      </c>
      <c r="C1036" s="21" t="s">
        <v>246</v>
      </c>
      <c r="D1036" s="21" t="s">
        <v>74</v>
      </c>
      <c r="E1036" s="21" t="s">
        <v>86</v>
      </c>
      <c r="F1036" s="55">
        <v>1.3456004675984896E-4</v>
      </c>
      <c r="G1036" s="21">
        <v>4.7727529999999998</v>
      </c>
      <c r="H1036" s="21">
        <v>5.9685930000000003</v>
      </c>
      <c r="I1036" s="21">
        <v>3.5239940000000001</v>
      </c>
      <c r="J1036" s="21">
        <v>4.7551129999999997</v>
      </c>
      <c r="K1036" s="24">
        <v>1.826025</v>
      </c>
      <c r="L1036" s="24">
        <v>3.5465300000000002</v>
      </c>
      <c r="M1036" s="24">
        <v>140.18260000000001</v>
      </c>
      <c r="N1036" s="24">
        <v>3.9396346306592536</v>
      </c>
      <c r="O1036" s="24">
        <v>6.1855670103092777</v>
      </c>
      <c r="P1036" s="24">
        <v>0</v>
      </c>
      <c r="Q1036" s="24">
        <v>2.0077165280032077</v>
      </c>
      <c r="R1036" s="24">
        <v>3.86</v>
      </c>
      <c r="S1036" s="24">
        <v>2.5056314372228612</v>
      </c>
      <c r="T1036" s="24">
        <v>0.5498990979663777</v>
      </c>
      <c r="U1036" s="24" t="s">
        <v>3535</v>
      </c>
      <c r="V1036">
        <v>0</v>
      </c>
      <c r="W1036" s="21">
        <v>0</v>
      </c>
      <c r="X1036" s="56" t="str">
        <f>IFERROR(VLOOKUP(A1036,Output!A:F,6,0),"-")</f>
        <v>-</v>
      </c>
    </row>
    <row r="1037" spans="1:24" hidden="1" x14ac:dyDescent="0.25">
      <c r="A1037" s="21" t="s">
        <v>481</v>
      </c>
      <c r="B1037" s="40" t="s">
        <v>852</v>
      </c>
      <c r="C1037" s="21" t="s">
        <v>244</v>
      </c>
      <c r="D1037" s="21" t="s">
        <v>73</v>
      </c>
      <c r="E1037" s="21" t="s">
        <v>89</v>
      </c>
      <c r="F1037" s="55">
        <v>1.344736251560954E-4</v>
      </c>
      <c r="G1037" s="24">
        <v>6.473922</v>
      </c>
      <c r="H1037" s="24">
        <v>5.1764080000000003</v>
      </c>
      <c r="I1037" s="24">
        <v>5.090751</v>
      </c>
      <c r="J1037" s="24">
        <v>5.5356820000000004</v>
      </c>
      <c r="K1037" s="24">
        <v>13.471500000000001</v>
      </c>
      <c r="L1037" s="24">
        <v>14.242190000000001</v>
      </c>
      <c r="M1037" s="53">
        <v>0.30177999999999999</v>
      </c>
      <c r="N1037" s="24">
        <v>6.9856770833333321</v>
      </c>
      <c r="O1037" s="24">
        <v>0.61855670103092786</v>
      </c>
      <c r="P1037" s="24">
        <v>4.8186528497409338</v>
      </c>
      <c r="Q1037" s="24">
        <v>4.4253115884274248</v>
      </c>
      <c r="R1037" s="24">
        <v>5.19</v>
      </c>
      <c r="S1037" s="24">
        <v>6.1554517575567775</v>
      </c>
      <c r="T1037" s="24">
        <v>1.2579612543294341</v>
      </c>
      <c r="U1037" s="24" t="s">
        <v>2962</v>
      </c>
      <c r="V1037">
        <v>0</v>
      </c>
      <c r="W1037" s="21">
        <v>0</v>
      </c>
      <c r="X1037" s="56" t="str">
        <f>IFERROR(VLOOKUP(A1037,Output!A:F,6,0),"-")</f>
        <v>-</v>
      </c>
    </row>
    <row r="1038" spans="1:24" x14ac:dyDescent="0.25">
      <c r="A1038" s="21" t="s">
        <v>1464</v>
      </c>
      <c r="B1038" s="40" t="s">
        <v>1465</v>
      </c>
      <c r="C1038" s="21" t="s">
        <v>248</v>
      </c>
      <c r="D1038" s="21" t="s">
        <v>75</v>
      </c>
      <c r="E1038" s="21" t="s">
        <v>92</v>
      </c>
      <c r="F1038" s="55">
        <v>1.3420872634039909E-4</v>
      </c>
      <c r="G1038" s="21">
        <v>5.5842700000000001</v>
      </c>
      <c r="H1038" s="21">
        <v>3.5316169999999998</v>
      </c>
      <c r="I1038" s="21">
        <v>2.1862699999999999</v>
      </c>
      <c r="J1038" s="21">
        <v>3.9490750000000001</v>
      </c>
      <c r="K1038" s="24">
        <v>1.3928910000000001</v>
      </c>
      <c r="L1038" s="24">
        <v>4.0060539999999998</v>
      </c>
      <c r="M1038" s="24">
        <v>14.759600000000001</v>
      </c>
      <c r="N1038" s="24">
        <v>6.3416553315800606</v>
      </c>
      <c r="O1038" s="24">
        <v>2.736842105263158</v>
      </c>
      <c r="P1038" s="24">
        <v>8.6971429167020364</v>
      </c>
      <c r="Q1038" s="24">
        <v>3.8276933164265179</v>
      </c>
      <c r="R1038" s="24">
        <v>4.34</v>
      </c>
      <c r="S1038" s="24">
        <v>5.486643549112987</v>
      </c>
      <c r="T1038" s="24">
        <v>0.4813669796739462</v>
      </c>
      <c r="U1038" s="24" t="s">
        <v>3355</v>
      </c>
      <c r="V1038">
        <v>0</v>
      </c>
      <c r="W1038" s="21">
        <v>1</v>
      </c>
      <c r="X1038" s="56" t="str">
        <f>IFERROR(VLOOKUP(A1038,Output!A:F,6,0),"-")</f>
        <v>-</v>
      </c>
    </row>
    <row r="1039" spans="1:24" x14ac:dyDescent="0.25">
      <c r="A1039" s="21" t="s">
        <v>310</v>
      </c>
      <c r="B1039" s="40" t="s">
        <v>311</v>
      </c>
      <c r="C1039" s="21" t="s">
        <v>253</v>
      </c>
      <c r="D1039" s="21" t="s">
        <v>75</v>
      </c>
      <c r="E1039" s="21" t="s">
        <v>97</v>
      </c>
      <c r="F1039" s="55">
        <v>1.341474565421617E-4</v>
      </c>
      <c r="G1039" s="24">
        <v>2.5480109999999998</v>
      </c>
      <c r="H1039" s="24">
        <v>2.6239659999999998</v>
      </c>
      <c r="I1039" s="24">
        <v>2.480477</v>
      </c>
      <c r="J1039" s="24">
        <v>2.5505369999999998</v>
      </c>
      <c r="K1039" s="24">
        <v>6.3538309999999996</v>
      </c>
      <c r="L1039" s="24">
        <v>11.15807</v>
      </c>
      <c r="M1039" s="24">
        <v>44.015700000000002</v>
      </c>
      <c r="N1039" s="24">
        <v>0</v>
      </c>
      <c r="O1039" s="24">
        <v>1.2087912087912087</v>
      </c>
      <c r="P1039" s="24">
        <v>6.8220338983050857</v>
      </c>
      <c r="Q1039" s="24">
        <v>9.4743716738214214</v>
      </c>
      <c r="R1039" s="24">
        <v>6.18</v>
      </c>
      <c r="S1039" s="24">
        <v>6.3099146608334387</v>
      </c>
      <c r="T1039" s="24">
        <v>0.40851858117756285</v>
      </c>
      <c r="U1039" s="24" t="s">
        <v>3804</v>
      </c>
      <c r="V1039">
        <v>0</v>
      </c>
      <c r="W1039" s="21">
        <v>1</v>
      </c>
      <c r="X1039" s="56" t="str">
        <f>IFERROR(VLOOKUP(A1039,Output!A:F,6,0),"-")</f>
        <v>-</v>
      </c>
    </row>
    <row r="1040" spans="1:24" hidden="1" x14ac:dyDescent="0.25">
      <c r="A1040" s="21" t="s">
        <v>4236</v>
      </c>
      <c r="B1040" s="40" t="s">
        <v>4237</v>
      </c>
      <c r="C1040" s="21" t="s">
        <v>245</v>
      </c>
      <c r="D1040" s="21" t="s">
        <v>73</v>
      </c>
      <c r="E1040" s="21" t="s">
        <v>99</v>
      </c>
      <c r="F1040" s="55">
        <v>1.3396243986078476E-4</v>
      </c>
      <c r="G1040" s="21">
        <v>3.3565260000000001</v>
      </c>
      <c r="H1040" s="21">
        <v>2.7493409999999998</v>
      </c>
      <c r="I1040" s="21">
        <v>6.3313680000000003</v>
      </c>
      <c r="J1040" s="21">
        <v>4.1457449999999998</v>
      </c>
      <c r="K1040" s="24">
        <v>0</v>
      </c>
      <c r="L1040" s="24">
        <v>1.9645710000000001</v>
      </c>
      <c r="M1040" s="24">
        <v>19.653400000000001</v>
      </c>
      <c r="N1040" s="24">
        <v>7.3934496758839519</v>
      </c>
      <c r="O1040" s="24">
        <v>7.2916666666666679</v>
      </c>
      <c r="P1040" s="24">
        <v>7.9402985074626873</v>
      </c>
      <c r="Q1040" s="24">
        <v>0.49270167302488516</v>
      </c>
      <c r="R1040" s="24" t="e">
        <v>#N/A</v>
      </c>
      <c r="S1040" s="24">
        <v>4.9160659850310493</v>
      </c>
      <c r="T1040" s="24">
        <v>1.096597287639417</v>
      </c>
      <c r="U1040" s="24" t="s">
        <v>4238</v>
      </c>
      <c r="V1040">
        <v>0</v>
      </c>
      <c r="W1040" s="21">
        <v>1</v>
      </c>
      <c r="X1040" s="56" t="str">
        <f>IFERROR(VLOOKUP(A1040,Output!A:F,6,0),"-")</f>
        <v>-</v>
      </c>
    </row>
    <row r="1041" spans="1:24" hidden="1" x14ac:dyDescent="0.25">
      <c r="A1041" s="21" t="s">
        <v>447</v>
      </c>
      <c r="B1041" s="40" t="s">
        <v>704</v>
      </c>
      <c r="C1041" s="21" t="s">
        <v>244</v>
      </c>
      <c r="D1041" s="21" t="s">
        <v>73</v>
      </c>
      <c r="E1041" s="21" t="s">
        <v>89</v>
      </c>
      <c r="F1041" s="55">
        <v>1.3359260771247499E-4</v>
      </c>
      <c r="G1041" s="24">
        <v>3.632015</v>
      </c>
      <c r="H1041" s="24">
        <v>4.4584000000000001</v>
      </c>
      <c r="I1041" s="24">
        <v>4.1190389999999999</v>
      </c>
      <c r="J1041" s="24">
        <v>4.0917079999999997</v>
      </c>
      <c r="K1041" s="24">
        <v>1.325113</v>
      </c>
      <c r="L1041" s="24">
        <v>6.5887849999999997</v>
      </c>
      <c r="M1041" s="24">
        <v>5.2389999999999999</v>
      </c>
      <c r="N1041" s="24">
        <v>5.5208333333333339</v>
      </c>
      <c r="O1041" s="24">
        <v>7.8350515463917514</v>
      </c>
      <c r="P1041" s="24">
        <v>7.4093264248704678</v>
      </c>
      <c r="Q1041" s="24">
        <v>2.2973164244722142</v>
      </c>
      <c r="R1041" s="24">
        <v>3.06</v>
      </c>
      <c r="S1041" s="24">
        <v>5.1509917573734807</v>
      </c>
      <c r="T1041" s="24">
        <v>0.95022229095966515</v>
      </c>
      <c r="U1041" s="24" t="s">
        <v>2931</v>
      </c>
      <c r="V1041">
        <v>0</v>
      </c>
      <c r="W1041" s="21">
        <v>1</v>
      </c>
      <c r="X1041" s="56" t="str">
        <f>IFERROR(VLOOKUP(A1041,Output!A:F,6,0),"-")</f>
        <v>-</v>
      </c>
    </row>
    <row r="1042" spans="1:24" hidden="1" x14ac:dyDescent="0.25">
      <c r="A1042" s="21" t="s">
        <v>435</v>
      </c>
      <c r="B1042" s="40" t="s">
        <v>711</v>
      </c>
      <c r="C1042" s="21" t="s">
        <v>244</v>
      </c>
      <c r="D1042" s="21" t="s">
        <v>73</v>
      </c>
      <c r="E1042" s="21" t="s">
        <v>103</v>
      </c>
      <c r="F1042" s="55">
        <v>1.3312106166265782E-4</v>
      </c>
      <c r="G1042" s="24">
        <v>5.5000049999999998</v>
      </c>
      <c r="H1042" s="24">
        <v>4.2605320000000004</v>
      </c>
      <c r="I1042" s="24">
        <v>7.3460559999999999</v>
      </c>
      <c r="J1042" s="24">
        <v>5.681978</v>
      </c>
      <c r="K1042" s="24">
        <v>2.1513100000000001</v>
      </c>
      <c r="L1042" s="24">
        <v>10.44097</v>
      </c>
      <c r="M1042" s="24">
        <v>25.2103</v>
      </c>
      <c r="N1042" s="24">
        <v>4.1469597376621179</v>
      </c>
      <c r="O1042" s="24">
        <v>0.51020408163265296</v>
      </c>
      <c r="P1042" s="24">
        <v>5.0625601349857945</v>
      </c>
      <c r="Q1042" s="24">
        <v>9.2003372105995567</v>
      </c>
      <c r="R1042" s="24">
        <v>6.21</v>
      </c>
      <c r="S1042" s="24">
        <v>7.0797522735958118</v>
      </c>
      <c r="T1042" s="24">
        <v>1.0542822834383474</v>
      </c>
      <c r="U1042" s="24" t="s">
        <v>2925</v>
      </c>
      <c r="V1042">
        <v>0</v>
      </c>
      <c r="W1042" s="21">
        <v>0</v>
      </c>
      <c r="X1042" s="56" t="str">
        <f>IFERROR(VLOOKUP(A1042,Output!A:F,6,0),"-")</f>
        <v>-</v>
      </c>
    </row>
    <row r="1043" spans="1:24" hidden="1" x14ac:dyDescent="0.25">
      <c r="A1043" s="21" t="s">
        <v>1912</v>
      </c>
      <c r="B1043" s="40" t="s">
        <v>1913</v>
      </c>
      <c r="C1043" s="21" t="s">
        <v>247</v>
      </c>
      <c r="D1043" s="21" t="s">
        <v>74</v>
      </c>
      <c r="E1043" s="21" t="s">
        <v>92</v>
      </c>
      <c r="F1043" s="55">
        <v>1.3295284638736567E-4</v>
      </c>
      <c r="G1043" s="24">
        <v>7.2248010000000003</v>
      </c>
      <c r="H1043" s="24">
        <v>6.3606040000000004</v>
      </c>
      <c r="I1043" s="24">
        <v>6.9762190000000004</v>
      </c>
      <c r="J1043" s="24">
        <v>6.8909669999999998</v>
      </c>
      <c r="K1043" s="24">
        <v>1.688137</v>
      </c>
      <c r="L1043" s="24">
        <v>3.1680820000000001</v>
      </c>
      <c r="M1043" s="24">
        <v>24.9207</v>
      </c>
      <c r="N1043" s="24">
        <v>4.7481481481481493</v>
      </c>
      <c r="O1043" s="24">
        <v>1.9387755102040813</v>
      </c>
      <c r="P1043" s="24">
        <v>4.904109589041096</v>
      </c>
      <c r="Q1043" s="24">
        <v>1.2608246488576142</v>
      </c>
      <c r="R1043" s="24">
        <v>4.8</v>
      </c>
      <c r="S1043" s="24">
        <v>3.4307985449527774</v>
      </c>
      <c r="T1043" s="24">
        <v>0.55290401365098019</v>
      </c>
      <c r="U1043" s="24" t="s">
        <v>3577</v>
      </c>
      <c r="V1043">
        <v>0</v>
      </c>
      <c r="W1043" s="21">
        <v>0</v>
      </c>
      <c r="X1043" s="56" t="str">
        <f>IFERROR(VLOOKUP(A1043,Output!A:F,6,0),"-")</f>
        <v>-</v>
      </c>
    </row>
    <row r="1044" spans="1:24" hidden="1" x14ac:dyDescent="0.25">
      <c r="A1044" s="21" t="s">
        <v>2015</v>
      </c>
      <c r="B1044" s="40" t="s">
        <v>2016</v>
      </c>
      <c r="C1044" s="21" t="s">
        <v>249</v>
      </c>
      <c r="D1044" s="21" t="s">
        <v>74</v>
      </c>
      <c r="E1044" s="21" t="s">
        <v>92</v>
      </c>
      <c r="F1044" s="55">
        <v>1.3293845955461044E-4</v>
      </c>
      <c r="G1044" s="24">
        <v>5.6984640000000004</v>
      </c>
      <c r="H1044" s="24">
        <v>6.010383</v>
      </c>
      <c r="I1044" s="24">
        <v>5.9578990000000003</v>
      </c>
      <c r="J1044" s="24">
        <v>5.8698699999999997</v>
      </c>
      <c r="K1044" s="24">
        <v>3.1329880000000001</v>
      </c>
      <c r="L1044" s="24">
        <v>5.952807</v>
      </c>
      <c r="M1044" s="24">
        <v>31.210999999999999</v>
      </c>
      <c r="N1044" s="24">
        <v>4.7925925925925918</v>
      </c>
      <c r="O1044" s="24">
        <v>6.9387755102040805</v>
      </c>
      <c r="P1044" s="24">
        <v>5.1780821917808231</v>
      </c>
      <c r="Q1044" s="24">
        <v>4.0583890274768173</v>
      </c>
      <c r="R1044" s="24">
        <v>6.95</v>
      </c>
      <c r="S1044" s="24">
        <v>5.6183195554754803</v>
      </c>
      <c r="T1044" s="24">
        <v>0.43253432230136291</v>
      </c>
      <c r="U1044" s="24" t="s">
        <v>3669</v>
      </c>
      <c r="V1044">
        <v>0</v>
      </c>
      <c r="W1044" s="21">
        <v>0</v>
      </c>
      <c r="X1044" s="56" t="str">
        <f>IFERROR(VLOOKUP(A1044,Output!A:F,6,0),"-")</f>
        <v>-</v>
      </c>
    </row>
    <row r="1045" spans="1:24" hidden="1" x14ac:dyDescent="0.25">
      <c r="A1045" s="21" t="s">
        <v>415</v>
      </c>
      <c r="B1045" s="40" t="s">
        <v>4474</v>
      </c>
      <c r="C1045" s="21" t="s">
        <v>244</v>
      </c>
      <c r="D1045" s="21" t="s">
        <v>73</v>
      </c>
      <c r="E1045" s="21" t="s">
        <v>92</v>
      </c>
      <c r="F1045" s="55">
        <v>1.3280887745259113E-4</v>
      </c>
      <c r="G1045" s="24">
        <v>5.029096</v>
      </c>
      <c r="H1045" s="24">
        <v>3.9345819999999998</v>
      </c>
      <c r="I1045" s="24">
        <v>5.9176320000000002</v>
      </c>
      <c r="J1045" s="24">
        <v>4.9673030000000002</v>
      </c>
      <c r="K1045" s="24">
        <v>2.2926129999999998</v>
      </c>
      <c r="L1045" s="24">
        <v>3.9388679999999998</v>
      </c>
      <c r="M1045" s="24">
        <v>1.2184999999999999</v>
      </c>
      <c r="N1045" s="24">
        <v>0.57054829545454566</v>
      </c>
      <c r="O1045" s="24">
        <v>0.80808080808080818</v>
      </c>
      <c r="P1045" s="24">
        <v>7.8681771457541627</v>
      </c>
      <c r="Q1045" s="24">
        <v>6.3955402176798515</v>
      </c>
      <c r="R1045" s="24">
        <v>6.6100009999999996</v>
      </c>
      <c r="S1045" s="24">
        <v>5.6616598410193228</v>
      </c>
      <c r="T1045" s="24">
        <v>1.0776612465516606</v>
      </c>
      <c r="U1045" s="24" t="s">
        <v>2930</v>
      </c>
      <c r="V1045">
        <v>0</v>
      </c>
      <c r="W1045" s="21">
        <v>0</v>
      </c>
      <c r="X1045" s="56" t="str">
        <f>IFERROR(VLOOKUP(A1045,Output!A:F,6,0),"-")</f>
        <v>-</v>
      </c>
    </row>
    <row r="1046" spans="1:24" hidden="1" x14ac:dyDescent="0.25">
      <c r="A1046" s="21" t="s">
        <v>1990</v>
      </c>
      <c r="B1046" s="40" t="s">
        <v>1991</v>
      </c>
      <c r="C1046" s="21" t="s">
        <v>249</v>
      </c>
      <c r="D1046" s="21" t="s">
        <v>74</v>
      </c>
      <c r="E1046" s="21" t="s">
        <v>91</v>
      </c>
      <c r="F1046" s="55">
        <v>1.3269740465054344E-4</v>
      </c>
      <c r="G1046" s="24">
        <v>3.99132</v>
      </c>
      <c r="H1046" s="24">
        <v>4.9179630000000003</v>
      </c>
      <c r="I1046" s="24">
        <v>3.46455</v>
      </c>
      <c r="J1046" s="24">
        <v>4.1512690000000001</v>
      </c>
      <c r="K1046" s="24">
        <v>1.116066</v>
      </c>
      <c r="L1046" s="24">
        <v>5.1247319999999998</v>
      </c>
      <c r="M1046" s="24">
        <v>23.048500000000001</v>
      </c>
      <c r="N1046" s="24">
        <v>5.7519904436860081</v>
      </c>
      <c r="O1046" s="24">
        <v>6.2886597938144329</v>
      </c>
      <c r="P1046" s="24">
        <v>3.3333333333333344</v>
      </c>
      <c r="Q1046" s="24">
        <v>6.235978534792018</v>
      </c>
      <c r="R1046" s="24">
        <v>4.97</v>
      </c>
      <c r="S1046" s="24">
        <v>4.6710126205374074</v>
      </c>
      <c r="T1046" s="24">
        <v>0.35964583061711469</v>
      </c>
      <c r="U1046" s="24" t="s">
        <v>3656</v>
      </c>
      <c r="V1046">
        <v>0</v>
      </c>
      <c r="W1046" s="21">
        <v>1</v>
      </c>
      <c r="X1046" s="56" t="str">
        <f>IFERROR(VLOOKUP(A1046,Output!A:F,6,0),"-")</f>
        <v>-</v>
      </c>
    </row>
    <row r="1047" spans="1:24" x14ac:dyDescent="0.25">
      <c r="A1047" s="21" t="s">
        <v>1450</v>
      </c>
      <c r="B1047" s="40" t="s">
        <v>1451</v>
      </c>
      <c r="C1047" s="21" t="s">
        <v>255</v>
      </c>
      <c r="D1047" s="21" t="s">
        <v>75</v>
      </c>
      <c r="E1047" s="21" t="s">
        <v>97</v>
      </c>
      <c r="F1047" s="55">
        <v>1.3250957096694869E-4</v>
      </c>
      <c r="G1047" s="24">
        <v>5.7995479999999997</v>
      </c>
      <c r="H1047" s="24">
        <v>6.8444479999999999</v>
      </c>
      <c r="I1047" s="24">
        <v>4.4772160000000003</v>
      </c>
      <c r="J1047" s="24">
        <v>5.4795949999999998</v>
      </c>
      <c r="K1047" s="24">
        <v>5.4788399999999999</v>
      </c>
      <c r="L1047" s="24">
        <v>4.79312</v>
      </c>
      <c r="M1047" s="24">
        <v>28.0337</v>
      </c>
      <c r="N1047" s="24">
        <v>4.8882222222222218</v>
      </c>
      <c r="O1047" s="24">
        <v>4.7252747252747245</v>
      </c>
      <c r="P1047" s="24">
        <v>5.0847457627118642</v>
      </c>
      <c r="Q1047" s="24">
        <v>3.8678390770268125</v>
      </c>
      <c r="R1047" s="24">
        <v>6.83</v>
      </c>
      <c r="S1047" s="24">
        <v>4.787398869002458</v>
      </c>
      <c r="T1047" s="24">
        <v>0.3082287055562718</v>
      </c>
      <c r="U1047" s="24" t="s">
        <v>3373</v>
      </c>
      <c r="V1047">
        <v>0</v>
      </c>
      <c r="W1047" s="21">
        <v>0</v>
      </c>
      <c r="X1047" s="56" t="str">
        <f>IFERROR(VLOOKUP(A1047,Output!A:F,6,0),"-")</f>
        <v>-</v>
      </c>
    </row>
    <row r="1048" spans="1:24" hidden="1" x14ac:dyDescent="0.25">
      <c r="A1048" s="21" t="s">
        <v>4205</v>
      </c>
      <c r="B1048" s="40" t="s">
        <v>4206</v>
      </c>
      <c r="C1048" s="21" t="s">
        <v>244</v>
      </c>
      <c r="D1048" s="21" t="s">
        <v>73</v>
      </c>
      <c r="E1048" s="21" t="s">
        <v>99</v>
      </c>
      <c r="F1048" s="55">
        <v>1.3203430244991513E-4</v>
      </c>
      <c r="G1048" s="21">
        <v>0</v>
      </c>
      <c r="H1048" s="21">
        <v>2.5556399999999999</v>
      </c>
      <c r="I1048" s="21">
        <v>0</v>
      </c>
      <c r="J1048" s="21">
        <v>0.89447410000000005</v>
      </c>
      <c r="K1048" s="24">
        <v>0</v>
      </c>
      <c r="L1048" s="24">
        <v>2.1129310000000001</v>
      </c>
      <c r="M1048" s="24">
        <v>23.138300000000001</v>
      </c>
      <c r="N1048" s="24">
        <v>7.6302294893630211</v>
      </c>
      <c r="O1048" s="24">
        <v>9.375</v>
      </c>
      <c r="P1048" s="24">
        <v>4.9353229850746274</v>
      </c>
      <c r="Q1048" s="24">
        <v>2.1330224673515543</v>
      </c>
      <c r="R1048" s="24" t="e">
        <v>#N/A</v>
      </c>
      <c r="S1048" s="24">
        <v>3.6842589788250364</v>
      </c>
      <c r="T1048" s="24">
        <v>1.8090209768151309</v>
      </c>
      <c r="U1048" s="24" t="s">
        <v>4207</v>
      </c>
      <c r="V1048">
        <v>0</v>
      </c>
      <c r="W1048" s="21">
        <v>1</v>
      </c>
      <c r="X1048" s="56" t="str">
        <f>IFERROR(VLOOKUP(A1048,Output!A:F,6,0),"-")</f>
        <v>-</v>
      </c>
    </row>
    <row r="1049" spans="1:24" hidden="1" x14ac:dyDescent="0.25">
      <c r="A1049" s="21" t="s">
        <v>448</v>
      </c>
      <c r="B1049" s="40" t="s">
        <v>718</v>
      </c>
      <c r="C1049" s="21" t="s">
        <v>244</v>
      </c>
      <c r="D1049" s="21" t="s">
        <v>73</v>
      </c>
      <c r="E1049" s="21" t="s">
        <v>92</v>
      </c>
      <c r="F1049" s="55">
        <v>1.3193902741061989E-4</v>
      </c>
      <c r="G1049" s="24">
        <v>4.4844419999999996</v>
      </c>
      <c r="H1049" s="24">
        <v>3.4757859999999998</v>
      </c>
      <c r="I1049" s="24">
        <v>7.1140400000000001</v>
      </c>
      <c r="J1049" s="24">
        <v>4.9707249999999998</v>
      </c>
      <c r="K1049" s="24">
        <v>1.0771820000000001</v>
      </c>
      <c r="L1049" s="24">
        <v>4.2847910000000002</v>
      </c>
      <c r="M1049" s="24">
        <v>33.216999999999999</v>
      </c>
      <c r="N1049" s="24">
        <v>9.962120738636365</v>
      </c>
      <c r="O1049" s="24">
        <v>2.5252525252525255</v>
      </c>
      <c r="P1049" s="24">
        <v>5.7054583081134567</v>
      </c>
      <c r="Q1049" s="24">
        <v>4.4804884523493493</v>
      </c>
      <c r="R1049" s="24">
        <v>7.33</v>
      </c>
      <c r="S1049" s="24">
        <v>6.0157889208982187</v>
      </c>
      <c r="T1049" s="24">
        <v>0.95544063921341837</v>
      </c>
      <c r="U1049" s="24" t="s">
        <v>2945</v>
      </c>
      <c r="V1049">
        <v>0</v>
      </c>
      <c r="W1049" s="21">
        <v>0</v>
      </c>
      <c r="X1049" s="56" t="str">
        <f>IFERROR(VLOOKUP(A1049,Output!A:F,6,0),"-")</f>
        <v>-</v>
      </c>
    </row>
    <row r="1050" spans="1:24" hidden="1" x14ac:dyDescent="0.25">
      <c r="A1050" s="21" t="s">
        <v>1780</v>
      </c>
      <c r="B1050" s="40" t="s">
        <v>1781</v>
      </c>
      <c r="C1050" s="21" t="s">
        <v>247</v>
      </c>
      <c r="D1050" s="21" t="s">
        <v>74</v>
      </c>
      <c r="E1050" s="21" t="s">
        <v>102</v>
      </c>
      <c r="F1050" s="55">
        <v>1.3189415658957903E-4</v>
      </c>
      <c r="G1050" s="24">
        <v>5.389513</v>
      </c>
      <c r="H1050" s="24">
        <v>8.0394539999999992</v>
      </c>
      <c r="I1050" s="24">
        <v>6.4467509999999999</v>
      </c>
      <c r="J1050" s="24">
        <v>6.1309490000000002</v>
      </c>
      <c r="K1050" s="24">
        <v>4.7749329999999999</v>
      </c>
      <c r="L1050" s="24">
        <v>2.927095</v>
      </c>
      <c r="M1050" s="24">
        <v>125.4524</v>
      </c>
      <c r="N1050" s="24">
        <v>6.9821296936594894</v>
      </c>
      <c r="O1050" s="24">
        <v>8.9010989010989015</v>
      </c>
      <c r="P1050" s="24">
        <v>1.158536585365854</v>
      </c>
      <c r="Q1050" s="24">
        <v>0</v>
      </c>
      <c r="R1050" s="24">
        <v>6.48</v>
      </c>
      <c r="S1050" s="24">
        <v>3.2512391599142099</v>
      </c>
      <c r="T1050" s="24">
        <v>8.8591584924376993E-2</v>
      </c>
      <c r="U1050" s="24" t="s">
        <v>3536</v>
      </c>
      <c r="V1050">
        <v>0</v>
      </c>
      <c r="W1050" s="21">
        <v>0</v>
      </c>
      <c r="X1050" s="56" t="str">
        <f>IFERROR(VLOOKUP(A1050,Output!A:F,6,0),"-")</f>
        <v>-</v>
      </c>
    </row>
    <row r="1051" spans="1:24" x14ac:dyDescent="0.25">
      <c r="A1051" s="21" t="s">
        <v>1222</v>
      </c>
      <c r="B1051" s="40" t="s">
        <v>1223</v>
      </c>
      <c r="C1051" s="21" t="s">
        <v>248</v>
      </c>
      <c r="D1051" s="21" t="s">
        <v>75</v>
      </c>
      <c r="E1051" s="21" t="s">
        <v>99</v>
      </c>
      <c r="F1051" s="55">
        <v>1.3168861603490086E-4</v>
      </c>
      <c r="G1051" s="21">
        <v>5.2096739999999997</v>
      </c>
      <c r="H1051" s="21">
        <v>5.9036220000000004</v>
      </c>
      <c r="I1051" s="21">
        <v>5.0414810000000001</v>
      </c>
      <c r="J1051" s="21">
        <v>5.4199760000000001</v>
      </c>
      <c r="K1051" s="24">
        <v>0.22385070000000001</v>
      </c>
      <c r="L1051" s="24">
        <v>-5.3443899999999998</v>
      </c>
      <c r="M1051" s="24">
        <v>18.916599999999999</v>
      </c>
      <c r="N1051" s="57">
        <v>2.4354743358628053</v>
      </c>
      <c r="O1051" s="24">
        <v>3.5555555555555558</v>
      </c>
      <c r="P1051" s="24">
        <v>0</v>
      </c>
      <c r="Q1051" s="24">
        <v>7.8895006175304445</v>
      </c>
      <c r="R1051" s="24">
        <v>2.87</v>
      </c>
      <c r="S1051" s="24">
        <v>1.9432212738855097</v>
      </c>
      <c r="T1051" s="24">
        <v>0.28258304931575928</v>
      </c>
      <c r="U1051" s="24" t="s">
        <v>3276</v>
      </c>
      <c r="V1051">
        <v>0</v>
      </c>
      <c r="W1051" s="21">
        <v>0</v>
      </c>
      <c r="X1051" s="56" t="str">
        <f>IFERROR(VLOOKUP(A1051,Output!A:F,6,0),"-")</f>
        <v>-</v>
      </c>
    </row>
    <row r="1052" spans="1:24" x14ac:dyDescent="0.25">
      <c r="A1052" s="21" t="s">
        <v>1790</v>
      </c>
      <c r="B1052" s="40" t="s">
        <v>1791</v>
      </c>
      <c r="C1052" s="21" t="s">
        <v>255</v>
      </c>
      <c r="D1052" s="21" t="s">
        <v>75</v>
      </c>
      <c r="E1052" s="21" t="s">
        <v>101</v>
      </c>
      <c r="F1052" s="55">
        <v>1.3167201584326021E-4</v>
      </c>
      <c r="G1052" s="24">
        <v>3.0344579999999999</v>
      </c>
      <c r="H1052" s="24">
        <v>5.7705539999999997</v>
      </c>
      <c r="I1052" s="24">
        <v>7.2640520000000004</v>
      </c>
      <c r="J1052" s="24">
        <v>5.1241649999999996</v>
      </c>
      <c r="K1052" s="24">
        <v>6.4035209999999996</v>
      </c>
      <c r="L1052" s="24">
        <v>14.744899999999999</v>
      </c>
      <c r="M1052" s="24">
        <v>3228.8820000000001</v>
      </c>
      <c r="N1052" s="24">
        <v>3.9117875511571301</v>
      </c>
      <c r="O1052" s="24">
        <v>6.7741935483870979</v>
      </c>
      <c r="P1052" s="24">
        <v>4.204545454545455</v>
      </c>
      <c r="Q1052" s="24">
        <v>8.0989690661789897</v>
      </c>
      <c r="R1052" s="24">
        <v>7.74</v>
      </c>
      <c r="S1052" s="24">
        <v>6.4992645486415874</v>
      </c>
      <c r="T1052" s="24">
        <v>0.34057452958420031</v>
      </c>
      <c r="U1052" s="24" t="s">
        <v>3540</v>
      </c>
      <c r="V1052">
        <v>0</v>
      </c>
      <c r="W1052" s="21">
        <v>0</v>
      </c>
      <c r="X1052" s="56" t="str">
        <f>IFERROR(VLOOKUP(A1052,Output!A:F,6,0),"-")</f>
        <v>-</v>
      </c>
    </row>
    <row r="1053" spans="1:24" x14ac:dyDescent="0.25">
      <c r="A1053" s="21" t="s">
        <v>1193</v>
      </c>
      <c r="B1053" s="40" t="s">
        <v>1194</v>
      </c>
      <c r="C1053" s="21" t="s">
        <v>248</v>
      </c>
      <c r="D1053" s="21" t="s">
        <v>75</v>
      </c>
      <c r="E1053" s="21" t="s">
        <v>93</v>
      </c>
      <c r="F1053" s="55">
        <v>1.3162664198610902E-4</v>
      </c>
      <c r="G1053" s="21">
        <v>4.5994849999999996</v>
      </c>
      <c r="H1053" s="21">
        <v>6.299366</v>
      </c>
      <c r="I1053" s="21">
        <v>3.962021</v>
      </c>
      <c r="J1053" s="21">
        <v>4.9713310000000002</v>
      </c>
      <c r="K1053" s="24">
        <v>2.6933440000000002</v>
      </c>
      <c r="L1053" s="24">
        <v>9.8816959999999998</v>
      </c>
      <c r="M1053" s="24">
        <v>3.7250999999999999</v>
      </c>
      <c r="N1053" s="24">
        <v>1.545454585906916</v>
      </c>
      <c r="O1053" s="24">
        <v>9.2473118279569881</v>
      </c>
      <c r="P1053" s="24">
        <v>2.2099447513812152</v>
      </c>
      <c r="Q1053" s="24">
        <v>6.3328631875881509</v>
      </c>
      <c r="R1053" s="24">
        <v>4.99</v>
      </c>
      <c r="S1053" s="24">
        <v>3.3067563799774353</v>
      </c>
      <c r="T1053" s="24">
        <v>0.16478821896852197</v>
      </c>
      <c r="U1053" s="24" t="s">
        <v>3229</v>
      </c>
      <c r="V1053">
        <v>0</v>
      </c>
      <c r="W1053" s="21">
        <v>0</v>
      </c>
      <c r="X1053" s="56" t="str">
        <f>IFERROR(VLOOKUP(A1053,Output!A:F,6,0),"-")</f>
        <v>-</v>
      </c>
    </row>
    <row r="1054" spans="1:24" hidden="1" x14ac:dyDescent="0.25">
      <c r="A1054" s="21" t="s">
        <v>628</v>
      </c>
      <c r="B1054" s="40" t="s">
        <v>894</v>
      </c>
      <c r="C1054" s="21" t="s">
        <v>244</v>
      </c>
      <c r="D1054" s="21" t="s">
        <v>73</v>
      </c>
      <c r="E1054" s="21" t="s">
        <v>102</v>
      </c>
      <c r="F1054" s="55">
        <v>1.3143236944030212E-4</v>
      </c>
      <c r="G1054" s="24">
        <v>5.161492</v>
      </c>
      <c r="H1054" s="24">
        <v>4.8091809999999997</v>
      </c>
      <c r="I1054" s="24">
        <v>8.2517399999999999</v>
      </c>
      <c r="J1054" s="24">
        <v>5.709079</v>
      </c>
      <c r="K1054" s="24">
        <v>3.5230260000000002</v>
      </c>
      <c r="L1054" s="24">
        <v>5.5182359999999999</v>
      </c>
      <c r="M1054" s="24">
        <v>353.65</v>
      </c>
      <c r="N1054" s="24">
        <v>9.7236842396121865</v>
      </c>
      <c r="O1054" s="24">
        <v>3.0927835051546388</v>
      </c>
      <c r="P1054" s="24">
        <v>3.7301587301587298</v>
      </c>
      <c r="Q1054" s="24">
        <v>3.0905475567993519</v>
      </c>
      <c r="R1054" s="24">
        <v>8.1199999999999992</v>
      </c>
      <c r="S1054" s="24">
        <v>5.0019102673413807</v>
      </c>
      <c r="T1054" s="24">
        <v>0.66864314168924022</v>
      </c>
      <c r="U1054" s="24" t="s">
        <v>3006</v>
      </c>
      <c r="V1054">
        <v>0</v>
      </c>
      <c r="W1054" s="21">
        <v>0</v>
      </c>
      <c r="X1054" s="56" t="str">
        <f>IFERROR(VLOOKUP(A1054,Output!A:F,6,0),"-")</f>
        <v>-</v>
      </c>
    </row>
    <row r="1055" spans="1:24" hidden="1" x14ac:dyDescent="0.25">
      <c r="A1055" s="21" t="s">
        <v>544</v>
      </c>
      <c r="B1055" s="40" t="s">
        <v>887</v>
      </c>
      <c r="C1055" s="21" t="s">
        <v>244</v>
      </c>
      <c r="D1055" s="21" t="s">
        <v>73</v>
      </c>
      <c r="E1055" s="21" t="s">
        <v>103</v>
      </c>
      <c r="F1055" s="55">
        <v>1.3034953390921996E-4</v>
      </c>
      <c r="G1055" s="24">
        <v>3.9741460000000002</v>
      </c>
      <c r="H1055" s="24">
        <v>4.6725599999999998</v>
      </c>
      <c r="I1055" s="24">
        <v>6.3744360000000002</v>
      </c>
      <c r="J1055" s="24">
        <v>4.9037569999999997</v>
      </c>
      <c r="K1055" s="24">
        <v>1.575993</v>
      </c>
      <c r="L1055" s="24">
        <v>11.199389999999999</v>
      </c>
      <c r="M1055" s="24">
        <v>42.417900000000003</v>
      </c>
      <c r="N1055" s="24">
        <v>2.6161309317788746</v>
      </c>
      <c r="O1055" s="24">
        <v>0.30612244897959184</v>
      </c>
      <c r="P1055" s="24">
        <v>4.5717035402183006</v>
      </c>
      <c r="Q1055" s="24">
        <v>9.2105348376661276</v>
      </c>
      <c r="R1055" s="24">
        <v>4.92</v>
      </c>
      <c r="S1055" s="24">
        <v>5.9685881142216264</v>
      </c>
      <c r="T1055" s="24">
        <v>1.0206002572435762</v>
      </c>
      <c r="U1055" s="24" t="s">
        <v>2990</v>
      </c>
      <c r="V1055">
        <v>0</v>
      </c>
      <c r="W1055" s="21">
        <v>0</v>
      </c>
      <c r="X1055" s="56" t="str">
        <f>IFERROR(VLOOKUP(A1055,Output!A:F,6,0),"-")</f>
        <v>-</v>
      </c>
    </row>
    <row r="1056" spans="1:24" hidden="1" x14ac:dyDescent="0.25">
      <c r="A1056" s="21" t="s">
        <v>566</v>
      </c>
      <c r="B1056" s="40" t="s">
        <v>939</v>
      </c>
      <c r="C1056" s="21" t="s">
        <v>244</v>
      </c>
      <c r="D1056" s="21" t="s">
        <v>73</v>
      </c>
      <c r="E1056" s="21" t="s">
        <v>89</v>
      </c>
      <c r="F1056" s="55">
        <v>1.2958270566264295E-4</v>
      </c>
      <c r="G1056" s="21">
        <v>5.5404410000000004</v>
      </c>
      <c r="H1056" s="21">
        <v>3.5892689999999998</v>
      </c>
      <c r="I1056" s="21">
        <v>4.5274999999999999</v>
      </c>
      <c r="J1056" s="21">
        <v>4.5030010000000003</v>
      </c>
      <c r="K1056" s="24">
        <v>4.5474909999999999</v>
      </c>
      <c r="L1056" s="24">
        <v>10.122730000000001</v>
      </c>
      <c r="M1056" s="24">
        <v>4.4652000000000003</v>
      </c>
      <c r="N1056" s="57">
        <v>2.45659765625</v>
      </c>
      <c r="O1056" s="24">
        <v>5.7731958762886588</v>
      </c>
      <c r="P1056" s="24">
        <v>3.3160621761658038</v>
      </c>
      <c r="Q1056" s="24">
        <v>4.6592045160907425</v>
      </c>
      <c r="R1056" s="24">
        <v>6.45</v>
      </c>
      <c r="S1056" s="24">
        <v>4.5741436905711517</v>
      </c>
      <c r="T1056" s="24">
        <v>1.2715818533581233</v>
      </c>
      <c r="U1056" s="24" t="s">
        <v>3046</v>
      </c>
      <c r="V1056">
        <v>0</v>
      </c>
      <c r="W1056" s="21">
        <v>1</v>
      </c>
      <c r="X1056" s="56" t="str">
        <f>IFERROR(VLOOKUP(A1056,Output!A:F,6,0),"-")</f>
        <v>-</v>
      </c>
    </row>
    <row r="1057" spans="1:24" x14ac:dyDescent="0.25">
      <c r="A1057" s="21" t="s">
        <v>1190</v>
      </c>
      <c r="B1057" s="40" t="s">
        <v>4491</v>
      </c>
      <c r="C1057" s="21" t="s">
        <v>248</v>
      </c>
      <c r="D1057" s="21" t="s">
        <v>75</v>
      </c>
      <c r="E1057" s="21" t="s">
        <v>92</v>
      </c>
      <c r="F1057" s="55">
        <v>1.2945855635061512E-4</v>
      </c>
      <c r="G1057" s="24">
        <v>5.701562</v>
      </c>
      <c r="H1057" s="24">
        <v>5.6065100000000001</v>
      </c>
      <c r="I1057" s="24">
        <v>5.149686</v>
      </c>
      <c r="J1057" s="24">
        <v>5.5074839999999998</v>
      </c>
      <c r="K1057" s="24">
        <v>1.27321</v>
      </c>
      <c r="L1057" s="24">
        <v>7.1318669999999997</v>
      </c>
      <c r="M1057" s="24">
        <v>99.626800000000003</v>
      </c>
      <c r="N1057" s="24">
        <v>1.2877798988467701</v>
      </c>
      <c r="O1057" s="24">
        <v>8.1052631578947363</v>
      </c>
      <c r="P1057" s="24">
        <v>4.5142859650612124</v>
      </c>
      <c r="Q1057" s="24">
        <v>7.038446423111953</v>
      </c>
      <c r="R1057" s="24">
        <v>3.41</v>
      </c>
      <c r="S1057" s="24">
        <v>4.7836773269892481</v>
      </c>
      <c r="T1057" s="24">
        <v>0.21438809053146834</v>
      </c>
      <c r="U1057" s="24" t="s">
        <v>3258</v>
      </c>
      <c r="V1057">
        <v>0</v>
      </c>
      <c r="W1057" s="21">
        <v>0</v>
      </c>
      <c r="X1057" s="56" t="str">
        <f>IFERROR(VLOOKUP(A1057,Output!A:F,6,0),"-")</f>
        <v>-</v>
      </c>
    </row>
    <row r="1058" spans="1:24" hidden="1" x14ac:dyDescent="0.25">
      <c r="A1058" s="21" t="s">
        <v>1859</v>
      </c>
      <c r="B1058" s="40" t="s">
        <v>1860</v>
      </c>
      <c r="C1058" s="21" t="s">
        <v>250</v>
      </c>
      <c r="D1058" s="21" t="s">
        <v>76</v>
      </c>
      <c r="E1058" s="21" t="s">
        <v>91</v>
      </c>
      <c r="F1058" s="55">
        <v>1.292185075187688E-4</v>
      </c>
      <c r="G1058" s="21">
        <v>5.2900900000000002</v>
      </c>
      <c r="H1058" s="21">
        <v>5.6570270000000002</v>
      </c>
      <c r="I1058" s="21">
        <v>5.9967439999999996</v>
      </c>
      <c r="J1058" s="21">
        <v>5.7195260000000001</v>
      </c>
      <c r="K1058" s="24">
        <v>3.415686</v>
      </c>
      <c r="L1058" s="24">
        <v>3.1687249999999998</v>
      </c>
      <c r="M1058" s="53">
        <v>35.488900000000001</v>
      </c>
      <c r="N1058" s="24">
        <v>2.2211936861458872</v>
      </c>
      <c r="O1058" s="24">
        <v>0</v>
      </c>
      <c r="P1058" s="24">
        <v>1.0185185185185188</v>
      </c>
      <c r="Q1058" s="24">
        <v>8.7108050847457648</v>
      </c>
      <c r="R1058" s="24">
        <v>6.85</v>
      </c>
      <c r="S1058" s="24">
        <v>5.18260141806023</v>
      </c>
      <c r="T1058" s="24">
        <v>0.46578547113454966</v>
      </c>
      <c r="U1058" s="24" t="s">
        <v>3575</v>
      </c>
      <c r="V1058">
        <v>0</v>
      </c>
      <c r="W1058" s="21">
        <v>0</v>
      </c>
      <c r="X1058" s="56" t="str">
        <f>IFERROR(VLOOKUP(A1058,Output!A:F,6,0),"-")</f>
        <v>-</v>
      </c>
    </row>
    <row r="1059" spans="1:24" hidden="1" x14ac:dyDescent="0.25">
      <c r="A1059" s="21" t="s">
        <v>2138</v>
      </c>
      <c r="B1059" s="40" t="s">
        <v>2139</v>
      </c>
      <c r="C1059" s="21" t="s">
        <v>251</v>
      </c>
      <c r="D1059" s="21" t="s">
        <v>74</v>
      </c>
      <c r="E1059" s="21" t="s">
        <v>86</v>
      </c>
      <c r="F1059" s="55">
        <v>1.2863971417023068E-4</v>
      </c>
      <c r="G1059" s="24">
        <v>6.2686970000000004</v>
      </c>
      <c r="H1059" s="24">
        <v>6.8189209999999996</v>
      </c>
      <c r="I1059" s="24">
        <v>7.8653269999999997</v>
      </c>
      <c r="J1059" s="24">
        <v>6.9843149999999996</v>
      </c>
      <c r="K1059" s="24">
        <v>4.5536570000000003</v>
      </c>
      <c r="L1059" s="24">
        <v>6.7511190000000001</v>
      </c>
      <c r="M1059" s="24">
        <v>757.21540000000005</v>
      </c>
      <c r="N1059" s="24">
        <v>5.4011119936457508</v>
      </c>
      <c r="O1059" s="24">
        <v>0.72164948453608235</v>
      </c>
      <c r="P1059" s="24">
        <v>4.918032786885246</v>
      </c>
      <c r="Q1059" s="24">
        <v>5.8738417916433496</v>
      </c>
      <c r="R1059" s="24">
        <v>7.95</v>
      </c>
      <c r="S1059" s="24">
        <v>5.2915350295189505</v>
      </c>
      <c r="T1059" s="24">
        <v>0.52761094764512828</v>
      </c>
      <c r="U1059" s="24" t="s">
        <v>3706</v>
      </c>
      <c r="V1059">
        <v>0</v>
      </c>
      <c r="W1059" s="21">
        <v>0</v>
      </c>
      <c r="X1059" s="56" t="str">
        <f>IFERROR(VLOOKUP(A1059,Output!A:F,6,0),"-")</f>
        <v>-</v>
      </c>
    </row>
    <row r="1060" spans="1:24" hidden="1" x14ac:dyDescent="0.25">
      <c r="A1060" s="21" t="s">
        <v>580</v>
      </c>
      <c r="B1060" s="40" t="s">
        <v>725</v>
      </c>
      <c r="C1060" s="21" t="s">
        <v>244</v>
      </c>
      <c r="D1060" s="21" t="s">
        <v>73</v>
      </c>
      <c r="E1060" s="21" t="s">
        <v>89</v>
      </c>
      <c r="F1060" s="55">
        <v>1.2850600717210671E-4</v>
      </c>
      <c r="G1060" s="24">
        <v>4.1930480000000001</v>
      </c>
      <c r="H1060" s="24">
        <v>4.64358</v>
      </c>
      <c r="I1060" s="24">
        <v>5.8901370000000002</v>
      </c>
      <c r="J1060" s="24">
        <v>4.9447150000000004</v>
      </c>
      <c r="K1060" s="24">
        <v>1.410844</v>
      </c>
      <c r="L1060" s="24">
        <v>2.519736</v>
      </c>
      <c r="M1060" s="24">
        <v>3.9504000000000001</v>
      </c>
      <c r="N1060" s="24">
        <v>4.3337669270833326</v>
      </c>
      <c r="O1060" s="24">
        <v>0.10309278350515461</v>
      </c>
      <c r="P1060" s="24">
        <v>9.119170984455959</v>
      </c>
      <c r="Q1060" s="24">
        <v>0.70311370892653646</v>
      </c>
      <c r="R1060" s="24">
        <v>4.3</v>
      </c>
      <c r="S1060" s="24">
        <v>3.49604677199466</v>
      </c>
      <c r="T1060" s="24">
        <v>1.2253522694105261</v>
      </c>
      <c r="U1060" s="24" t="s">
        <v>3015</v>
      </c>
      <c r="V1060">
        <v>0</v>
      </c>
      <c r="W1060" s="21">
        <v>0</v>
      </c>
      <c r="X1060" s="56" t="str">
        <f>IFERROR(VLOOKUP(A1060,Output!A:F,6,0),"-")</f>
        <v>-</v>
      </c>
    </row>
    <row r="1061" spans="1:24" hidden="1" x14ac:dyDescent="0.25">
      <c r="A1061" s="21" t="s">
        <v>1750</v>
      </c>
      <c r="B1061" s="40" t="s">
        <v>1751</v>
      </c>
      <c r="C1061" s="21" t="s">
        <v>1752</v>
      </c>
      <c r="D1061" s="21" t="s">
        <v>74</v>
      </c>
      <c r="E1061" s="21" t="s">
        <v>95</v>
      </c>
      <c r="F1061" s="55">
        <v>1.2837099228009592E-4</v>
      </c>
      <c r="G1061" s="21">
        <v>6.617127</v>
      </c>
      <c r="H1061" s="21">
        <v>7.0593240000000002</v>
      </c>
      <c r="I1061" s="21">
        <v>3.6174080000000002</v>
      </c>
      <c r="J1061" s="21">
        <v>5.8056510000000001</v>
      </c>
      <c r="K1061" s="24">
        <v>3.5539700000000001</v>
      </c>
      <c r="L1061" s="24">
        <v>8.6718449999999994</v>
      </c>
      <c r="M1061" s="53">
        <v>201.93260000000001</v>
      </c>
      <c r="N1061" s="24">
        <v>5.9843458167160861</v>
      </c>
      <c r="O1061" s="24">
        <v>8.2022471910112351</v>
      </c>
      <c r="P1061" s="24">
        <v>8.0754716981132066</v>
      </c>
      <c r="Q1061" s="24">
        <v>5.1700969707949254</v>
      </c>
      <c r="R1061" s="24">
        <v>2.63</v>
      </c>
      <c r="S1061" s="24">
        <v>5.4225540626861273</v>
      </c>
      <c r="T1061" s="24">
        <v>0.12341982578279666</v>
      </c>
      <c r="U1061" s="24" t="s">
        <v>3553</v>
      </c>
      <c r="V1061">
        <v>1</v>
      </c>
      <c r="W1061" s="21">
        <v>0</v>
      </c>
      <c r="X1061" s="56" t="str">
        <f>IFERROR(VLOOKUP(A1061,Output!A:F,6,0),"-")</f>
        <v>-</v>
      </c>
    </row>
    <row r="1062" spans="1:24" hidden="1" x14ac:dyDescent="0.25">
      <c r="A1062" s="21" t="s">
        <v>1897</v>
      </c>
      <c r="B1062" s="40" t="s">
        <v>1898</v>
      </c>
      <c r="C1062" s="21" t="s">
        <v>249</v>
      </c>
      <c r="D1062" s="21" t="s">
        <v>74</v>
      </c>
      <c r="E1062" s="21" t="s">
        <v>94</v>
      </c>
      <c r="F1062" s="55">
        <v>1.2773183459831899E-4</v>
      </c>
      <c r="G1062" s="24">
        <v>6.8266070000000001</v>
      </c>
      <c r="H1062" s="24">
        <v>4.329968</v>
      </c>
      <c r="I1062" s="24">
        <v>4.8433450000000002</v>
      </c>
      <c r="J1062" s="24">
        <v>5.0346469999999997</v>
      </c>
      <c r="K1062" s="24">
        <v>3.1193849999999999</v>
      </c>
      <c r="L1062" s="24">
        <v>8.2640779999999996</v>
      </c>
      <c r="M1062" s="24">
        <v>4.8798000000000004</v>
      </c>
      <c r="N1062" s="24">
        <v>6.0835032765961463</v>
      </c>
      <c r="O1062" s="24">
        <v>5.3535353535353538</v>
      </c>
      <c r="P1062" s="24">
        <v>0.29673590504451031</v>
      </c>
      <c r="Q1062" s="24">
        <v>6.1184027537009449</v>
      </c>
      <c r="R1062" s="24">
        <v>6.14</v>
      </c>
      <c r="S1062" s="24">
        <v>5.137364244955366</v>
      </c>
      <c r="T1062" s="24">
        <v>0.18938701591874174</v>
      </c>
      <c r="U1062" s="24" t="s">
        <v>3643</v>
      </c>
      <c r="V1062">
        <v>0</v>
      </c>
      <c r="W1062" s="21">
        <v>0</v>
      </c>
      <c r="X1062" s="56" t="str">
        <f>IFERROR(VLOOKUP(A1062,Output!A:F,6,0),"-")</f>
        <v>-</v>
      </c>
    </row>
    <row r="1063" spans="1:24" x14ac:dyDescent="0.25">
      <c r="A1063" s="21" t="s">
        <v>2111</v>
      </c>
      <c r="B1063" s="40" t="s">
        <v>4471</v>
      </c>
      <c r="C1063" s="21" t="s">
        <v>248</v>
      </c>
      <c r="D1063" s="21" t="s">
        <v>75</v>
      </c>
      <c r="E1063" s="21" t="s">
        <v>99</v>
      </c>
      <c r="F1063" s="55">
        <v>1.2760889257295595E-4</v>
      </c>
      <c r="G1063" s="24" t="e">
        <v>#N/A</v>
      </c>
      <c r="H1063" s="24" t="e">
        <v>#N/A</v>
      </c>
      <c r="I1063" s="24" t="e">
        <v>#N/A</v>
      </c>
      <c r="J1063" s="24" t="e">
        <v>#N/A</v>
      </c>
      <c r="K1063" s="24">
        <v>0.96805790000000003</v>
      </c>
      <c r="L1063" s="24">
        <v>5.0992509999999998</v>
      </c>
      <c r="M1063" s="24" t="e">
        <v>#N/A</v>
      </c>
      <c r="N1063" s="24">
        <v>9.6188487166175687</v>
      </c>
      <c r="O1063" s="24">
        <v>6.6666666666666661</v>
      </c>
      <c r="P1063" s="24">
        <v>1.8834080717488786</v>
      </c>
      <c r="Q1063" s="24">
        <v>6.2715950090341233</v>
      </c>
      <c r="R1063" s="24">
        <v>3.2</v>
      </c>
      <c r="S1063" s="24">
        <v>5.444319705501556</v>
      </c>
      <c r="T1063" s="24">
        <v>0.29800969388651521</v>
      </c>
      <c r="U1063" s="24" t="s">
        <v>3757</v>
      </c>
      <c r="V1063">
        <v>0</v>
      </c>
      <c r="W1063" s="21">
        <v>0</v>
      </c>
      <c r="X1063" s="56" t="str">
        <f>IFERROR(VLOOKUP(A1063,Output!A:F,6,0),"-")</f>
        <v>-</v>
      </c>
    </row>
    <row r="1064" spans="1:24" hidden="1" x14ac:dyDescent="0.25">
      <c r="A1064" s="21" t="s">
        <v>4615</v>
      </c>
      <c r="B1064" s="40" t="s">
        <v>4616</v>
      </c>
      <c r="C1064" s="21" t="s">
        <v>258</v>
      </c>
      <c r="D1064" s="21" t="s">
        <v>74</v>
      </c>
      <c r="E1064" s="21" t="s">
        <v>85</v>
      </c>
      <c r="F1064" s="55">
        <v>1.2740184290994683E-4</v>
      </c>
      <c r="G1064" s="24">
        <v>4.5688909999999998</v>
      </c>
      <c r="H1064" s="24">
        <v>6.325596</v>
      </c>
      <c r="I1064" s="24">
        <v>4.1787450000000002</v>
      </c>
      <c r="J1064" s="24">
        <v>5.0471870000000001</v>
      </c>
      <c r="K1064" s="24">
        <v>10.87129</v>
      </c>
      <c r="L1064" s="24">
        <v>18.313279999999999</v>
      </c>
      <c r="M1064" s="53">
        <v>14.371499999999999</v>
      </c>
      <c r="N1064" s="24">
        <v>4.4062565998090317</v>
      </c>
      <c r="O1064" s="24">
        <v>6.262626262626263</v>
      </c>
      <c r="P1064" s="24">
        <v>4.0526315789473681</v>
      </c>
      <c r="Q1064" s="24">
        <v>7.1168687982359424</v>
      </c>
      <c r="R1064" s="24">
        <v>9.0599989999999995</v>
      </c>
      <c r="S1064" s="24">
        <v>5.5739481597268394</v>
      </c>
      <c r="T1064" s="24">
        <v>0.38172085114310583</v>
      </c>
      <c r="U1064" s="24" t="s">
        <v>4617</v>
      </c>
      <c r="V1064">
        <v>0</v>
      </c>
      <c r="W1064" s="21">
        <v>0</v>
      </c>
      <c r="X1064" s="56" t="str">
        <f>IFERROR(VLOOKUP(A1064,Output!A:F,6,0),"-")</f>
        <v>-</v>
      </c>
    </row>
    <row r="1065" spans="1:24" hidden="1" x14ac:dyDescent="0.25">
      <c r="A1065" s="21" t="s">
        <v>4416</v>
      </c>
      <c r="B1065" s="40" t="s">
        <v>4511</v>
      </c>
      <c r="C1065" s="21" t="s">
        <v>244</v>
      </c>
      <c r="D1065" s="21" t="s">
        <v>73</v>
      </c>
      <c r="E1065" s="21" t="s">
        <v>89</v>
      </c>
      <c r="F1065" s="55">
        <v>1.2697697861116769E-4</v>
      </c>
      <c r="G1065" s="24">
        <v>0</v>
      </c>
      <c r="H1065" s="24">
        <v>2.4729049999999999</v>
      </c>
      <c r="I1065" s="24">
        <v>0</v>
      </c>
      <c r="J1065" s="24">
        <v>0.86551659999999997</v>
      </c>
      <c r="K1065" s="24">
        <v>0</v>
      </c>
      <c r="L1065" s="24">
        <v>2.0231490000000001</v>
      </c>
      <c r="M1065" s="24">
        <v>5.5580999999999996</v>
      </c>
      <c r="N1065" s="24">
        <v>8.2942708333333321</v>
      </c>
      <c r="O1065" s="24">
        <v>9.8969072164948457</v>
      </c>
      <c r="P1065" s="24">
        <v>2.0552673575129536</v>
      </c>
      <c r="Q1065" s="24">
        <v>3.2036156460191534</v>
      </c>
      <c r="R1065" s="24" t="e">
        <v>#N/A</v>
      </c>
      <c r="S1065" s="24">
        <v>2.7864004962926425</v>
      </c>
      <c r="T1065" s="24">
        <v>1.8077711192688459</v>
      </c>
      <c r="U1065" s="24" t="s">
        <v>4512</v>
      </c>
      <c r="V1065">
        <v>1</v>
      </c>
      <c r="W1065" s="21">
        <v>1</v>
      </c>
      <c r="X1065" s="56" t="str">
        <f>IFERROR(VLOOKUP(A1065,Output!A:F,6,0),"-")</f>
        <v>-</v>
      </c>
    </row>
    <row r="1066" spans="1:24" x14ac:dyDescent="0.25">
      <c r="A1066" s="21" t="s">
        <v>1821</v>
      </c>
      <c r="B1066" s="40" t="s">
        <v>1822</v>
      </c>
      <c r="C1066" s="21" t="s">
        <v>248</v>
      </c>
      <c r="D1066" s="21" t="s">
        <v>75</v>
      </c>
      <c r="E1066" s="21" t="s">
        <v>91</v>
      </c>
      <c r="F1066" s="55">
        <v>1.2691057784460497E-4</v>
      </c>
      <c r="G1066" s="24">
        <v>7.508146</v>
      </c>
      <c r="H1066" s="24">
        <v>6.9910189999999997</v>
      </c>
      <c r="I1066" s="24">
        <v>5.4471480000000003</v>
      </c>
      <c r="J1066" s="24">
        <v>6.476896</v>
      </c>
      <c r="K1066" s="24">
        <v>1.085156</v>
      </c>
      <c r="L1066" s="24">
        <v>2.5680619999999998</v>
      </c>
      <c r="M1066" s="24">
        <v>10.285399999999999</v>
      </c>
      <c r="N1066" s="24">
        <v>7.263290743765439</v>
      </c>
      <c r="O1066" s="24">
        <v>4.2307692307692308</v>
      </c>
      <c r="P1066" s="24">
        <v>7.4803149606299204</v>
      </c>
      <c r="Q1066" s="24">
        <v>3.6926301947906466</v>
      </c>
      <c r="R1066" s="24">
        <v>5.08</v>
      </c>
      <c r="S1066" s="24">
        <v>5.269526962108996</v>
      </c>
      <c r="T1066" s="24">
        <v>0.64338807163349077</v>
      </c>
      <c r="U1066" s="24" t="s">
        <v>3560</v>
      </c>
      <c r="V1066">
        <v>0</v>
      </c>
      <c r="W1066" s="21">
        <v>0</v>
      </c>
      <c r="X1066" s="56" t="str">
        <f>IFERROR(VLOOKUP(A1066,Output!A:F,6,0),"-")</f>
        <v>-</v>
      </c>
    </row>
    <row r="1067" spans="1:24" x14ac:dyDescent="0.25">
      <c r="A1067" s="21" t="s">
        <v>641</v>
      </c>
      <c r="B1067" s="40" t="s">
        <v>984</v>
      </c>
      <c r="C1067" s="21" t="s">
        <v>248</v>
      </c>
      <c r="D1067" s="21" t="s">
        <v>75</v>
      </c>
      <c r="E1067" s="21" t="s">
        <v>89</v>
      </c>
      <c r="F1067" s="55">
        <v>1.2654014205296284E-4</v>
      </c>
      <c r="G1067" s="24">
        <v>5.0487609999999998</v>
      </c>
      <c r="H1067" s="24">
        <v>4.0933710000000003</v>
      </c>
      <c r="I1067" s="24">
        <v>3.319137</v>
      </c>
      <c r="J1067" s="24">
        <v>4.1090059999999999</v>
      </c>
      <c r="K1067" s="24">
        <v>4.1830069999999999</v>
      </c>
      <c r="L1067" s="24">
        <v>9.6394210000000005</v>
      </c>
      <c r="M1067" s="24">
        <v>7.7351000000000001</v>
      </c>
      <c r="N1067" s="24">
        <v>10</v>
      </c>
      <c r="O1067" s="24">
        <v>5.698924731182796</v>
      </c>
      <c r="P1067" s="24">
        <v>5.4696132596685079</v>
      </c>
      <c r="Q1067" s="24">
        <v>6.4645039962388342</v>
      </c>
      <c r="R1067" s="24">
        <v>6.2</v>
      </c>
      <c r="S1067" s="24">
        <v>6.4166885010713326</v>
      </c>
      <c r="T1067" s="24">
        <v>0.26570346901754932</v>
      </c>
      <c r="U1067" s="24" t="s">
        <v>3089</v>
      </c>
      <c r="V1067">
        <v>0</v>
      </c>
      <c r="W1067" s="21">
        <v>1</v>
      </c>
      <c r="X1067" s="56" t="str">
        <f>IFERROR(VLOOKUP(A1067,Output!A:F,6,0),"-")</f>
        <v>-</v>
      </c>
    </row>
    <row r="1068" spans="1:24" hidden="1" x14ac:dyDescent="0.25">
      <c r="A1068" s="21" t="s">
        <v>1166</v>
      </c>
      <c r="B1068" s="40" t="s">
        <v>1167</v>
      </c>
      <c r="C1068" s="21" t="s">
        <v>244</v>
      </c>
      <c r="D1068" s="21" t="s">
        <v>73</v>
      </c>
      <c r="E1068" s="21" t="s">
        <v>92</v>
      </c>
      <c r="F1068" s="55">
        <v>1.2652656007798411E-4</v>
      </c>
      <c r="G1068" s="24">
        <v>3.912944</v>
      </c>
      <c r="H1068" s="24">
        <v>3.5822319999999999</v>
      </c>
      <c r="I1068" s="24">
        <v>2.3036509999999999</v>
      </c>
      <c r="J1068" s="24">
        <v>3.3309419999999998</v>
      </c>
      <c r="K1068" s="24">
        <v>0.13213279999999999</v>
      </c>
      <c r="L1068" s="24">
        <v>2.1724909999999999</v>
      </c>
      <c r="M1068" s="24">
        <v>54.197000000000003</v>
      </c>
      <c r="N1068" s="24">
        <v>6.8773664772727283</v>
      </c>
      <c r="O1068" s="24">
        <v>6.7676767676767682</v>
      </c>
      <c r="P1068" s="24">
        <v>4.9021627398469105</v>
      </c>
      <c r="Q1068" s="24">
        <v>0.69038173612954623</v>
      </c>
      <c r="R1068" s="24">
        <v>2.06</v>
      </c>
      <c r="S1068" s="24">
        <v>3.6480099406584157</v>
      </c>
      <c r="T1068" s="24">
        <v>1.0859479783674044</v>
      </c>
      <c r="U1068" s="24" t="s">
        <v>3214</v>
      </c>
      <c r="V1068">
        <v>0</v>
      </c>
      <c r="W1068" s="21">
        <v>1</v>
      </c>
      <c r="X1068" s="56" t="str">
        <f>IFERROR(VLOOKUP(A1068,Output!A:F,6,0),"-")</f>
        <v>-</v>
      </c>
    </row>
    <row r="1069" spans="1:24" hidden="1" x14ac:dyDescent="0.25">
      <c r="A1069" s="21" t="s">
        <v>274</v>
      </c>
      <c r="B1069" s="40" t="s">
        <v>991</v>
      </c>
      <c r="C1069" s="21" t="s">
        <v>245</v>
      </c>
      <c r="D1069" s="21" t="s">
        <v>73</v>
      </c>
      <c r="E1069" s="21" t="s">
        <v>86</v>
      </c>
      <c r="F1069" s="55">
        <v>1.2644003786700845E-4</v>
      </c>
      <c r="G1069" s="24">
        <v>3.717695</v>
      </c>
      <c r="H1069" s="24">
        <v>5.8943700000000003</v>
      </c>
      <c r="I1069" s="24">
        <v>5.7274620000000001</v>
      </c>
      <c r="J1069" s="24">
        <v>5.1131760000000002</v>
      </c>
      <c r="K1069" s="24">
        <v>0</v>
      </c>
      <c r="L1069" s="24">
        <v>-0.70094049999999997</v>
      </c>
      <c r="M1069" s="24">
        <v>700.14850000000001</v>
      </c>
      <c r="N1069" s="24">
        <v>3.7990709606958144</v>
      </c>
      <c r="O1069" s="24">
        <v>0</v>
      </c>
      <c r="P1069" s="24">
        <v>4.0740740740740744</v>
      </c>
      <c r="Q1069" s="24">
        <v>6.0725880416569611</v>
      </c>
      <c r="R1069" s="24">
        <v>2.79</v>
      </c>
      <c r="S1069" s="24">
        <v>3.1028968298633739</v>
      </c>
      <c r="T1069" s="24">
        <v>1.0353386955717303</v>
      </c>
      <c r="U1069" s="24" t="s">
        <v>3125</v>
      </c>
      <c r="V1069">
        <v>1</v>
      </c>
      <c r="W1069" s="21">
        <v>0</v>
      </c>
      <c r="X1069" s="56" t="str">
        <f>IFERROR(VLOOKUP(A1069,Output!A:F,6,0),"-")</f>
        <v>-</v>
      </c>
    </row>
    <row r="1070" spans="1:24" hidden="1" x14ac:dyDescent="0.25">
      <c r="A1070" s="21" t="s">
        <v>2007</v>
      </c>
      <c r="B1070" s="40" t="s">
        <v>2008</v>
      </c>
      <c r="C1070" s="21" t="s">
        <v>252</v>
      </c>
      <c r="D1070" s="21" t="s">
        <v>74</v>
      </c>
      <c r="E1070" s="21" t="s">
        <v>89</v>
      </c>
      <c r="F1070" s="55">
        <v>1.2615833764522736E-4</v>
      </c>
      <c r="G1070" s="24">
        <v>7.356751</v>
      </c>
      <c r="H1070" s="24">
        <v>5.4853490000000003</v>
      </c>
      <c r="I1070" s="24">
        <v>5.8908050000000003</v>
      </c>
      <c r="J1070" s="24">
        <v>6.1886789999999996</v>
      </c>
      <c r="K1070" s="24">
        <v>4.1072709999999999</v>
      </c>
      <c r="L1070" s="24">
        <v>3.762988</v>
      </c>
      <c r="M1070" s="24">
        <v>1.2612000000000001</v>
      </c>
      <c r="N1070" s="24">
        <v>2.3334754061268699</v>
      </c>
      <c r="O1070" s="24">
        <v>0.60606060606060597</v>
      </c>
      <c r="P1070" s="24">
        <v>4.0526315789473681</v>
      </c>
      <c r="Q1070" s="24">
        <v>3.6714443219404629</v>
      </c>
      <c r="R1070" s="24">
        <v>2.46</v>
      </c>
      <c r="S1070" s="24">
        <v>3.7320211075016214</v>
      </c>
      <c r="T1070" s="24">
        <v>0.41496489799414782</v>
      </c>
      <c r="U1070" s="24" t="s">
        <v>3662</v>
      </c>
      <c r="V1070">
        <v>0</v>
      </c>
      <c r="W1070" s="21">
        <v>0</v>
      </c>
      <c r="X1070" s="56" t="str">
        <f>IFERROR(VLOOKUP(A1070,Output!A:F,6,0),"-")</f>
        <v>-</v>
      </c>
    </row>
    <row r="1071" spans="1:24" hidden="1" x14ac:dyDescent="0.25">
      <c r="A1071" s="21" t="s">
        <v>4597</v>
      </c>
      <c r="B1071" s="40" t="s">
        <v>4598</v>
      </c>
      <c r="C1071" s="21" t="s">
        <v>250</v>
      </c>
      <c r="D1071" s="21" t="s">
        <v>76</v>
      </c>
      <c r="E1071" s="21" t="s">
        <v>99</v>
      </c>
      <c r="F1071" s="55">
        <v>1.2609404963032805E-4</v>
      </c>
      <c r="G1071" s="24">
        <v>5.1482150000000004</v>
      </c>
      <c r="H1071" s="24">
        <v>5.8615199999999996</v>
      </c>
      <c r="I1071" s="24">
        <v>5.285018</v>
      </c>
      <c r="J1071" s="24">
        <v>5.4882580000000001</v>
      </c>
      <c r="K1071" s="24">
        <v>2.0312579999999998</v>
      </c>
      <c r="L1071" s="24">
        <v>3.7813439999999998</v>
      </c>
      <c r="M1071" s="24">
        <v>8.9068000000000005</v>
      </c>
      <c r="N1071" s="24">
        <v>10</v>
      </c>
      <c r="O1071" s="24">
        <v>10</v>
      </c>
      <c r="P1071" s="24">
        <v>9.7260273972602711</v>
      </c>
      <c r="Q1071" s="24">
        <v>10</v>
      </c>
      <c r="R1071" s="24">
        <v>8.26</v>
      </c>
      <c r="S1071" s="24">
        <v>9.9315068493150669</v>
      </c>
      <c r="T1071" s="24">
        <v>0.55860253464941256</v>
      </c>
      <c r="U1071" s="24" t="s">
        <v>4599</v>
      </c>
      <c r="V1071">
        <v>0</v>
      </c>
      <c r="W1071" s="21">
        <v>0</v>
      </c>
      <c r="X1071" s="56" t="str">
        <f>IFERROR(VLOOKUP(A1071,Output!A:F,6,0),"-")</f>
        <v>-</v>
      </c>
    </row>
    <row r="1072" spans="1:24" hidden="1" x14ac:dyDescent="0.25">
      <c r="A1072" s="21" t="s">
        <v>579</v>
      </c>
      <c r="B1072" s="40" t="s">
        <v>953</v>
      </c>
      <c r="C1072" s="21" t="s">
        <v>244</v>
      </c>
      <c r="D1072" s="21" t="s">
        <v>73</v>
      </c>
      <c r="E1072" s="21" t="s">
        <v>98</v>
      </c>
      <c r="F1072" s="55">
        <v>1.2571305008036909E-4</v>
      </c>
      <c r="G1072" s="24">
        <v>8.4567899999999998</v>
      </c>
      <c r="H1072" s="24">
        <v>5.9209300000000002</v>
      </c>
      <c r="I1072" s="24">
        <v>4.133648</v>
      </c>
      <c r="J1072" s="24">
        <v>5.7131889999999999</v>
      </c>
      <c r="K1072" s="24">
        <v>0</v>
      </c>
      <c r="L1072" s="24">
        <v>3.2874490000000001</v>
      </c>
      <c r="M1072" s="24">
        <v>0.37597999999999998</v>
      </c>
      <c r="N1072" s="24">
        <v>2.8336144989213685</v>
      </c>
      <c r="O1072" s="24">
        <v>2.5510204081632653</v>
      </c>
      <c r="P1072" s="24">
        <v>5.1973054675545942</v>
      </c>
      <c r="Q1072" s="24">
        <v>4.003323927873045</v>
      </c>
      <c r="R1072" s="24" t="e">
        <v>#N/A</v>
      </c>
      <c r="S1072" s="24">
        <v>3.0655970775540391</v>
      </c>
      <c r="T1072" s="24">
        <v>1.7216367344069301</v>
      </c>
      <c r="U1072" s="24" t="s">
        <v>3022</v>
      </c>
      <c r="V1072">
        <v>0</v>
      </c>
      <c r="W1072" s="21">
        <v>0</v>
      </c>
      <c r="X1072" s="56" t="str">
        <f>IFERROR(VLOOKUP(A1072,Output!A:F,6,0),"-")</f>
        <v>-</v>
      </c>
    </row>
    <row r="1073" spans="1:24" hidden="1" x14ac:dyDescent="0.25">
      <c r="A1073" s="21" t="s">
        <v>1574</v>
      </c>
      <c r="B1073" s="40" t="s">
        <v>1575</v>
      </c>
      <c r="C1073" s="21" t="s">
        <v>254</v>
      </c>
      <c r="D1073" s="21" t="s">
        <v>74</v>
      </c>
      <c r="E1073" s="21" t="s">
        <v>97</v>
      </c>
      <c r="F1073" s="55">
        <v>1.2475406203964854E-4</v>
      </c>
      <c r="G1073" s="24">
        <v>6.9133820000000004</v>
      </c>
      <c r="H1073" s="24">
        <v>6.8589260000000003</v>
      </c>
      <c r="I1073" s="24">
        <v>8.297129</v>
      </c>
      <c r="J1073" s="24">
        <v>7.4559889999999998</v>
      </c>
      <c r="K1073" s="24">
        <v>3.9615580000000001</v>
      </c>
      <c r="L1073" s="24">
        <v>3.8491439999999999</v>
      </c>
      <c r="M1073" s="24">
        <v>92.758300000000006</v>
      </c>
      <c r="N1073" s="24">
        <v>4.5519070733761042</v>
      </c>
      <c r="O1073" s="24">
        <v>8.2716049382716061</v>
      </c>
      <c r="P1073" s="24">
        <v>3.8211382113821131</v>
      </c>
      <c r="Q1073" s="24">
        <v>3.217650146831569</v>
      </c>
      <c r="R1073" s="24">
        <v>5.27</v>
      </c>
      <c r="S1073" s="24">
        <v>4.5088733704909849</v>
      </c>
      <c r="T1073" s="24">
        <v>0.33749540295251551</v>
      </c>
      <c r="U1073" s="24" t="s">
        <v>3430</v>
      </c>
      <c r="V1073">
        <v>0</v>
      </c>
      <c r="W1073" s="21">
        <v>0</v>
      </c>
      <c r="X1073" s="56" t="str">
        <f>IFERROR(VLOOKUP(A1073,Output!A:F,6,0),"-")</f>
        <v>-</v>
      </c>
    </row>
    <row r="1074" spans="1:24" hidden="1" x14ac:dyDescent="0.25">
      <c r="A1074" s="21" t="s">
        <v>1636</v>
      </c>
      <c r="B1074" s="40" t="s">
        <v>1637</v>
      </c>
      <c r="C1074" s="21" t="s">
        <v>247</v>
      </c>
      <c r="D1074" s="21" t="s">
        <v>74</v>
      </c>
      <c r="E1074" s="21" t="s">
        <v>101</v>
      </c>
      <c r="F1074" s="55">
        <v>1.2472387987302912E-4</v>
      </c>
      <c r="G1074" s="24">
        <v>6.3539339999999997</v>
      </c>
      <c r="H1074" s="24">
        <v>5.9842779999999998</v>
      </c>
      <c r="I1074" s="24">
        <v>5.2048959999999997</v>
      </c>
      <c r="J1074" s="24">
        <v>5.7464570000000004</v>
      </c>
      <c r="K1074" s="24">
        <v>2.9550179999999999</v>
      </c>
      <c r="L1074" s="24">
        <v>7.2769190000000004</v>
      </c>
      <c r="M1074" s="24">
        <v>199.0806</v>
      </c>
      <c r="N1074" s="24">
        <v>8.4535970889804162</v>
      </c>
      <c r="O1074" s="24">
        <v>6.0606060606060606</v>
      </c>
      <c r="P1074" s="24">
        <v>2.818991097922849</v>
      </c>
      <c r="Q1074" s="24">
        <v>4.2275922521695968</v>
      </c>
      <c r="R1074" s="24">
        <v>5.95</v>
      </c>
      <c r="S1074" s="24">
        <v>5.3697496902513775</v>
      </c>
      <c r="T1074" s="24">
        <v>0.30153566761274936</v>
      </c>
      <c r="U1074" s="24" t="s">
        <v>3487</v>
      </c>
      <c r="V1074">
        <v>0</v>
      </c>
      <c r="W1074" s="21">
        <v>0</v>
      </c>
      <c r="X1074" s="56" t="str">
        <f>IFERROR(VLOOKUP(A1074,Output!A:F,6,0),"-")</f>
        <v>-</v>
      </c>
    </row>
    <row r="1075" spans="1:24" hidden="1" x14ac:dyDescent="0.25">
      <c r="A1075" s="21" t="s">
        <v>1592</v>
      </c>
      <c r="B1075" s="40" t="s">
        <v>1593</v>
      </c>
      <c r="C1075" s="21" t="s">
        <v>247</v>
      </c>
      <c r="D1075" s="21" t="s">
        <v>74</v>
      </c>
      <c r="E1075" s="21" t="s">
        <v>99</v>
      </c>
      <c r="F1075" s="55">
        <v>1.246165319670861E-4</v>
      </c>
      <c r="G1075" s="21">
        <v>6.8320030000000003</v>
      </c>
      <c r="H1075" s="21">
        <v>6.0960929999999998</v>
      </c>
      <c r="I1075" s="21">
        <v>7.3079099999999997</v>
      </c>
      <c r="J1075" s="21">
        <v>6.728002</v>
      </c>
      <c r="K1075" s="24">
        <v>1.3545100000000001</v>
      </c>
      <c r="L1075" s="24">
        <v>4.7878509999999999</v>
      </c>
      <c r="M1075" s="24">
        <v>1.1347</v>
      </c>
      <c r="N1075" s="24">
        <v>3.3631094825243251</v>
      </c>
      <c r="O1075" s="24">
        <v>7.0329670329670337</v>
      </c>
      <c r="P1075" s="24">
        <v>10</v>
      </c>
      <c r="Q1075" s="24">
        <v>3.9531099045366451</v>
      </c>
      <c r="R1075" s="24">
        <v>5.74</v>
      </c>
      <c r="S1075" s="24">
        <v>6.5245002740126257</v>
      </c>
      <c r="T1075" s="24">
        <v>0.47585040840976484</v>
      </c>
      <c r="U1075" s="24" t="s">
        <v>3459</v>
      </c>
      <c r="V1075">
        <v>0</v>
      </c>
      <c r="W1075" s="21">
        <v>0</v>
      </c>
      <c r="X1075" s="56" t="str">
        <f>IFERROR(VLOOKUP(A1075,Output!A:F,6,0),"-")</f>
        <v>-</v>
      </c>
    </row>
    <row r="1076" spans="1:24" hidden="1" x14ac:dyDescent="0.25">
      <c r="A1076" s="21" t="s">
        <v>1933</v>
      </c>
      <c r="B1076" s="40" t="s">
        <v>1934</v>
      </c>
      <c r="C1076" s="21" t="s">
        <v>247</v>
      </c>
      <c r="D1076" s="21" t="s">
        <v>74</v>
      </c>
      <c r="E1076" s="21" t="s">
        <v>87</v>
      </c>
      <c r="F1076" s="55">
        <v>1.2434056635696268E-4</v>
      </c>
      <c r="G1076" s="21" t="e">
        <v>#N/A</v>
      </c>
      <c r="H1076" s="21" t="e">
        <v>#N/A</v>
      </c>
      <c r="I1076" s="21" t="e">
        <v>#N/A</v>
      </c>
      <c r="J1076" s="21" t="e">
        <v>#N/A</v>
      </c>
      <c r="K1076" s="24">
        <v>2.3062130000000001</v>
      </c>
      <c r="L1076" s="24">
        <v>3.01491</v>
      </c>
      <c r="M1076" s="24" t="e">
        <v>#N/A</v>
      </c>
      <c r="N1076" s="24">
        <v>3.3148006354249402</v>
      </c>
      <c r="O1076" s="24">
        <v>1.5463917525773194</v>
      </c>
      <c r="P1076" s="24">
        <v>5.2786885245901649</v>
      </c>
      <c r="Q1076" s="24">
        <v>0.65811989936571791</v>
      </c>
      <c r="R1076" s="24">
        <v>4.72</v>
      </c>
      <c r="S1076" s="24">
        <v>2.6452375631605443</v>
      </c>
      <c r="T1076" s="24">
        <v>0.43172881445412903</v>
      </c>
      <c r="U1076" s="24" t="s">
        <v>3630</v>
      </c>
      <c r="V1076">
        <v>0</v>
      </c>
      <c r="W1076" s="21">
        <v>0</v>
      </c>
      <c r="X1076" s="56" t="str">
        <f>IFERROR(VLOOKUP(A1076,Output!A:F,6,0),"-")</f>
        <v>-</v>
      </c>
    </row>
    <row r="1077" spans="1:24" x14ac:dyDescent="0.25">
      <c r="A1077" s="21" t="s">
        <v>1609</v>
      </c>
      <c r="B1077" s="40" t="s">
        <v>1610</v>
      </c>
      <c r="C1077" s="21" t="s">
        <v>248</v>
      </c>
      <c r="D1077" s="21" t="s">
        <v>75</v>
      </c>
      <c r="E1077" s="21" t="s">
        <v>86</v>
      </c>
      <c r="F1077" s="55">
        <v>1.2398723379307154E-4</v>
      </c>
      <c r="G1077" s="24">
        <v>5.1325810000000001</v>
      </c>
      <c r="H1077" s="24">
        <v>5.7411560000000001</v>
      </c>
      <c r="I1077" s="24">
        <v>2.3286570000000002</v>
      </c>
      <c r="J1077" s="24">
        <v>4.400798</v>
      </c>
      <c r="K1077" s="24">
        <v>1.8250470000000001</v>
      </c>
      <c r="L1077" s="24">
        <v>3.403743</v>
      </c>
      <c r="M1077" s="24">
        <v>251.4683</v>
      </c>
      <c r="N1077" s="24">
        <v>5.3648331726133076</v>
      </c>
      <c r="O1077" s="24">
        <v>0.40000000000000036</v>
      </c>
      <c r="P1077" s="24">
        <v>1.5121951219512195</v>
      </c>
      <c r="Q1077" s="24">
        <v>4.4999627671457292</v>
      </c>
      <c r="R1077" s="24">
        <v>4.4000000000000004</v>
      </c>
      <c r="S1077" s="24">
        <v>3.2114516594129938</v>
      </c>
      <c r="T1077" s="24">
        <v>0.38658178339989779</v>
      </c>
      <c r="U1077" s="24" t="s">
        <v>3420</v>
      </c>
      <c r="V1077">
        <v>0</v>
      </c>
      <c r="W1077" s="21">
        <v>1</v>
      </c>
      <c r="X1077" s="56" t="str">
        <f>IFERROR(VLOOKUP(A1077,Output!A:F,6,0),"-")</f>
        <v>-</v>
      </c>
    </row>
    <row r="1078" spans="1:24" hidden="1" x14ac:dyDescent="0.25">
      <c r="A1078" s="21" t="s">
        <v>1725</v>
      </c>
      <c r="B1078" s="40" t="s">
        <v>1726</v>
      </c>
      <c r="C1078" s="21" t="s">
        <v>249</v>
      </c>
      <c r="D1078" s="21" t="s">
        <v>74</v>
      </c>
      <c r="E1078" s="21" t="s">
        <v>89</v>
      </c>
      <c r="F1078" s="55">
        <v>1.2361800528809414E-4</v>
      </c>
      <c r="G1078" s="24">
        <v>8.3276079999999997</v>
      </c>
      <c r="H1078" s="24">
        <v>5.8217160000000003</v>
      </c>
      <c r="I1078" s="24">
        <v>5.3533030000000004</v>
      </c>
      <c r="J1078" s="24">
        <v>6.4095389999999997</v>
      </c>
      <c r="K1078" s="24">
        <v>2.9824220000000001</v>
      </c>
      <c r="L1078" s="24">
        <v>7.6224910000000001</v>
      </c>
      <c r="M1078" s="24">
        <v>3.5882999999999998</v>
      </c>
      <c r="N1078" s="24">
        <v>8.4677602441166417</v>
      </c>
      <c r="O1078" s="24">
        <v>6.5656565656565657</v>
      </c>
      <c r="P1078" s="24">
        <v>6.6315789473684204</v>
      </c>
      <c r="Q1078" s="24">
        <v>2.0121278941565599</v>
      </c>
      <c r="R1078" s="24">
        <v>4.0599999999999996</v>
      </c>
      <c r="S1078" s="24">
        <v>5.1108557506814263</v>
      </c>
      <c r="T1078" s="24">
        <v>0.28159203925448795</v>
      </c>
      <c r="U1078" s="24" t="s">
        <v>3508</v>
      </c>
      <c r="V1078">
        <v>0</v>
      </c>
      <c r="W1078" s="21">
        <v>0</v>
      </c>
      <c r="X1078" s="56" t="str">
        <f>IFERROR(VLOOKUP(A1078,Output!A:F,6,0),"-")</f>
        <v>-</v>
      </c>
    </row>
    <row r="1079" spans="1:24" hidden="1" x14ac:dyDescent="0.25">
      <c r="A1079" s="21" t="s">
        <v>475</v>
      </c>
      <c r="B1079" s="40" t="s">
        <v>860</v>
      </c>
      <c r="C1079" s="21" t="s">
        <v>244</v>
      </c>
      <c r="D1079" s="21" t="s">
        <v>73</v>
      </c>
      <c r="E1079" s="21" t="s">
        <v>97</v>
      </c>
      <c r="F1079" s="55">
        <v>1.2345964952056434E-4</v>
      </c>
      <c r="G1079" s="24">
        <v>5.7743359999999999</v>
      </c>
      <c r="H1079" s="24">
        <v>4.598776</v>
      </c>
      <c r="I1079" s="24">
        <v>5.3629360000000004</v>
      </c>
      <c r="J1079" s="24">
        <v>5.3746640000000001</v>
      </c>
      <c r="K1079" s="24">
        <v>0</v>
      </c>
      <c r="L1079" s="24">
        <v>2.5726830000000001</v>
      </c>
      <c r="M1079" s="24">
        <v>2.9129</v>
      </c>
      <c r="N1079" s="24">
        <v>4.0154003274916947</v>
      </c>
      <c r="O1079" s="24">
        <v>8.9690721649484537</v>
      </c>
      <c r="P1079" s="24">
        <v>0.42424181818181828</v>
      </c>
      <c r="Q1079" s="24">
        <v>5.0832279814580694</v>
      </c>
      <c r="R1079" s="24" t="e">
        <v>#N/A</v>
      </c>
      <c r="S1079" s="24">
        <v>2.3171213631187171</v>
      </c>
      <c r="T1079" s="24">
        <v>1.5960801699595679</v>
      </c>
      <c r="U1079" s="24" t="s">
        <v>2965</v>
      </c>
      <c r="V1079">
        <v>0</v>
      </c>
      <c r="W1079" s="21">
        <v>0</v>
      </c>
      <c r="X1079" s="56" t="str">
        <f>IFERROR(VLOOKUP(A1079,Output!A:F,6,0),"-")</f>
        <v>-</v>
      </c>
    </row>
    <row r="1080" spans="1:24" hidden="1" x14ac:dyDescent="0.25">
      <c r="A1080" s="21" t="s">
        <v>2114</v>
      </c>
      <c r="B1080" s="40" t="s">
        <v>2115</v>
      </c>
      <c r="C1080" s="21" t="s">
        <v>251</v>
      </c>
      <c r="D1080" s="21" t="s">
        <v>74</v>
      </c>
      <c r="E1080" s="21" t="s">
        <v>95</v>
      </c>
      <c r="F1080" s="55">
        <v>1.2322221647649169E-4</v>
      </c>
      <c r="G1080" s="24">
        <v>7.5182409999999997</v>
      </c>
      <c r="H1080" s="24">
        <v>6.6595139999999997</v>
      </c>
      <c r="I1080" s="24">
        <v>4.1068740000000004</v>
      </c>
      <c r="J1080" s="24">
        <v>6.323086</v>
      </c>
      <c r="K1080" s="24">
        <v>9.2296099999999992</v>
      </c>
      <c r="L1080" s="24">
        <v>10.83282</v>
      </c>
      <c r="M1080" s="24">
        <v>188.58420000000001</v>
      </c>
      <c r="N1080" s="24">
        <v>6.321492695876417</v>
      </c>
      <c r="O1080" s="24">
        <v>1.2359550561797754</v>
      </c>
      <c r="P1080" s="24">
        <v>6.566037735849056</v>
      </c>
      <c r="Q1080" s="24">
        <v>6.3694246170064384</v>
      </c>
      <c r="R1080" s="24">
        <v>8.02</v>
      </c>
      <c r="S1080" s="24">
        <v>6.3438953820868083</v>
      </c>
      <c r="T1080" s="24">
        <v>0.3990554556066731</v>
      </c>
      <c r="U1080" s="24" t="s">
        <v>3689</v>
      </c>
      <c r="V1080">
        <v>1</v>
      </c>
      <c r="W1080" s="21">
        <v>0</v>
      </c>
      <c r="X1080" s="56" t="str">
        <f>IFERROR(VLOOKUP(A1080,Output!A:F,6,0),"-")</f>
        <v>-</v>
      </c>
    </row>
    <row r="1081" spans="1:24" hidden="1" x14ac:dyDescent="0.25">
      <c r="A1081" s="21" t="s">
        <v>1838</v>
      </c>
      <c r="B1081" s="40" t="s">
        <v>1839</v>
      </c>
      <c r="C1081" s="21" t="s">
        <v>247</v>
      </c>
      <c r="D1081" s="21" t="s">
        <v>74</v>
      </c>
      <c r="E1081" s="21" t="s">
        <v>90</v>
      </c>
      <c r="F1081" s="55">
        <v>1.2316305942991764E-4</v>
      </c>
      <c r="G1081" s="24">
        <v>6.6218180000000002</v>
      </c>
      <c r="H1081" s="24">
        <v>7.9309260000000004</v>
      </c>
      <c r="I1081" s="24">
        <v>6.4502620000000004</v>
      </c>
      <c r="J1081" s="24">
        <v>6.9630830000000001</v>
      </c>
      <c r="K1081" s="24">
        <v>3.4728789999999998</v>
      </c>
      <c r="L1081" s="24">
        <v>8.1502560000000006</v>
      </c>
      <c r="M1081" s="24">
        <v>194.07419999999999</v>
      </c>
      <c r="N1081" s="24">
        <v>5.3672664045880172</v>
      </c>
      <c r="O1081" s="24">
        <v>8.9473684210526319</v>
      </c>
      <c r="P1081" s="24">
        <v>8.5531914893617014</v>
      </c>
      <c r="Q1081" s="24">
        <v>6.3850032253986839</v>
      </c>
      <c r="R1081" s="24">
        <v>5.25</v>
      </c>
      <c r="S1081" s="24">
        <v>6.6036063892923753</v>
      </c>
      <c r="T1081" s="24">
        <v>0.10667993958518891</v>
      </c>
      <c r="U1081" s="24" t="s">
        <v>3606</v>
      </c>
      <c r="V1081">
        <v>0</v>
      </c>
      <c r="W1081" s="21">
        <v>0</v>
      </c>
      <c r="X1081" s="56" t="str">
        <f>IFERROR(VLOOKUP(A1081,Output!A:F,6,0),"-")</f>
        <v>-</v>
      </c>
    </row>
    <row r="1082" spans="1:24" hidden="1" x14ac:dyDescent="0.25">
      <c r="A1082" s="21" t="s">
        <v>4488</v>
      </c>
      <c r="B1082" s="40" t="s">
        <v>4489</v>
      </c>
      <c r="C1082" s="21" t="s">
        <v>244</v>
      </c>
      <c r="D1082" s="21" t="s">
        <v>73</v>
      </c>
      <c r="E1082" s="21" t="s">
        <v>98</v>
      </c>
      <c r="F1082" s="55">
        <v>1.2240548704777059E-4</v>
      </c>
      <c r="G1082" s="24">
        <v>3.9300380000000001</v>
      </c>
      <c r="H1082" s="24">
        <v>4.1487610000000004</v>
      </c>
      <c r="I1082" s="24">
        <v>5.1791609999999997</v>
      </c>
      <c r="J1082" s="24">
        <v>4.5171770000000002</v>
      </c>
      <c r="K1082" s="24">
        <v>2.1906119999999998</v>
      </c>
      <c r="L1082" s="24">
        <v>13.715249999999999</v>
      </c>
      <c r="M1082" s="24">
        <v>36.010899999999999</v>
      </c>
      <c r="N1082" s="24">
        <v>6.0599668175619641</v>
      </c>
      <c r="O1082" s="24">
        <v>5.204081632653061</v>
      </c>
      <c r="P1082" s="24">
        <v>7.8055822822159096</v>
      </c>
      <c r="Q1082" s="24">
        <v>6.8275000904756133</v>
      </c>
      <c r="R1082" s="24">
        <v>6.22</v>
      </c>
      <c r="S1082" s="24">
        <v>7.8723993718991609</v>
      </c>
      <c r="T1082" s="24">
        <v>0.29396620495219111</v>
      </c>
      <c r="U1082" s="24" t="s">
        <v>4490</v>
      </c>
      <c r="V1082">
        <v>0</v>
      </c>
      <c r="W1082" s="21">
        <v>1</v>
      </c>
      <c r="X1082" s="56" t="str">
        <f>IFERROR(VLOOKUP(A1082,Output!A:F,6,0),"-")</f>
        <v>-</v>
      </c>
    </row>
    <row r="1083" spans="1:24" hidden="1" x14ac:dyDescent="0.25">
      <c r="A1083" s="21" t="s">
        <v>533</v>
      </c>
      <c r="B1083" s="40" t="s">
        <v>975</v>
      </c>
      <c r="C1083" s="21" t="s">
        <v>244</v>
      </c>
      <c r="D1083" s="21" t="s">
        <v>73</v>
      </c>
      <c r="E1083" s="21" t="s">
        <v>87</v>
      </c>
      <c r="F1083" s="55">
        <v>1.2235317129229696E-4</v>
      </c>
      <c r="G1083" s="24">
        <v>6.3828719999999999</v>
      </c>
      <c r="H1083" s="24">
        <v>5.9104700000000001</v>
      </c>
      <c r="I1083" s="24">
        <v>5.3742299999999998</v>
      </c>
      <c r="J1083" s="24">
        <v>5.8891910000000003</v>
      </c>
      <c r="K1083" s="24">
        <v>3.9102199999999998</v>
      </c>
      <c r="L1083" s="24">
        <v>6.1715720000000003</v>
      </c>
      <c r="M1083" s="24">
        <v>37.392000000000003</v>
      </c>
      <c r="N1083" s="24">
        <v>2.4664262637616869</v>
      </c>
      <c r="O1083" s="24">
        <v>0.72164948453608235</v>
      </c>
      <c r="P1083" s="24">
        <v>5.1481481481481488</v>
      </c>
      <c r="Q1083" s="24">
        <v>6.4816819982494085</v>
      </c>
      <c r="R1083" s="24">
        <v>6.64</v>
      </c>
      <c r="S1083" s="24">
        <v>4.8548881835075655</v>
      </c>
      <c r="T1083" s="24">
        <v>0.98091678379340008</v>
      </c>
      <c r="U1083" s="24" t="s">
        <v>3096</v>
      </c>
      <c r="V1083">
        <v>0</v>
      </c>
      <c r="W1083" s="21">
        <v>0</v>
      </c>
      <c r="X1083" s="56" t="str">
        <f>IFERROR(VLOOKUP(A1083,Output!A:F,6,0),"-")</f>
        <v>-</v>
      </c>
    </row>
    <row r="1084" spans="1:24" hidden="1" x14ac:dyDescent="0.25">
      <c r="A1084" s="21" t="s">
        <v>4218</v>
      </c>
      <c r="B1084" s="40" t="s">
        <v>4219</v>
      </c>
      <c r="C1084" s="21" t="s">
        <v>250</v>
      </c>
      <c r="D1084" s="21" t="s">
        <v>76</v>
      </c>
      <c r="E1084" s="21" t="s">
        <v>86</v>
      </c>
      <c r="F1084" s="55">
        <v>1.2233596745732389E-4</v>
      </c>
      <c r="G1084" s="24">
        <v>6.9311040000000004</v>
      </c>
      <c r="H1084" s="24">
        <v>6.8069069999999998</v>
      </c>
      <c r="I1084" s="24">
        <v>5.2497030000000002</v>
      </c>
      <c r="J1084" s="24">
        <v>6.3292380000000001</v>
      </c>
      <c r="K1084" s="24">
        <v>0.20786109999999999</v>
      </c>
      <c r="L1084" s="24">
        <v>2.4278059999999999</v>
      </c>
      <c r="M1084" s="24">
        <v>671.04359999999997</v>
      </c>
      <c r="N1084" s="24">
        <v>2.0041497102323174</v>
      </c>
      <c r="O1084" s="24">
        <v>2.7380952380952381</v>
      </c>
      <c r="P1084" s="24">
        <v>10</v>
      </c>
      <c r="Q1084" s="24">
        <v>1.7342857205398534</v>
      </c>
      <c r="R1084" s="24">
        <v>2.25</v>
      </c>
      <c r="S1084" s="24">
        <v>3.3349796006428183</v>
      </c>
      <c r="T1084" s="24">
        <v>0.62238447421809184</v>
      </c>
      <c r="U1084" s="24" t="s">
        <v>4220</v>
      </c>
      <c r="V1084">
        <v>0</v>
      </c>
      <c r="W1084" s="21">
        <v>0</v>
      </c>
      <c r="X1084" s="56" t="str">
        <f>IFERROR(VLOOKUP(A1084,Output!A:F,6,0),"-")</f>
        <v>-</v>
      </c>
    </row>
    <row r="1085" spans="1:24" hidden="1" x14ac:dyDescent="0.25">
      <c r="A1085" s="21" t="s">
        <v>108</v>
      </c>
      <c r="B1085" s="40" t="s">
        <v>177</v>
      </c>
      <c r="C1085" s="21" t="s">
        <v>244</v>
      </c>
      <c r="D1085" s="21" t="s">
        <v>73</v>
      </c>
      <c r="E1085" s="21" t="s">
        <v>92</v>
      </c>
      <c r="F1085" s="55">
        <v>1.2215356656372064E-4</v>
      </c>
      <c r="G1085" s="24">
        <v>6.0832179999999996</v>
      </c>
      <c r="H1085" s="24">
        <v>5.9934329999999996</v>
      </c>
      <c r="I1085" s="24">
        <v>5.252993</v>
      </c>
      <c r="J1085" s="24">
        <v>5.8072150000000002</v>
      </c>
      <c r="K1085" s="24">
        <v>3.336468</v>
      </c>
      <c r="L1085" s="24">
        <v>3.8571930000000001</v>
      </c>
      <c r="M1085" s="24">
        <v>1.5886</v>
      </c>
      <c r="N1085" s="24">
        <v>2.2845639204545458</v>
      </c>
      <c r="O1085" s="24">
        <v>0</v>
      </c>
      <c r="P1085" s="24">
        <v>5.8290422416929264</v>
      </c>
      <c r="Q1085" s="24">
        <v>5.8198385983541279</v>
      </c>
      <c r="R1085" s="24">
        <v>7.69</v>
      </c>
      <c r="S1085" s="24">
        <v>4.6665774858492455</v>
      </c>
      <c r="T1085" s="24">
        <v>0.80448781272861303</v>
      </c>
      <c r="U1085" s="24" t="s">
        <v>2792</v>
      </c>
      <c r="V1085">
        <v>0</v>
      </c>
      <c r="W1085" s="21">
        <v>0</v>
      </c>
      <c r="X1085" s="56" t="str">
        <f>IFERROR(VLOOKUP(A1085,Output!A:F,6,0),"-")</f>
        <v>-</v>
      </c>
    </row>
    <row r="1086" spans="1:24" hidden="1" x14ac:dyDescent="0.25">
      <c r="A1086" s="21" t="s">
        <v>1614</v>
      </c>
      <c r="B1086" s="40" t="s">
        <v>1615</v>
      </c>
      <c r="C1086" s="21" t="s">
        <v>247</v>
      </c>
      <c r="D1086" s="21" t="s">
        <v>74</v>
      </c>
      <c r="E1086" s="21" t="s">
        <v>92</v>
      </c>
      <c r="F1086" s="55">
        <v>1.2199601565396733E-4</v>
      </c>
      <c r="G1086" s="24">
        <v>5.9495089999999999</v>
      </c>
      <c r="H1086" s="24">
        <v>4.9631429999999996</v>
      </c>
      <c r="I1086" s="24">
        <v>4.5531699999999997</v>
      </c>
      <c r="J1086" s="24">
        <v>5.2346969999999997</v>
      </c>
      <c r="K1086" s="24">
        <v>2.6516869999999999</v>
      </c>
      <c r="L1086" s="24">
        <v>6.1474000000000002</v>
      </c>
      <c r="M1086" s="24">
        <v>24.300899999999999</v>
      </c>
      <c r="N1086" s="24">
        <v>3.7629629629629635</v>
      </c>
      <c r="O1086" s="24">
        <v>4.6938775510204076</v>
      </c>
      <c r="P1086" s="24">
        <v>4.3561643835616444</v>
      </c>
      <c r="Q1086" s="24">
        <v>5.8019783818194206</v>
      </c>
      <c r="R1086" s="24">
        <v>5.94</v>
      </c>
      <c r="S1086" s="24">
        <v>5.8643935656214934</v>
      </c>
      <c r="T1086" s="24">
        <v>0.42169192970053471</v>
      </c>
      <c r="U1086" s="24" t="s">
        <v>3445</v>
      </c>
      <c r="V1086">
        <v>0</v>
      </c>
      <c r="W1086" s="21">
        <v>0</v>
      </c>
      <c r="X1086" s="56" t="str">
        <f>IFERROR(VLOOKUP(A1086,Output!A:F,6,0),"-")</f>
        <v>-</v>
      </c>
    </row>
    <row r="1087" spans="1:24" hidden="1" x14ac:dyDescent="0.25">
      <c r="A1087" s="21" t="s">
        <v>1427</v>
      </c>
      <c r="B1087" s="40" t="s">
        <v>1428</v>
      </c>
      <c r="C1087" s="21" t="s">
        <v>250</v>
      </c>
      <c r="D1087" s="21" t="s">
        <v>76</v>
      </c>
      <c r="E1087" s="21" t="s">
        <v>89</v>
      </c>
      <c r="F1087" s="55">
        <v>1.2193031913795911E-4</v>
      </c>
      <c r="G1087" s="24">
        <v>3.8625029999999998</v>
      </c>
      <c r="H1087" s="24">
        <v>5.6461240000000004</v>
      </c>
      <c r="I1087" s="24">
        <v>5.3563190000000001</v>
      </c>
      <c r="J1087" s="24">
        <v>5.0096059999999998</v>
      </c>
      <c r="K1087" s="24">
        <v>3.1914470000000001</v>
      </c>
      <c r="L1087" s="24">
        <v>3.9079120000000001</v>
      </c>
      <c r="M1087" s="24">
        <v>8.3764000000000003</v>
      </c>
      <c r="N1087" s="24">
        <v>1.0080065502183413</v>
      </c>
      <c r="O1087" s="24">
        <v>0</v>
      </c>
      <c r="P1087" s="24">
        <v>9.4827585850178338</v>
      </c>
      <c r="Q1087" s="24">
        <v>0</v>
      </c>
      <c r="R1087" s="24">
        <v>3.49</v>
      </c>
      <c r="S1087" s="24">
        <v>3.2705392774358586</v>
      </c>
      <c r="T1087" s="24">
        <v>0.27721071274612474</v>
      </c>
      <c r="U1087" s="24" t="s">
        <v>3360</v>
      </c>
      <c r="V1087">
        <v>0</v>
      </c>
      <c r="W1087" s="21">
        <v>0</v>
      </c>
      <c r="X1087" s="56" t="str">
        <f>IFERROR(VLOOKUP(A1087,Output!A:F,6,0),"-")</f>
        <v>-</v>
      </c>
    </row>
    <row r="1088" spans="1:24" hidden="1" x14ac:dyDescent="0.25">
      <c r="A1088" s="21" t="s">
        <v>1890</v>
      </c>
      <c r="B1088" s="40" t="s">
        <v>1891</v>
      </c>
      <c r="C1088" s="21" t="s">
        <v>1441</v>
      </c>
      <c r="D1088" s="21" t="s">
        <v>74</v>
      </c>
      <c r="E1088" s="21" t="s">
        <v>86</v>
      </c>
      <c r="F1088" s="55">
        <v>1.2186220804862132E-4</v>
      </c>
      <c r="G1088" s="24">
        <v>4.5768449999999996</v>
      </c>
      <c r="H1088" s="24">
        <v>2.9556870000000002</v>
      </c>
      <c r="I1088" s="24">
        <v>4.9244019999999997</v>
      </c>
      <c r="J1088" s="24">
        <v>4.1523110000000001</v>
      </c>
      <c r="K1088" s="24">
        <v>2.1877960000000001</v>
      </c>
      <c r="L1088" s="24">
        <v>3.1031879999999998</v>
      </c>
      <c r="M1088" s="24">
        <v>279.41759999999999</v>
      </c>
      <c r="N1088" s="24">
        <v>2.7005559968228754</v>
      </c>
      <c r="O1088" s="24">
        <v>3.1958762886597936</v>
      </c>
      <c r="P1088" s="24">
        <v>0.19672131147541003</v>
      </c>
      <c r="Q1088" s="24">
        <v>4.4595380541570302</v>
      </c>
      <c r="R1088" s="24">
        <v>3.58</v>
      </c>
      <c r="S1088" s="24">
        <v>2.2199701883080127</v>
      </c>
      <c r="T1088" s="24">
        <v>0.69372421426162578</v>
      </c>
      <c r="U1088" s="24" t="s">
        <v>3570</v>
      </c>
      <c r="V1088">
        <v>0</v>
      </c>
      <c r="W1088" s="21">
        <v>1</v>
      </c>
      <c r="X1088" s="56" t="str">
        <f>IFERROR(VLOOKUP(A1088,Output!A:F,6,0),"-")</f>
        <v>-</v>
      </c>
    </row>
    <row r="1089" spans="1:24" hidden="1" x14ac:dyDescent="0.25">
      <c r="A1089" s="21" t="s">
        <v>1632</v>
      </c>
      <c r="B1089" s="40" t="s">
        <v>1633</v>
      </c>
      <c r="C1089" s="21" t="s">
        <v>254</v>
      </c>
      <c r="D1089" s="21" t="s">
        <v>74</v>
      </c>
      <c r="E1089" s="21" t="s">
        <v>93</v>
      </c>
      <c r="F1089" s="55">
        <v>1.2141631684043065E-4</v>
      </c>
      <c r="G1089" s="21">
        <v>4.6107909999999999</v>
      </c>
      <c r="H1089" s="21">
        <v>5.9756549999999997</v>
      </c>
      <c r="I1089" s="21">
        <v>3.741698</v>
      </c>
      <c r="J1089" s="21">
        <v>4.7843109999999998</v>
      </c>
      <c r="K1089" s="24">
        <v>5.9324690000000002</v>
      </c>
      <c r="L1089" s="24">
        <v>7.3935510000000004</v>
      </c>
      <c r="M1089" s="24">
        <v>2.0217999999999998</v>
      </c>
      <c r="N1089" s="24">
        <v>4.6573743057990464</v>
      </c>
      <c r="O1089" s="24">
        <v>0.20202020202020204</v>
      </c>
      <c r="P1089" s="24">
        <v>2.6140347368421053</v>
      </c>
      <c r="Q1089" s="24">
        <v>3.6108048511576625</v>
      </c>
      <c r="R1089" s="24">
        <v>6.69</v>
      </c>
      <c r="S1089" s="24">
        <v>4.438190723553415</v>
      </c>
      <c r="T1089" s="24">
        <v>0.40554766883734589</v>
      </c>
      <c r="U1089" s="24" t="s">
        <v>3454</v>
      </c>
      <c r="V1089">
        <v>0</v>
      </c>
      <c r="W1089" s="21">
        <v>0</v>
      </c>
      <c r="X1089" s="56" t="str">
        <f>IFERROR(VLOOKUP(A1089,Output!A:F,6,0),"-")</f>
        <v>-</v>
      </c>
    </row>
    <row r="1090" spans="1:24" hidden="1" x14ac:dyDescent="0.25">
      <c r="A1090" s="21" t="s">
        <v>1719</v>
      </c>
      <c r="B1090" s="40" t="s">
        <v>1720</v>
      </c>
      <c r="C1090" s="21" t="s">
        <v>252</v>
      </c>
      <c r="D1090" s="21" t="s">
        <v>74</v>
      </c>
      <c r="E1090" s="21" t="s">
        <v>93</v>
      </c>
      <c r="F1090" s="55">
        <v>1.2082283483747107E-4</v>
      </c>
      <c r="G1090" s="24">
        <v>7.0316070000000002</v>
      </c>
      <c r="H1090" s="24">
        <v>5.1487660000000002</v>
      </c>
      <c r="I1090" s="24">
        <v>5.3515699999999997</v>
      </c>
      <c r="J1090" s="24">
        <v>5.7846000000000002</v>
      </c>
      <c r="K1090" s="24">
        <v>8.0507349999999995</v>
      </c>
      <c r="L1090" s="24">
        <v>17.07752</v>
      </c>
      <c r="M1090" s="24">
        <v>0.78952</v>
      </c>
      <c r="N1090" s="24">
        <v>5.7778255609981333</v>
      </c>
      <c r="O1090" s="24">
        <v>2.2222222222222223</v>
      </c>
      <c r="P1090" s="24">
        <v>4</v>
      </c>
      <c r="Q1090" s="24">
        <v>6.0956449834619617</v>
      </c>
      <c r="R1090" s="24">
        <v>7.22</v>
      </c>
      <c r="S1090" s="24">
        <v>6.2958786261583342</v>
      </c>
      <c r="T1090" s="24">
        <v>0.39505945742373716</v>
      </c>
      <c r="U1090" s="24" t="s">
        <v>3501</v>
      </c>
      <c r="V1090">
        <v>0</v>
      </c>
      <c r="W1090" s="21">
        <v>0</v>
      </c>
      <c r="X1090" s="56" t="str">
        <f>IFERROR(VLOOKUP(A1090,Output!A:F,6,0),"-")</f>
        <v>-</v>
      </c>
    </row>
    <row r="1091" spans="1:24" hidden="1" x14ac:dyDescent="0.25">
      <c r="A1091" s="21" t="s">
        <v>445</v>
      </c>
      <c r="B1091" s="40" t="s">
        <v>686</v>
      </c>
      <c r="C1091" s="21" t="s">
        <v>245</v>
      </c>
      <c r="D1091" s="21" t="s">
        <v>73</v>
      </c>
      <c r="E1091" s="21" t="s">
        <v>86</v>
      </c>
      <c r="F1091" s="55">
        <v>1.2080834739749376E-4</v>
      </c>
      <c r="G1091" s="24">
        <v>4.3226259999999996</v>
      </c>
      <c r="H1091" s="24">
        <v>5.1032859999999998</v>
      </c>
      <c r="I1091" s="24">
        <v>6.986237</v>
      </c>
      <c r="J1091" s="24">
        <v>5.4707160000000004</v>
      </c>
      <c r="K1091" s="24">
        <v>1.9052579999999999</v>
      </c>
      <c r="L1091" s="24" t="e">
        <v>#N/A</v>
      </c>
      <c r="M1091" s="24">
        <v>618.93589999999995</v>
      </c>
      <c r="N1091" s="24">
        <v>2.3954024997625254</v>
      </c>
      <c r="O1091" s="24">
        <v>3.5051546391752577</v>
      </c>
      <c r="P1091" s="24">
        <v>6.518518518518519</v>
      </c>
      <c r="Q1091" s="24">
        <v>5.5025065037657841</v>
      </c>
      <c r="R1091" s="24">
        <v>6.35</v>
      </c>
      <c r="S1091" s="24" t="e">
        <v>#N/A</v>
      </c>
      <c r="T1091" s="24">
        <v>0.38422048215033688</v>
      </c>
      <c r="U1091" s="24" t="s">
        <v>2915</v>
      </c>
      <c r="V1091">
        <v>0</v>
      </c>
      <c r="W1091" s="21">
        <v>0</v>
      </c>
      <c r="X1091" s="56" t="str">
        <f>IFERROR(VLOOKUP(A1091,Output!A:F,6,0),"-")</f>
        <v>-</v>
      </c>
    </row>
    <row r="1092" spans="1:24" hidden="1" x14ac:dyDescent="0.25">
      <c r="A1092" s="21" t="s">
        <v>1744</v>
      </c>
      <c r="B1092" s="40" t="s">
        <v>1745</v>
      </c>
      <c r="C1092" s="21" t="s">
        <v>257</v>
      </c>
      <c r="D1092" s="21" t="s">
        <v>74</v>
      </c>
      <c r="E1092" s="21" t="s">
        <v>103</v>
      </c>
      <c r="F1092" s="55">
        <v>1.2079416177918264E-4</v>
      </c>
      <c r="G1092" s="24">
        <v>6.3529619999999998</v>
      </c>
      <c r="H1092" s="24">
        <v>6.2852139999999999</v>
      </c>
      <c r="I1092" s="24">
        <v>2.8909189999999998</v>
      </c>
      <c r="J1092" s="24">
        <v>5.2940250000000004</v>
      </c>
      <c r="K1092" s="24">
        <v>6.3811869999999997</v>
      </c>
      <c r="L1092" s="24">
        <v>34.483649999999997</v>
      </c>
      <c r="M1092" s="24">
        <v>1.7699</v>
      </c>
      <c r="N1092" s="24">
        <v>5.4129777855423944</v>
      </c>
      <c r="O1092" s="24">
        <v>3.6363636363636367</v>
      </c>
      <c r="P1092" s="24">
        <v>5.9643916913946597</v>
      </c>
      <c r="Q1092" s="24">
        <v>8.6060647926111749</v>
      </c>
      <c r="R1092" s="24">
        <v>7.5599990000000004</v>
      </c>
      <c r="S1092" s="24">
        <v>7.6393681885952214</v>
      </c>
      <c r="T1092" s="24">
        <v>0.55933656463118697</v>
      </c>
      <c r="U1092" s="24" t="s">
        <v>3517</v>
      </c>
      <c r="V1092">
        <v>0</v>
      </c>
      <c r="W1092" s="21">
        <v>0</v>
      </c>
      <c r="X1092" s="56" t="str">
        <f>IFERROR(VLOOKUP(A1092,Output!A:F,6,0),"-")</f>
        <v>-</v>
      </c>
    </row>
    <row r="1093" spans="1:24" hidden="1" x14ac:dyDescent="0.25">
      <c r="A1093" s="21" t="s">
        <v>1232</v>
      </c>
      <c r="B1093" s="40" t="s">
        <v>1233</v>
      </c>
      <c r="C1093" s="21" t="s">
        <v>244</v>
      </c>
      <c r="D1093" s="21" t="s">
        <v>73</v>
      </c>
      <c r="E1093" s="21" t="s">
        <v>101</v>
      </c>
      <c r="F1093" s="55">
        <v>1.201342790096604E-4</v>
      </c>
      <c r="G1093" s="24">
        <v>4.1490859999999996</v>
      </c>
      <c r="H1093" s="24">
        <v>6.281034</v>
      </c>
      <c r="I1093" s="24">
        <v>4.5546259999999998</v>
      </c>
      <c r="J1093" s="24">
        <v>4.9103320000000004</v>
      </c>
      <c r="K1093" s="24">
        <v>0.82208009999999998</v>
      </c>
      <c r="L1093" s="24">
        <v>16.443190000000001</v>
      </c>
      <c r="M1093" s="24">
        <v>943.6019</v>
      </c>
      <c r="N1093" s="24">
        <v>2.7301524882014343</v>
      </c>
      <c r="O1093" s="24">
        <v>6.1224489795918355</v>
      </c>
      <c r="P1093" s="24">
        <v>5.7555341511281402</v>
      </c>
      <c r="Q1093" s="24">
        <v>8.87476890194195</v>
      </c>
      <c r="R1093" s="24">
        <v>5.29</v>
      </c>
      <c r="S1093" s="24">
        <v>6.016607239434296</v>
      </c>
      <c r="T1093" s="24">
        <v>1.3969022094010508</v>
      </c>
      <c r="U1093" s="24" t="s">
        <v>3236</v>
      </c>
      <c r="V1093">
        <v>0</v>
      </c>
      <c r="W1093" s="21">
        <v>0</v>
      </c>
      <c r="X1093" s="56" t="str">
        <f>IFERROR(VLOOKUP(A1093,Output!A:F,6,0),"-")</f>
        <v>-</v>
      </c>
    </row>
    <row r="1094" spans="1:24" x14ac:dyDescent="0.25">
      <c r="A1094" s="21" t="s">
        <v>1624</v>
      </c>
      <c r="B1094" s="40" t="s">
        <v>1625</v>
      </c>
      <c r="C1094" s="21" t="s">
        <v>253</v>
      </c>
      <c r="D1094" s="21" t="s">
        <v>75</v>
      </c>
      <c r="E1094" s="21" t="s">
        <v>102</v>
      </c>
      <c r="F1094" s="55">
        <v>1.1979301931241698E-4</v>
      </c>
      <c r="G1094" s="24">
        <v>3.8918270000000001</v>
      </c>
      <c r="H1094" s="24">
        <v>5.1762139999999999</v>
      </c>
      <c r="I1094" s="24">
        <v>4.9533560000000003</v>
      </c>
      <c r="J1094" s="24">
        <v>4.3610100000000003</v>
      </c>
      <c r="K1094" s="24">
        <v>6.1640309999999996</v>
      </c>
      <c r="L1094" s="24">
        <v>6.6355959999999996</v>
      </c>
      <c r="M1094" s="24">
        <v>597.91769999999997</v>
      </c>
      <c r="N1094" s="24">
        <v>0</v>
      </c>
      <c r="O1094" s="24">
        <v>6.2499999999999982</v>
      </c>
      <c r="P1094" s="24">
        <v>6.4024390243902438</v>
      </c>
      <c r="Q1094" s="24">
        <v>0</v>
      </c>
      <c r="R1094" s="24">
        <v>6.9000009999999996</v>
      </c>
      <c r="S1094" s="24">
        <v>4.2506097560975604</v>
      </c>
      <c r="T1094" s="24">
        <v>0.39368525827233852</v>
      </c>
      <c r="U1094" s="24" t="s">
        <v>3505</v>
      </c>
      <c r="V1094">
        <v>1</v>
      </c>
      <c r="W1094" s="21">
        <v>1</v>
      </c>
      <c r="X1094" s="56" t="str">
        <f>IFERROR(VLOOKUP(A1094,Output!A:F,6,0),"-")</f>
        <v>-</v>
      </c>
    </row>
    <row r="1095" spans="1:24" hidden="1" x14ac:dyDescent="0.25">
      <c r="A1095" s="21" t="s">
        <v>2126</v>
      </c>
      <c r="B1095" s="40" t="s">
        <v>2127</v>
      </c>
      <c r="C1095" s="21" t="s">
        <v>251</v>
      </c>
      <c r="D1095" s="21" t="s">
        <v>74</v>
      </c>
      <c r="E1095" s="21" t="s">
        <v>100</v>
      </c>
      <c r="F1095" s="55">
        <v>1.194594057640505E-4</v>
      </c>
      <c r="G1095" s="24">
        <v>2.4168069999999999</v>
      </c>
      <c r="H1095" s="24">
        <v>5.2901680000000004</v>
      </c>
      <c r="I1095" s="24">
        <v>5.8807770000000001</v>
      </c>
      <c r="J1095" s="24">
        <v>4.5292510000000004</v>
      </c>
      <c r="K1095" s="24">
        <v>7.802664</v>
      </c>
      <c r="L1095" s="24">
        <v>6.5768550000000001</v>
      </c>
      <c r="M1095" s="24">
        <v>99.4131</v>
      </c>
      <c r="N1095" s="24">
        <v>0.76737892069689528</v>
      </c>
      <c r="O1095" s="24">
        <v>6.6666666666666661</v>
      </c>
      <c r="P1095" s="24">
        <v>8.3763837638376391</v>
      </c>
      <c r="Q1095" s="24">
        <v>3.3353391440410149</v>
      </c>
      <c r="R1095" s="24">
        <v>6.39</v>
      </c>
      <c r="S1095" s="24">
        <v>5.4429372745388136</v>
      </c>
      <c r="T1095" s="24">
        <v>-5.917322061675865E-2</v>
      </c>
      <c r="U1095" s="24" t="s">
        <v>3765</v>
      </c>
      <c r="V1095">
        <v>0</v>
      </c>
      <c r="W1095" s="21">
        <v>1</v>
      </c>
      <c r="X1095" s="56" t="str">
        <f>IFERROR(VLOOKUP(A1095,Output!A:F,6,0),"-")</f>
        <v>-</v>
      </c>
    </row>
    <row r="1096" spans="1:24" hidden="1" x14ac:dyDescent="0.25">
      <c r="A1096" s="21" t="s">
        <v>1736</v>
      </c>
      <c r="B1096" s="40" t="s">
        <v>1737</v>
      </c>
      <c r="C1096" s="21" t="s">
        <v>249</v>
      </c>
      <c r="D1096" s="21" t="s">
        <v>74</v>
      </c>
      <c r="E1096" s="21" t="s">
        <v>101</v>
      </c>
      <c r="F1096" s="55">
        <v>1.1907508617576342E-4</v>
      </c>
      <c r="G1096" s="24">
        <v>4.8106220000000004</v>
      </c>
      <c r="H1096" s="24">
        <v>5.409789</v>
      </c>
      <c r="I1096" s="24">
        <v>4.7757310000000004</v>
      </c>
      <c r="J1096" s="24">
        <v>5.0363319999999998</v>
      </c>
      <c r="K1096" s="24">
        <v>2.9399139999999999</v>
      </c>
      <c r="L1096" s="24">
        <v>6.4145729999999999</v>
      </c>
      <c r="M1096" s="24">
        <v>1262.8309999999999</v>
      </c>
      <c r="N1096" s="24">
        <v>6.455638041898542</v>
      </c>
      <c r="O1096" s="24">
        <v>10</v>
      </c>
      <c r="P1096" s="24">
        <v>3.590504451038576</v>
      </c>
      <c r="Q1096" s="24">
        <v>3.2502925345562872</v>
      </c>
      <c r="R1096" s="24">
        <v>4.05</v>
      </c>
      <c r="S1096" s="24">
        <v>4.6506301878983871</v>
      </c>
      <c r="T1096" s="24">
        <v>0.67069046066672944</v>
      </c>
      <c r="U1096" s="24" t="s">
        <v>3543</v>
      </c>
      <c r="V1096">
        <v>0</v>
      </c>
      <c r="W1096" s="21">
        <v>0</v>
      </c>
      <c r="X1096" s="56" t="str">
        <f>IFERROR(VLOOKUP(A1096,Output!A:F,6,0),"-")</f>
        <v>-</v>
      </c>
    </row>
    <row r="1097" spans="1:24" hidden="1" x14ac:dyDescent="0.25">
      <c r="A1097" s="21" t="s">
        <v>4230</v>
      </c>
      <c r="B1097" s="40" t="s">
        <v>4231</v>
      </c>
      <c r="C1097" s="21" t="s">
        <v>1441</v>
      </c>
      <c r="D1097" s="21" t="s">
        <v>74</v>
      </c>
      <c r="E1097" s="21" t="s">
        <v>92</v>
      </c>
      <c r="F1097" s="55">
        <v>1.1903755968193329E-4</v>
      </c>
      <c r="G1097" s="24">
        <v>7.0063550000000001</v>
      </c>
      <c r="H1097" s="24">
        <v>6.1758240000000004</v>
      </c>
      <c r="I1097" s="24">
        <v>7.1955499999999999</v>
      </c>
      <c r="J1097" s="24">
        <v>6.8139539999999998</v>
      </c>
      <c r="K1097" s="24">
        <v>3.4430580000000002</v>
      </c>
      <c r="L1097" s="24">
        <v>7.4923539999999997</v>
      </c>
      <c r="M1097" s="24">
        <v>31.852499999999999</v>
      </c>
      <c r="N1097" s="24">
        <v>4.8024696296296296</v>
      </c>
      <c r="O1097" s="24">
        <v>2.9591836734693877</v>
      </c>
      <c r="P1097" s="24">
        <v>6.1917808219178081</v>
      </c>
      <c r="Q1097" s="24">
        <v>5.9045216916470435</v>
      </c>
      <c r="R1097" s="24">
        <v>5.74</v>
      </c>
      <c r="S1097" s="24">
        <v>5.8646139666763197</v>
      </c>
      <c r="T1097" s="24">
        <v>0.45074421674681986</v>
      </c>
      <c r="U1097" s="24" t="s">
        <v>4232</v>
      </c>
      <c r="V1097">
        <v>0</v>
      </c>
      <c r="W1097" s="21">
        <v>0</v>
      </c>
      <c r="X1097" s="56" t="str">
        <f>IFERROR(VLOOKUP(A1097,Output!A:F,6,0),"-")</f>
        <v>-</v>
      </c>
    </row>
    <row r="1098" spans="1:24" hidden="1" x14ac:dyDescent="0.25">
      <c r="A1098" s="21" t="s">
        <v>4404</v>
      </c>
      <c r="B1098" s="40" t="s">
        <v>4492</v>
      </c>
      <c r="C1098" s="21" t="s">
        <v>298</v>
      </c>
      <c r="D1098" s="21" t="s">
        <v>74</v>
      </c>
      <c r="E1098" s="21" t="s">
        <v>93</v>
      </c>
      <c r="F1098" s="55">
        <v>1.1900063683143556E-4</v>
      </c>
      <c r="G1098" s="24">
        <v>7.0995549999999996</v>
      </c>
      <c r="H1098" s="24">
        <v>6.3226550000000001</v>
      </c>
      <c r="I1098" s="24">
        <v>5.3147489999999999</v>
      </c>
      <c r="J1098" s="24">
        <v>6.2029579999999997</v>
      </c>
      <c r="K1098" s="24">
        <v>6.9600660000000003</v>
      </c>
      <c r="L1098" s="24">
        <v>13.047169999999999</v>
      </c>
      <c r="M1098" s="24">
        <v>478.66539999999998</v>
      </c>
      <c r="N1098" s="24">
        <v>6.5088322203730344</v>
      </c>
      <c r="O1098" s="24">
        <v>2.1212121212121211</v>
      </c>
      <c r="P1098" s="24">
        <v>5.1403505263157889</v>
      </c>
      <c r="Q1098" s="24">
        <v>6.4305402425578828</v>
      </c>
      <c r="R1098" s="24">
        <v>6.98</v>
      </c>
      <c r="S1098" s="24">
        <v>5.6613453322933269</v>
      </c>
      <c r="T1098" s="24">
        <v>0.28239105140941906</v>
      </c>
      <c r="U1098" s="24" t="s">
        <v>4493</v>
      </c>
      <c r="V1098">
        <v>0</v>
      </c>
      <c r="W1098" s="21">
        <v>0</v>
      </c>
      <c r="X1098" s="56" t="str">
        <f>IFERROR(VLOOKUP(A1098,Output!A:F,6,0),"-")</f>
        <v>-</v>
      </c>
    </row>
    <row r="1099" spans="1:24" hidden="1" x14ac:dyDescent="0.25">
      <c r="A1099" s="21" t="s">
        <v>4420</v>
      </c>
      <c r="B1099" s="40" t="s">
        <v>4494</v>
      </c>
      <c r="C1099" s="21" t="s">
        <v>244</v>
      </c>
      <c r="D1099" s="21" t="s">
        <v>73</v>
      </c>
      <c r="E1099" s="21" t="s">
        <v>99</v>
      </c>
      <c r="F1099" s="55">
        <v>1.1875163395682546E-4</v>
      </c>
      <c r="G1099" s="21">
        <v>0</v>
      </c>
      <c r="H1099" s="21">
        <v>1.820889</v>
      </c>
      <c r="I1099" s="21">
        <v>0</v>
      </c>
      <c r="J1099" s="21">
        <v>0.60696300000000003</v>
      </c>
      <c r="K1099" s="24">
        <v>0</v>
      </c>
      <c r="L1099" s="24">
        <v>2.5241600000000002</v>
      </c>
      <c r="M1099" s="24">
        <v>20.2332</v>
      </c>
      <c r="N1099" s="57">
        <v>4.1337801210560468</v>
      </c>
      <c r="O1099" s="24">
        <v>7.5</v>
      </c>
      <c r="P1099" s="24">
        <v>1.5920394029850748</v>
      </c>
      <c r="Q1099" s="24">
        <v>4.0955586926159206</v>
      </c>
      <c r="R1099" s="24" t="e">
        <v>#N/A</v>
      </c>
      <c r="S1099" s="24">
        <v>2.4768197508236098</v>
      </c>
      <c r="T1099" s="24">
        <v>2.6487505452379718</v>
      </c>
      <c r="U1099" s="24" t="s">
        <v>4495</v>
      </c>
      <c r="V1099">
        <v>0</v>
      </c>
      <c r="W1099" s="21">
        <v>1</v>
      </c>
      <c r="X1099" s="56" t="str">
        <f>IFERROR(VLOOKUP(A1099,Output!A:F,6,0),"-")</f>
        <v>-</v>
      </c>
    </row>
    <row r="1100" spans="1:24" hidden="1" x14ac:dyDescent="0.25">
      <c r="A1100" s="21" t="s">
        <v>1811</v>
      </c>
      <c r="B1100" s="40" t="s">
        <v>1812</v>
      </c>
      <c r="C1100" s="21" t="s">
        <v>246</v>
      </c>
      <c r="D1100" s="21" t="s">
        <v>74</v>
      </c>
      <c r="E1100" s="21" t="s">
        <v>86</v>
      </c>
      <c r="F1100" s="55">
        <v>1.1872929915352711E-4</v>
      </c>
      <c r="G1100" s="21">
        <v>4.921443</v>
      </c>
      <c r="H1100" s="21">
        <v>6.4443020000000004</v>
      </c>
      <c r="I1100" s="21">
        <v>4.1950880000000002</v>
      </c>
      <c r="J1100" s="21">
        <v>5.1603940000000001</v>
      </c>
      <c r="K1100" s="24">
        <v>3.5048970000000002</v>
      </c>
      <c r="L1100" s="24">
        <v>7.9426579999999998</v>
      </c>
      <c r="M1100" s="24">
        <v>73.266999999999996</v>
      </c>
      <c r="N1100" s="24">
        <v>2.3457760127084986</v>
      </c>
      <c r="O1100" s="24">
        <v>7.9381443298969065</v>
      </c>
      <c r="P1100" s="24">
        <v>7.4098360655737707</v>
      </c>
      <c r="Q1100" s="24">
        <v>6.1497491805267321</v>
      </c>
      <c r="R1100" s="24">
        <v>5.93</v>
      </c>
      <c r="S1100" s="24">
        <v>6.2934470197640771</v>
      </c>
      <c r="T1100" s="24">
        <v>0.44190315712661205</v>
      </c>
      <c r="U1100" s="24" t="s">
        <v>3488</v>
      </c>
      <c r="V1100">
        <v>0</v>
      </c>
      <c r="W1100" s="21">
        <v>0</v>
      </c>
      <c r="X1100" s="56" t="str">
        <f>IFERROR(VLOOKUP(A1100,Output!A:F,6,0),"-")</f>
        <v>-</v>
      </c>
    </row>
    <row r="1101" spans="1:24" hidden="1" x14ac:dyDescent="0.25">
      <c r="A1101" s="21" t="s">
        <v>439</v>
      </c>
      <c r="B1101" s="40" t="s">
        <v>685</v>
      </c>
      <c r="C1101" s="21" t="s">
        <v>245</v>
      </c>
      <c r="D1101" s="21" t="s">
        <v>73</v>
      </c>
      <c r="E1101" s="21" t="s">
        <v>96</v>
      </c>
      <c r="F1101" s="55">
        <v>1.1854548975881494E-4</v>
      </c>
      <c r="G1101" s="24">
        <v>2.9458850000000001</v>
      </c>
      <c r="H1101" s="24">
        <v>5.6497729999999997</v>
      </c>
      <c r="I1101" s="24">
        <v>5.8993219999999997</v>
      </c>
      <c r="J1101" s="24">
        <v>4.8316600000000003</v>
      </c>
      <c r="K1101" s="24">
        <v>2.2558410000000002</v>
      </c>
      <c r="L1101" s="24">
        <v>9.1065579999999997</v>
      </c>
      <c r="M1101" s="53">
        <v>143.2877</v>
      </c>
      <c r="N1101" s="24">
        <v>7.1579403983007435</v>
      </c>
      <c r="O1101" s="24">
        <v>5.3061224489795924</v>
      </c>
      <c r="P1101" s="24">
        <v>8.2964388769834034</v>
      </c>
      <c r="Q1101" s="24">
        <v>5.5548736238670511</v>
      </c>
      <c r="R1101" s="24">
        <v>7.59</v>
      </c>
      <c r="S1101" s="24">
        <v>7.3020389975900173</v>
      </c>
      <c r="T1101" s="24">
        <v>1.1067143566960842</v>
      </c>
      <c r="U1101" s="24" t="s">
        <v>2907</v>
      </c>
      <c r="V1101">
        <v>0</v>
      </c>
      <c r="W1101" s="21">
        <v>0</v>
      </c>
      <c r="X1101" s="56" t="str">
        <f>IFERROR(VLOOKUP(A1101,Output!A:F,6,0),"-")</f>
        <v>-</v>
      </c>
    </row>
    <row r="1102" spans="1:24" x14ac:dyDescent="0.25">
      <c r="A1102" s="21" t="s">
        <v>1507</v>
      </c>
      <c r="B1102" s="40" t="s">
        <v>1508</v>
      </c>
      <c r="C1102" s="21" t="s">
        <v>248</v>
      </c>
      <c r="D1102" s="21" t="s">
        <v>75</v>
      </c>
      <c r="E1102" s="21" t="s">
        <v>90</v>
      </c>
      <c r="F1102" s="55">
        <v>1.1851057905275849E-4</v>
      </c>
      <c r="G1102" s="24">
        <v>5.9618330000000004</v>
      </c>
      <c r="H1102" s="24">
        <v>4.8992199999999997</v>
      </c>
      <c r="I1102" s="24">
        <v>1.660717</v>
      </c>
      <c r="J1102" s="24">
        <v>4.3527139999999997</v>
      </c>
      <c r="K1102" s="24">
        <v>1.007336</v>
      </c>
      <c r="L1102" s="24">
        <v>3.6343049999999999</v>
      </c>
      <c r="M1102" s="24">
        <v>62.365299999999998</v>
      </c>
      <c r="N1102" s="24">
        <v>8.9639115250291042</v>
      </c>
      <c r="O1102" s="24">
        <v>9.2771084337349397</v>
      </c>
      <c r="P1102" s="24">
        <v>7.8846153846153841</v>
      </c>
      <c r="Q1102" s="24">
        <v>0</v>
      </c>
      <c r="R1102" s="24">
        <v>3.58</v>
      </c>
      <c r="S1102" s="24">
        <v>3.9627993984376233</v>
      </c>
      <c r="T1102" s="24">
        <v>0.55308402773886456</v>
      </c>
      <c r="U1102" s="24" t="s">
        <v>3441</v>
      </c>
      <c r="V1102">
        <v>0</v>
      </c>
      <c r="W1102" s="21">
        <v>1</v>
      </c>
      <c r="X1102" s="56" t="str">
        <f>IFERROR(VLOOKUP(A1102,Output!A:F,6,0),"-")</f>
        <v>-</v>
      </c>
    </row>
    <row r="1103" spans="1:24" hidden="1" x14ac:dyDescent="0.25">
      <c r="A1103" s="21" t="s">
        <v>463</v>
      </c>
      <c r="B1103" s="40" t="s">
        <v>695</v>
      </c>
      <c r="C1103" s="21" t="s">
        <v>245</v>
      </c>
      <c r="D1103" s="21" t="s">
        <v>73</v>
      </c>
      <c r="E1103" s="21" t="s">
        <v>92</v>
      </c>
      <c r="F1103" s="55">
        <v>1.178154837555136E-4</v>
      </c>
      <c r="G1103" s="24">
        <v>2.52739</v>
      </c>
      <c r="H1103" s="24">
        <v>5.2394170000000004</v>
      </c>
      <c r="I1103" s="24">
        <v>3.935581</v>
      </c>
      <c r="J1103" s="24">
        <v>3.763455</v>
      </c>
      <c r="K1103" s="24">
        <v>1.4849190000000001</v>
      </c>
      <c r="L1103" s="24">
        <v>5.4762420000000001</v>
      </c>
      <c r="M1103" s="24">
        <v>34.878100000000003</v>
      </c>
      <c r="N1103" s="24">
        <v>6.6453593750000017</v>
      </c>
      <c r="O1103" s="24">
        <v>7.4747474747474749</v>
      </c>
      <c r="P1103" s="24">
        <v>9.4129763154975237</v>
      </c>
      <c r="Q1103" s="24">
        <v>3.645341120254844</v>
      </c>
      <c r="R1103" s="24">
        <v>7.5</v>
      </c>
      <c r="S1103" s="24">
        <v>7.0717791863973458</v>
      </c>
      <c r="T1103" s="24">
        <v>0.8670295152303914</v>
      </c>
      <c r="U1103" s="24" t="s">
        <v>2919</v>
      </c>
      <c r="V1103">
        <v>0</v>
      </c>
      <c r="W1103" s="21">
        <v>1</v>
      </c>
      <c r="X1103" s="56" t="str">
        <f>IFERROR(VLOOKUP(A1103,Output!A:F,6,0),"-")</f>
        <v>-</v>
      </c>
    </row>
    <row r="1104" spans="1:24" hidden="1" x14ac:dyDescent="0.25">
      <c r="A1104" s="21" t="s">
        <v>1087</v>
      </c>
      <c r="B1104" s="40" t="s">
        <v>1088</v>
      </c>
      <c r="C1104" s="21" t="s">
        <v>245</v>
      </c>
      <c r="D1104" s="21" t="s">
        <v>73</v>
      </c>
      <c r="E1104" s="21" t="s">
        <v>98</v>
      </c>
      <c r="F1104" s="55">
        <v>1.1775723217393815E-4</v>
      </c>
      <c r="G1104" s="21">
        <v>6.4808479999999999</v>
      </c>
      <c r="H1104" s="21">
        <v>2.3807640000000001</v>
      </c>
      <c r="I1104" s="21">
        <v>4.5028790000000001</v>
      </c>
      <c r="J1104" s="21">
        <v>4.0496259999999999</v>
      </c>
      <c r="K1104" s="24">
        <v>1.69529</v>
      </c>
      <c r="L1104" s="24">
        <v>7.2957229999999997</v>
      </c>
      <c r="M1104" s="24">
        <v>4.0004</v>
      </c>
      <c r="N1104" s="24">
        <v>9.8485940879596239</v>
      </c>
      <c r="O1104" s="24">
        <v>2.2680412371134016</v>
      </c>
      <c r="P1104" s="24">
        <v>3.6514522821576767</v>
      </c>
      <c r="Q1104" s="24">
        <v>8.5818782444549306</v>
      </c>
      <c r="R1104" s="24">
        <v>4.24</v>
      </c>
      <c r="S1104" s="24">
        <v>6.4487124961749096</v>
      </c>
      <c r="T1104" s="24">
        <v>0.7038629671715001</v>
      </c>
      <c r="U1104" s="24" t="s">
        <v>3169</v>
      </c>
      <c r="V1104">
        <v>0</v>
      </c>
      <c r="W1104" s="21">
        <v>1</v>
      </c>
      <c r="X1104" s="56" t="str">
        <f>IFERROR(VLOOKUP(A1104,Output!A:F,6,0),"-")</f>
        <v>-</v>
      </c>
    </row>
    <row r="1105" spans="1:24" hidden="1" x14ac:dyDescent="0.25">
      <c r="A1105" s="21" t="s">
        <v>4239</v>
      </c>
      <c r="B1105" s="40" t="s">
        <v>4240</v>
      </c>
      <c r="C1105" s="21" t="s">
        <v>250</v>
      </c>
      <c r="D1105" s="21" t="s">
        <v>76</v>
      </c>
      <c r="E1105" s="21" t="s">
        <v>86</v>
      </c>
      <c r="F1105" s="55">
        <v>1.1727280839969671E-4</v>
      </c>
      <c r="G1105" s="24">
        <v>4.8963010000000002</v>
      </c>
      <c r="H1105" s="24">
        <v>6.5981860000000001</v>
      </c>
      <c r="I1105" s="24">
        <v>8.1352829999999994</v>
      </c>
      <c r="J1105" s="24">
        <v>6.5432560000000004</v>
      </c>
      <c r="K1105" s="24">
        <v>0.51000749999999995</v>
      </c>
      <c r="L1105" s="24">
        <v>2.3644449999999999</v>
      </c>
      <c r="M1105" s="24">
        <v>1077.6079999999999</v>
      </c>
      <c r="N1105" s="24">
        <v>2.0082999183900281</v>
      </c>
      <c r="O1105" s="24">
        <v>2.0238095238095242</v>
      </c>
      <c r="P1105" s="24">
        <v>3.7719298245614041</v>
      </c>
      <c r="Q1105" s="24">
        <v>0</v>
      </c>
      <c r="R1105" s="24">
        <v>3.19</v>
      </c>
      <c r="S1105" s="24">
        <v>1.6719180404320659</v>
      </c>
      <c r="T1105" s="24">
        <v>0.93790403839720693</v>
      </c>
      <c r="U1105" s="24" t="s">
        <v>4241</v>
      </c>
      <c r="V1105">
        <v>0</v>
      </c>
      <c r="W1105" s="21">
        <v>0</v>
      </c>
      <c r="X1105" s="56" t="str">
        <f>IFERROR(VLOOKUP(A1105,Output!A:F,6,0),"-")</f>
        <v>-</v>
      </c>
    </row>
    <row r="1106" spans="1:24" hidden="1" x14ac:dyDescent="0.25">
      <c r="A1106" s="21" t="s">
        <v>436</v>
      </c>
      <c r="B1106" s="40" t="s">
        <v>717</v>
      </c>
      <c r="C1106" s="21" t="s">
        <v>245</v>
      </c>
      <c r="D1106" s="21" t="s">
        <v>73</v>
      </c>
      <c r="E1106" s="21" t="s">
        <v>94</v>
      </c>
      <c r="F1106" s="55">
        <v>1.1725298877694996E-4</v>
      </c>
      <c r="G1106" s="24">
        <v>5.3981300000000001</v>
      </c>
      <c r="H1106" s="24">
        <v>5.080152</v>
      </c>
      <c r="I1106" s="24">
        <v>2.6622750000000002</v>
      </c>
      <c r="J1106" s="24">
        <v>4.3801860000000001</v>
      </c>
      <c r="K1106" s="24">
        <v>1.6816469999999999</v>
      </c>
      <c r="L1106" s="24">
        <v>6.7870720000000002</v>
      </c>
      <c r="M1106" s="24">
        <v>111.23050000000001</v>
      </c>
      <c r="N1106" s="24">
        <v>7.1304906470423388</v>
      </c>
      <c r="O1106" s="24">
        <v>7.5510204081632644</v>
      </c>
      <c r="P1106" s="24">
        <v>7.4013474394662087</v>
      </c>
      <c r="Q1106" s="24">
        <v>4.7401965282155984</v>
      </c>
      <c r="R1106" s="24">
        <v>7.57</v>
      </c>
      <c r="S1106" s="24">
        <v>6.4513604826504043</v>
      </c>
      <c r="T1106" s="24">
        <v>0.89739007364780465</v>
      </c>
      <c r="U1106" s="24" t="s">
        <v>2940</v>
      </c>
      <c r="V1106">
        <v>0</v>
      </c>
      <c r="W1106" s="21">
        <v>1</v>
      </c>
      <c r="X1106" s="56" t="str">
        <f>IFERROR(VLOOKUP(A1106,Output!A:F,6,0),"-")</f>
        <v>-</v>
      </c>
    </row>
    <row r="1107" spans="1:24" hidden="1" x14ac:dyDescent="0.25">
      <c r="A1107" s="21" t="s">
        <v>4251</v>
      </c>
      <c r="B1107" s="40" t="s">
        <v>4252</v>
      </c>
      <c r="C1107" s="21" t="s">
        <v>246</v>
      </c>
      <c r="D1107" s="21" t="s">
        <v>74</v>
      </c>
      <c r="E1107" s="21" t="s">
        <v>86</v>
      </c>
      <c r="F1107" s="55">
        <v>1.16767760144932E-4</v>
      </c>
      <c r="G1107" s="24">
        <v>5.85</v>
      </c>
      <c r="H1107" s="24">
        <v>6.4197379999999997</v>
      </c>
      <c r="I1107" s="24">
        <v>6.563313</v>
      </c>
      <c r="J1107" s="24">
        <v>6.2776839999999998</v>
      </c>
      <c r="K1107" s="24">
        <v>2.3885749999999999</v>
      </c>
      <c r="L1107" s="24">
        <v>6.5365539999999998</v>
      </c>
      <c r="M1107" s="24">
        <v>627.53229999999996</v>
      </c>
      <c r="N1107" s="24">
        <v>6.7381525019857023</v>
      </c>
      <c r="O1107" s="24">
        <v>0.20618556701030924</v>
      </c>
      <c r="P1107" s="24">
        <v>6.4590163934426235</v>
      </c>
      <c r="Q1107" s="24">
        <v>5.9124246728023966</v>
      </c>
      <c r="R1107" s="24">
        <v>3.58</v>
      </c>
      <c r="S1107" s="24">
        <v>5.1833859899394588</v>
      </c>
      <c r="T1107" s="24">
        <v>0.85461370840166917</v>
      </c>
      <c r="U1107" s="24" t="s">
        <v>4253</v>
      </c>
      <c r="V1107">
        <v>0</v>
      </c>
      <c r="W1107" s="21">
        <v>0</v>
      </c>
      <c r="X1107" s="56" t="str">
        <f>IFERROR(VLOOKUP(A1107,Output!A:F,6,0),"-")</f>
        <v>-</v>
      </c>
    </row>
    <row r="1108" spans="1:24" x14ac:dyDescent="0.25">
      <c r="A1108" s="21" t="s">
        <v>1304</v>
      </c>
      <c r="B1108" s="40" t="s">
        <v>4613</v>
      </c>
      <c r="C1108" s="21" t="s">
        <v>255</v>
      </c>
      <c r="D1108" s="21" t="s">
        <v>75</v>
      </c>
      <c r="E1108" s="21" t="s">
        <v>102</v>
      </c>
      <c r="F1108" s="55">
        <v>1.1611864234817067E-4</v>
      </c>
      <c r="G1108" s="24">
        <v>2.3910089999999999</v>
      </c>
      <c r="H1108" s="24">
        <v>5.4376170000000004</v>
      </c>
      <c r="I1108" s="24">
        <v>4.0363280000000001</v>
      </c>
      <c r="J1108" s="24">
        <v>3.7985869999999999</v>
      </c>
      <c r="K1108" s="24">
        <v>4.35724</v>
      </c>
      <c r="L1108" s="24">
        <v>7.6987500000000004</v>
      </c>
      <c r="M1108" s="24">
        <v>31.898900000000001</v>
      </c>
      <c r="N1108" s="24">
        <v>2.7083331770832948</v>
      </c>
      <c r="O1108" s="24">
        <v>10</v>
      </c>
      <c r="P1108" s="24">
        <v>0.79268292682926778</v>
      </c>
      <c r="Q1108" s="24">
        <v>2.4671188683927534</v>
      </c>
      <c r="R1108" s="24">
        <v>4.41</v>
      </c>
      <c r="S1108" s="24">
        <v>3.4728445444483622</v>
      </c>
      <c r="T1108" s="24">
        <v>0.35442669551448558</v>
      </c>
      <c r="U1108" s="24" t="s">
        <v>3329</v>
      </c>
      <c r="V1108">
        <v>0</v>
      </c>
      <c r="W1108" s="21">
        <v>1</v>
      </c>
      <c r="X1108" s="56" t="str">
        <f>IFERROR(VLOOKUP(A1108,Output!A:F,6,0),"-")</f>
        <v>-</v>
      </c>
    </row>
    <row r="1109" spans="1:24" hidden="1" x14ac:dyDescent="0.25">
      <c r="A1109" s="21" t="s">
        <v>2128</v>
      </c>
      <c r="B1109" s="40" t="s">
        <v>2129</v>
      </c>
      <c r="C1109" s="21" t="s">
        <v>257</v>
      </c>
      <c r="D1109" s="21" t="s">
        <v>74</v>
      </c>
      <c r="E1109" s="21" t="s">
        <v>103</v>
      </c>
      <c r="F1109" s="55">
        <v>1.1594579914066354E-4</v>
      </c>
      <c r="G1109" s="21">
        <v>3.6219109999999999</v>
      </c>
      <c r="H1109" s="21">
        <v>5.3056029999999996</v>
      </c>
      <c r="I1109" s="21">
        <v>6.9604860000000004</v>
      </c>
      <c r="J1109" s="21">
        <v>5.1285910000000001</v>
      </c>
      <c r="K1109" s="24">
        <v>3.8743720000000001</v>
      </c>
      <c r="L1109" s="24">
        <v>11.26032</v>
      </c>
      <c r="M1109" s="24">
        <v>86.052199999999999</v>
      </c>
      <c r="N1109" s="24">
        <v>7.7762656078276047</v>
      </c>
      <c r="O1109" s="24">
        <v>3.9393939393939394</v>
      </c>
      <c r="P1109" s="24">
        <v>4.0652818991097934</v>
      </c>
      <c r="Q1109" s="24">
        <v>8.1079108027014879</v>
      </c>
      <c r="R1109" s="24">
        <v>5.94</v>
      </c>
      <c r="S1109" s="24">
        <v>6.5814297000318653</v>
      </c>
      <c r="T1109" s="24">
        <v>0.74136328694581854</v>
      </c>
      <c r="U1109" s="24" t="s">
        <v>3701</v>
      </c>
      <c r="V1109">
        <v>0</v>
      </c>
      <c r="W1109" s="21">
        <v>0</v>
      </c>
      <c r="X1109" s="56" t="str">
        <f>IFERROR(VLOOKUP(A1109,Output!A:F,6,0),"-")</f>
        <v>-</v>
      </c>
    </row>
    <row r="1110" spans="1:24" x14ac:dyDescent="0.25">
      <c r="A1110" s="21" t="s">
        <v>1307</v>
      </c>
      <c r="B1110" s="40" t="s">
        <v>1308</v>
      </c>
      <c r="C1110" s="21" t="s">
        <v>248</v>
      </c>
      <c r="D1110" s="21" t="s">
        <v>75</v>
      </c>
      <c r="E1110" s="21" t="s">
        <v>92</v>
      </c>
      <c r="F1110" s="55">
        <v>1.1564186472280615E-4</v>
      </c>
      <c r="G1110" s="24">
        <v>4.4297240000000002</v>
      </c>
      <c r="H1110" s="24">
        <v>4.8249950000000004</v>
      </c>
      <c r="I1110" s="24">
        <v>3.7279979999999999</v>
      </c>
      <c r="J1110" s="24">
        <v>4.3377869999999996</v>
      </c>
      <c r="K1110" s="24">
        <v>1.3591569999999999</v>
      </c>
      <c r="L1110" s="24">
        <v>4.3649240000000002</v>
      </c>
      <c r="M1110" s="24">
        <v>121.79170000000001</v>
      </c>
      <c r="N1110" s="24">
        <v>7.0302236037028756</v>
      </c>
      <c r="O1110" s="24">
        <v>4.8421052631578938</v>
      </c>
      <c r="P1110" s="24">
        <v>5.2342859321469293</v>
      </c>
      <c r="Q1110" s="24">
        <v>4.0710749470498451</v>
      </c>
      <c r="R1110" s="24">
        <v>3.35</v>
      </c>
      <c r="S1110" s="24">
        <v>4.7790458206840221</v>
      </c>
      <c r="T1110" s="24">
        <v>0.52283613172439491</v>
      </c>
      <c r="U1110" s="24" t="s">
        <v>3277</v>
      </c>
      <c r="V1110">
        <v>0</v>
      </c>
      <c r="W1110" s="21">
        <v>1</v>
      </c>
      <c r="X1110" s="56" t="str">
        <f>IFERROR(VLOOKUP(A1110,Output!A:F,6,0),"-")</f>
        <v>-</v>
      </c>
    </row>
    <row r="1111" spans="1:24" hidden="1" x14ac:dyDescent="0.25">
      <c r="A1111" s="21" t="s">
        <v>1174</v>
      </c>
      <c r="B1111" s="40" t="s">
        <v>1175</v>
      </c>
      <c r="C1111" s="21" t="s">
        <v>250</v>
      </c>
      <c r="D1111" s="21" t="s">
        <v>76</v>
      </c>
      <c r="E1111" s="21" t="s">
        <v>97</v>
      </c>
      <c r="F1111" s="55">
        <v>1.1559367386343717E-4</v>
      </c>
      <c r="G1111" s="21">
        <v>7.7687780000000002</v>
      </c>
      <c r="H1111" s="21">
        <v>7.1833770000000001</v>
      </c>
      <c r="I1111" s="21">
        <v>7.0837289999999999</v>
      </c>
      <c r="J1111" s="21">
        <v>7.3776780000000004</v>
      </c>
      <c r="K1111" s="24">
        <v>5.175611</v>
      </c>
      <c r="L1111" s="24">
        <v>7.6148709999999999</v>
      </c>
      <c r="M1111" s="24">
        <v>16.9056</v>
      </c>
      <c r="N1111" s="24">
        <v>4.9061539558089819</v>
      </c>
      <c r="O1111" s="24">
        <v>0</v>
      </c>
      <c r="P1111" s="24">
        <v>7.67741935483871</v>
      </c>
      <c r="Q1111" s="24">
        <v>6.8532389675270604</v>
      </c>
      <c r="R1111" s="24">
        <v>4.92</v>
      </c>
      <c r="S1111" s="24">
        <v>6.6368000006397407</v>
      </c>
      <c r="T1111" s="24">
        <v>0.50753045298877986</v>
      </c>
      <c r="U1111" s="24" t="s">
        <v>3221</v>
      </c>
      <c r="V1111">
        <v>0</v>
      </c>
      <c r="W1111" s="21">
        <v>0</v>
      </c>
      <c r="X1111" s="56" t="str">
        <f>IFERROR(VLOOKUP(A1111,Output!A:F,6,0),"-")</f>
        <v>-</v>
      </c>
    </row>
    <row r="1112" spans="1:24" hidden="1" x14ac:dyDescent="0.25">
      <c r="A1112" s="21" t="s">
        <v>1120</v>
      </c>
      <c r="B1112" s="40" t="s">
        <v>1121</v>
      </c>
      <c r="C1112" s="21" t="s">
        <v>250</v>
      </c>
      <c r="D1112" s="21" t="s">
        <v>76</v>
      </c>
      <c r="E1112" s="21" t="s">
        <v>86</v>
      </c>
      <c r="F1112" s="55">
        <v>1.1521176884847964E-4</v>
      </c>
      <c r="G1112" s="24">
        <v>3.4958459999999998</v>
      </c>
      <c r="H1112" s="24">
        <v>4.9685839999999999</v>
      </c>
      <c r="I1112" s="24">
        <v>6.2326050000000004</v>
      </c>
      <c r="J1112" s="24">
        <v>4.8990119999999999</v>
      </c>
      <c r="K1112" s="24">
        <v>2.182331</v>
      </c>
      <c r="L1112" s="24">
        <v>10.109249999999999</v>
      </c>
      <c r="M1112" s="24">
        <v>337.1071</v>
      </c>
      <c r="N1112" s="24">
        <v>6.7012467553936519</v>
      </c>
      <c r="O1112" s="24">
        <v>8.6904761904761916</v>
      </c>
      <c r="P1112" s="24">
        <v>4.6052631578947363</v>
      </c>
      <c r="Q1112" s="24">
        <v>10</v>
      </c>
      <c r="R1112" s="24">
        <v>4.8099999999999996</v>
      </c>
      <c r="S1112" s="24">
        <v>6.6309983537690798</v>
      </c>
      <c r="T1112" s="24">
        <v>0.72599329271768032</v>
      </c>
      <c r="U1112" s="24" t="s">
        <v>3137</v>
      </c>
      <c r="V1112">
        <v>0</v>
      </c>
      <c r="W1112" s="21">
        <v>0</v>
      </c>
      <c r="X1112" s="56" t="str">
        <f>IFERROR(VLOOKUP(A1112,Output!A:F,6,0),"-")</f>
        <v>-</v>
      </c>
    </row>
    <row r="1113" spans="1:24" hidden="1" x14ac:dyDescent="0.25">
      <c r="A1113" s="21" t="s">
        <v>771</v>
      </c>
      <c r="B1113" s="40" t="s">
        <v>772</v>
      </c>
      <c r="C1113" s="21" t="s">
        <v>298</v>
      </c>
      <c r="D1113" s="21" t="s">
        <v>74</v>
      </c>
      <c r="E1113" s="21" t="s">
        <v>85</v>
      </c>
      <c r="F1113" s="55">
        <v>1.1497393337551872E-4</v>
      </c>
      <c r="G1113" s="21">
        <v>7.4056490000000004</v>
      </c>
      <c r="H1113" s="21">
        <v>5.0770770000000001</v>
      </c>
      <c r="I1113" s="21">
        <v>5.1776850000000003</v>
      </c>
      <c r="J1113" s="21">
        <v>5.8108620000000002</v>
      </c>
      <c r="K1113" s="24">
        <v>7.3309730000000002</v>
      </c>
      <c r="L1113" s="24">
        <v>17.036449999999999</v>
      </c>
      <c r="M1113" s="24">
        <v>0.87019000000000002</v>
      </c>
      <c r="N1113" s="24">
        <v>4.5403276901747338</v>
      </c>
      <c r="O1113" s="24">
        <v>4.7474747474747474</v>
      </c>
      <c r="P1113" s="24">
        <v>2.7894736842105261</v>
      </c>
      <c r="Q1113" s="24">
        <v>8.8285556780595371</v>
      </c>
      <c r="R1113" s="24">
        <v>5.42</v>
      </c>
      <c r="S1113" s="24">
        <v>5.2274921424346301</v>
      </c>
      <c r="T1113" s="24">
        <v>0.55069100498255519</v>
      </c>
      <c r="U1113" s="24" t="s">
        <v>3710</v>
      </c>
      <c r="V1113">
        <v>0</v>
      </c>
      <c r="W1113" s="21">
        <v>0</v>
      </c>
      <c r="X1113" s="56" t="str">
        <f>IFERROR(VLOOKUP(A1113,Output!A:F,6,0),"-")</f>
        <v>-</v>
      </c>
    </row>
    <row r="1114" spans="1:24" hidden="1" x14ac:dyDescent="0.25">
      <c r="A1114" s="21" t="s">
        <v>4202</v>
      </c>
      <c r="B1114" s="40" t="s">
        <v>4203</v>
      </c>
      <c r="C1114" s="21" t="s">
        <v>244</v>
      </c>
      <c r="D1114" s="21" t="s">
        <v>73</v>
      </c>
      <c r="E1114" s="21" t="s">
        <v>87</v>
      </c>
      <c r="F1114" s="55">
        <v>1.1478338329692822E-4</v>
      </c>
      <c r="G1114" s="24">
        <v>3.5748980000000001</v>
      </c>
      <c r="H1114" s="24">
        <v>3.9677229999999999</v>
      </c>
      <c r="I1114" s="24">
        <v>5.7333239999999996</v>
      </c>
      <c r="J1114" s="24">
        <v>4.4253150000000003</v>
      </c>
      <c r="K1114" s="24">
        <v>1.274376</v>
      </c>
      <c r="L1114" s="24">
        <v>5.1916169999999999</v>
      </c>
      <c r="M1114" s="24">
        <v>747.0385</v>
      </c>
      <c r="N1114" s="24">
        <v>5.0697321833539348</v>
      </c>
      <c r="O1114" s="24">
        <v>6.2886597938144329</v>
      </c>
      <c r="P1114" s="24">
        <v>4.4444444444444446</v>
      </c>
      <c r="Q1114" s="24">
        <v>5.6977228273500273</v>
      </c>
      <c r="R1114" s="24">
        <v>5.31</v>
      </c>
      <c r="S1114" s="24">
        <v>4.9983882877668506</v>
      </c>
      <c r="T1114" s="24">
        <v>1.3531766320058665</v>
      </c>
      <c r="U1114" s="24" t="s">
        <v>4204</v>
      </c>
      <c r="V1114">
        <v>0</v>
      </c>
      <c r="W1114" s="21">
        <v>1</v>
      </c>
      <c r="X1114" s="56" t="str">
        <f>IFERROR(VLOOKUP(A1114,Output!A:F,6,0),"-")</f>
        <v>-</v>
      </c>
    </row>
    <row r="1115" spans="1:24" hidden="1" x14ac:dyDescent="0.25">
      <c r="A1115" s="21" t="s">
        <v>4172</v>
      </c>
      <c r="B1115" s="40" t="s">
        <v>4173</v>
      </c>
      <c r="C1115" s="21" t="s">
        <v>302</v>
      </c>
      <c r="D1115" s="21" t="s">
        <v>74</v>
      </c>
      <c r="E1115" s="21" t="s">
        <v>85</v>
      </c>
      <c r="F1115" s="55">
        <v>1.1468740400707851E-4</v>
      </c>
      <c r="G1115" s="24">
        <v>7.9938459999999996</v>
      </c>
      <c r="H1115" s="24">
        <v>4.3266460000000002</v>
      </c>
      <c r="I1115" s="24">
        <v>4.3611250000000004</v>
      </c>
      <c r="J1115" s="24">
        <v>5.4388740000000002</v>
      </c>
      <c r="K1115" s="24">
        <v>6.5697700000000001</v>
      </c>
      <c r="L1115" s="24">
        <v>18.223680000000002</v>
      </c>
      <c r="M1115" s="24">
        <v>3.7961</v>
      </c>
      <c r="N1115" s="24">
        <v>4.0040433287119237</v>
      </c>
      <c r="O1115" s="24">
        <v>7.3737373737373737</v>
      </c>
      <c r="P1115" s="24">
        <v>6.6052631578947363</v>
      </c>
      <c r="Q1115" s="24">
        <v>8.1091510474090391</v>
      </c>
      <c r="R1115" s="24">
        <v>6.05</v>
      </c>
      <c r="S1115" s="24">
        <v>6.0397582217736518</v>
      </c>
      <c r="T1115" s="24">
        <v>0.14273019929274289</v>
      </c>
      <c r="U1115" s="24" t="s">
        <v>4174</v>
      </c>
      <c r="V1115">
        <v>0</v>
      </c>
      <c r="W1115" s="21">
        <v>0</v>
      </c>
      <c r="X1115" s="56" t="str">
        <f>IFERROR(VLOOKUP(A1115,Output!A:F,6,0),"-")</f>
        <v>-</v>
      </c>
    </row>
    <row r="1116" spans="1:24" x14ac:dyDescent="0.25">
      <c r="A1116" s="21" t="s">
        <v>2217</v>
      </c>
      <c r="B1116" s="40" t="s">
        <v>2218</v>
      </c>
      <c r="C1116" s="21" t="s">
        <v>248</v>
      </c>
      <c r="D1116" s="21" t="s">
        <v>75</v>
      </c>
      <c r="E1116" s="21" t="s">
        <v>99</v>
      </c>
      <c r="F1116" s="55">
        <v>1.1440359103363404E-4</v>
      </c>
      <c r="G1116" s="21">
        <v>4.7040090000000001</v>
      </c>
      <c r="H1116" s="21">
        <v>3.9601099999999998</v>
      </c>
      <c r="I1116" s="21">
        <v>2.5976240000000002</v>
      </c>
      <c r="J1116" s="21">
        <v>3.563895</v>
      </c>
      <c r="K1116" s="24">
        <v>0.41959200000000002</v>
      </c>
      <c r="L1116" s="24">
        <v>4.6352580000000003</v>
      </c>
      <c r="M1116" s="24">
        <v>5.3978000000000002</v>
      </c>
      <c r="N1116" s="24">
        <v>3.9564181652096702</v>
      </c>
      <c r="O1116" s="24">
        <v>0.64516129032258063</v>
      </c>
      <c r="P1116" s="24">
        <v>5.8712121212121229</v>
      </c>
      <c r="Q1116" s="24">
        <v>3.404733561442157</v>
      </c>
      <c r="R1116" s="24">
        <v>2.46</v>
      </c>
      <c r="S1116" s="24">
        <v>3.2102975737558914</v>
      </c>
      <c r="T1116" s="24">
        <v>0.74847957251969566</v>
      </c>
      <c r="U1116" s="24" t="s">
        <v>3753</v>
      </c>
      <c r="V1116">
        <v>0</v>
      </c>
      <c r="W1116" s="21">
        <v>1</v>
      </c>
      <c r="X1116" s="56" t="str">
        <f>IFERROR(VLOOKUP(A1116,Output!A:F,6,0),"-")</f>
        <v>-</v>
      </c>
    </row>
    <row r="1117" spans="1:24" hidden="1" x14ac:dyDescent="0.25">
      <c r="A1117" s="21" t="s">
        <v>2174</v>
      </c>
      <c r="B1117" s="40" t="s">
        <v>2175</v>
      </c>
      <c r="C1117" s="21" t="s">
        <v>254</v>
      </c>
      <c r="D1117" s="21" t="s">
        <v>74</v>
      </c>
      <c r="E1117" s="21" t="s">
        <v>96</v>
      </c>
      <c r="F1117" s="55">
        <v>1.1397258969430894E-4</v>
      </c>
      <c r="G1117" s="24">
        <v>7.040019</v>
      </c>
      <c r="H1117" s="24">
        <v>3.578084</v>
      </c>
      <c r="I1117" s="24">
        <v>2.547272</v>
      </c>
      <c r="J1117" s="24">
        <v>4.388458</v>
      </c>
      <c r="K1117" s="24">
        <v>3.3922140000000001</v>
      </c>
      <c r="L1117" s="24">
        <v>6.8482500000000002</v>
      </c>
      <c r="M1117" s="24">
        <v>55.753599999999999</v>
      </c>
      <c r="N1117" s="24">
        <v>5.3074651976873959</v>
      </c>
      <c r="O1117" s="24">
        <v>0.20202020202020204</v>
      </c>
      <c r="P1117" s="24">
        <v>5.2225519287833837</v>
      </c>
      <c r="Q1117" s="24">
        <v>7.7381560722317477</v>
      </c>
      <c r="R1117" s="24">
        <v>5.4</v>
      </c>
      <c r="S1117" s="24">
        <v>6.0443211703584963</v>
      </c>
      <c r="T1117" s="24">
        <v>0.48367141439217498</v>
      </c>
      <c r="U1117" s="24" t="s">
        <v>3721</v>
      </c>
      <c r="V1117">
        <v>0</v>
      </c>
      <c r="W1117" s="21">
        <v>1</v>
      </c>
      <c r="X1117" s="56" t="str">
        <f>IFERROR(VLOOKUP(A1117,Output!A:F,6,0),"-")</f>
        <v>-</v>
      </c>
    </row>
    <row r="1118" spans="1:24" x14ac:dyDescent="0.25">
      <c r="A1118" s="21" t="s">
        <v>2219</v>
      </c>
      <c r="B1118" s="40" t="s">
        <v>4475</v>
      </c>
      <c r="C1118" s="21" t="s">
        <v>248</v>
      </c>
      <c r="D1118" s="21" t="s">
        <v>75</v>
      </c>
      <c r="E1118" s="21" t="s">
        <v>99</v>
      </c>
      <c r="F1118" s="55">
        <v>1.1387540311779445E-4</v>
      </c>
      <c r="G1118" s="24">
        <v>4.9228899999999998</v>
      </c>
      <c r="H1118" s="24">
        <v>7.3827119999999997</v>
      </c>
      <c r="I1118" s="24">
        <v>4.3870149999999999</v>
      </c>
      <c r="J1118" s="24">
        <v>5.692469</v>
      </c>
      <c r="K1118" s="24">
        <v>1.5060690000000001</v>
      </c>
      <c r="L1118" s="24">
        <v>4.2488919999999997</v>
      </c>
      <c r="M1118" s="24">
        <v>54.532600000000002</v>
      </c>
      <c r="N1118" s="24">
        <v>6.4735898243451278</v>
      </c>
      <c r="O1118" s="24">
        <v>4.7777777777777777</v>
      </c>
      <c r="P1118" s="24">
        <v>0.26905829596412539</v>
      </c>
      <c r="Q1118" s="24">
        <v>5.5941208540721732</v>
      </c>
      <c r="R1118" s="24">
        <v>3.9</v>
      </c>
      <c r="S1118" s="24">
        <v>4.5648143566017803</v>
      </c>
      <c r="T1118" s="24">
        <v>0.24744915339321505</v>
      </c>
      <c r="U1118" s="24" t="s">
        <v>3781</v>
      </c>
      <c r="V1118">
        <v>0</v>
      </c>
      <c r="W1118" s="21">
        <v>0</v>
      </c>
      <c r="X1118" s="56" t="str">
        <f>IFERROR(VLOOKUP(A1118,Output!A:F,6,0),"-")</f>
        <v>-</v>
      </c>
    </row>
    <row r="1119" spans="1:24" hidden="1" x14ac:dyDescent="0.25">
      <c r="A1119" s="21" t="s">
        <v>1994</v>
      </c>
      <c r="B1119" s="40" t="s">
        <v>4567</v>
      </c>
      <c r="C1119" s="21" t="s">
        <v>257</v>
      </c>
      <c r="D1119" s="21" t="s">
        <v>74</v>
      </c>
      <c r="E1119" s="21" t="s">
        <v>91</v>
      </c>
      <c r="F1119" s="55">
        <v>1.13773588609065E-4</v>
      </c>
      <c r="G1119" s="21">
        <v>3.7551899999999998</v>
      </c>
      <c r="H1119" s="21">
        <v>6.476839</v>
      </c>
      <c r="I1119" s="21">
        <v>6.4106690000000004</v>
      </c>
      <c r="J1119" s="21">
        <v>5.9060410000000001</v>
      </c>
      <c r="K1119" s="24">
        <v>3.1626479999999999</v>
      </c>
      <c r="L1119" s="24">
        <v>7.247795</v>
      </c>
      <c r="M1119" s="53">
        <v>43.449300000000001</v>
      </c>
      <c r="N1119" s="24">
        <v>1.8862348122866899</v>
      </c>
      <c r="O1119" s="24">
        <v>4.7422680412371134</v>
      </c>
      <c r="P1119" s="24">
        <v>2.5641025641025643</v>
      </c>
      <c r="Q1119" s="24">
        <v>9.9514767707314196</v>
      </c>
      <c r="R1119" s="24">
        <v>5.94</v>
      </c>
      <c r="S1119" s="24">
        <v>5.2793462930163768</v>
      </c>
      <c r="T1119" s="24">
        <v>0.16536397511399831</v>
      </c>
      <c r="U1119" s="24" t="s">
        <v>3695</v>
      </c>
      <c r="V1119">
        <v>0</v>
      </c>
      <c r="W1119" s="21">
        <v>0</v>
      </c>
      <c r="X1119" s="56" t="str">
        <f>IFERROR(VLOOKUP(A1119,Output!A:F,6,0),"-")</f>
        <v>-</v>
      </c>
    </row>
    <row r="1120" spans="1:24" hidden="1" x14ac:dyDescent="0.25">
      <c r="A1120" s="21" t="s">
        <v>4513</v>
      </c>
      <c r="B1120" s="40" t="s">
        <v>4514</v>
      </c>
      <c r="C1120" s="21" t="s">
        <v>244</v>
      </c>
      <c r="D1120" s="21" t="s">
        <v>73</v>
      </c>
      <c r="E1120" s="21" t="s">
        <v>101</v>
      </c>
      <c r="F1120" s="55">
        <v>1.1368263968031852E-4</v>
      </c>
      <c r="G1120" s="24">
        <v>4.8797740000000003</v>
      </c>
      <c r="H1120" s="24">
        <v>4.1428690000000001</v>
      </c>
      <c r="I1120" s="24">
        <v>4.9238200000000001</v>
      </c>
      <c r="J1120" s="24">
        <v>4.6026300000000004</v>
      </c>
      <c r="K1120" s="24">
        <v>0.38174000000000002</v>
      </c>
      <c r="L1120" s="24">
        <v>2.7106189999999999</v>
      </c>
      <c r="M1120" s="24">
        <v>1235.6089999999999</v>
      </c>
      <c r="N1120" s="24">
        <v>6.6364027257437055</v>
      </c>
      <c r="O1120" s="24">
        <v>9.1836734693877542</v>
      </c>
      <c r="P1120" s="24">
        <v>6.0153994071815191</v>
      </c>
      <c r="Q1120" s="24">
        <v>2.6559148627763114</v>
      </c>
      <c r="R1120" s="24">
        <v>6.36</v>
      </c>
      <c r="S1120" s="24">
        <v>4.7207968544996284</v>
      </c>
      <c r="T1120" s="24">
        <v>1.0788455678206257</v>
      </c>
      <c r="U1120" s="24" t="s">
        <v>4515</v>
      </c>
      <c r="V1120">
        <v>0</v>
      </c>
      <c r="W1120" s="21">
        <v>1</v>
      </c>
      <c r="X1120" s="56" t="str">
        <f>IFERROR(VLOOKUP(A1120,Output!A:F,6,0),"-")</f>
        <v>-</v>
      </c>
    </row>
    <row r="1121" spans="1:24" hidden="1" x14ac:dyDescent="0.25">
      <c r="A1121" s="21" t="s">
        <v>4614</v>
      </c>
      <c r="B1121" s="40" t="s">
        <v>1698</v>
      </c>
      <c r="C1121" s="21" t="s">
        <v>247</v>
      </c>
      <c r="D1121" s="21" t="s">
        <v>74</v>
      </c>
      <c r="E1121" s="21" t="s">
        <v>92</v>
      </c>
      <c r="F1121" s="55">
        <v>1.1344963335401672E-4</v>
      </c>
      <c r="G1121" s="24">
        <v>6.0145999999999997</v>
      </c>
      <c r="H1121" s="24">
        <v>6.3446259999999999</v>
      </c>
      <c r="I1121" s="24">
        <v>7.8601279999999996</v>
      </c>
      <c r="J1121" s="24">
        <v>6.7397850000000004</v>
      </c>
      <c r="K1121" s="24">
        <v>3.9952230000000002</v>
      </c>
      <c r="L1121" s="24">
        <v>5.4713700000000003</v>
      </c>
      <c r="M1121" s="24">
        <v>568.94470000000001</v>
      </c>
      <c r="N1121" s="24">
        <v>0.25432148148148154</v>
      </c>
      <c r="O1121" s="24">
        <v>6.4285714285714279</v>
      </c>
      <c r="P1121" s="24">
        <v>3.9178082191780823</v>
      </c>
      <c r="Q1121" s="24">
        <v>7.12394136057656</v>
      </c>
      <c r="R1121" s="24">
        <v>5.7</v>
      </c>
      <c r="S1121" s="24">
        <v>4.7498774834877793</v>
      </c>
      <c r="T1121" s="24">
        <v>0.34105233640381455</v>
      </c>
      <c r="U1121" s="24" t="s">
        <v>3464</v>
      </c>
      <c r="V1121">
        <v>0</v>
      </c>
      <c r="W1121" s="21">
        <v>0</v>
      </c>
      <c r="X1121" s="56" t="str">
        <f>IFERROR(VLOOKUP(A1121,Output!A:F,6,0),"-")</f>
        <v>-</v>
      </c>
    </row>
    <row r="1122" spans="1:24" hidden="1" x14ac:dyDescent="0.25">
      <c r="A1122" s="21" t="s">
        <v>472</v>
      </c>
      <c r="B1122" s="40" t="s">
        <v>700</v>
      </c>
      <c r="C1122" s="21" t="s">
        <v>244</v>
      </c>
      <c r="D1122" s="21" t="s">
        <v>73</v>
      </c>
      <c r="E1122" s="21" t="s">
        <v>96</v>
      </c>
      <c r="F1122" s="55">
        <v>1.1309559653957109E-4</v>
      </c>
      <c r="G1122" s="24">
        <v>5.6773629999999997</v>
      </c>
      <c r="H1122" s="24">
        <v>5.5495130000000001</v>
      </c>
      <c r="I1122" s="24">
        <v>7.3922220000000003</v>
      </c>
      <c r="J1122" s="24">
        <v>6.206366</v>
      </c>
      <c r="K1122" s="24">
        <v>5.0663679999999998</v>
      </c>
      <c r="L1122" s="24">
        <v>6.594805</v>
      </c>
      <c r="M1122" s="24">
        <v>1.6762999999999999</v>
      </c>
      <c r="N1122" s="24">
        <v>2.5021119091405257</v>
      </c>
      <c r="O1122" s="24">
        <v>2.0408163265306118</v>
      </c>
      <c r="P1122" s="24">
        <v>3.7054860200403699</v>
      </c>
      <c r="Q1122" s="24">
        <v>3.981984826701412</v>
      </c>
      <c r="R1122" s="24">
        <v>6.71</v>
      </c>
      <c r="S1122" s="24">
        <v>5.0942382326447326</v>
      </c>
      <c r="T1122" s="24">
        <v>1.2953001280687138</v>
      </c>
      <c r="U1122" s="24" t="s">
        <v>2937</v>
      </c>
      <c r="V1122">
        <v>0</v>
      </c>
      <c r="W1122" s="21">
        <v>0</v>
      </c>
      <c r="X1122" s="56" t="str">
        <f>IFERROR(VLOOKUP(A1122,Output!A:F,6,0),"-")</f>
        <v>-</v>
      </c>
    </row>
    <row r="1123" spans="1:24" hidden="1" x14ac:dyDescent="0.25">
      <c r="A1123" s="21" t="s">
        <v>2467</v>
      </c>
      <c r="B1123" s="40" t="s">
        <v>2468</v>
      </c>
      <c r="C1123" s="21" t="s">
        <v>257</v>
      </c>
      <c r="D1123" s="21" t="s">
        <v>74</v>
      </c>
      <c r="E1123" s="21" t="s">
        <v>96</v>
      </c>
      <c r="F1123" s="55">
        <v>1.1297516969475968E-4</v>
      </c>
      <c r="G1123" s="24">
        <v>5.9661559999999998</v>
      </c>
      <c r="H1123" s="24">
        <v>7.6909960000000002</v>
      </c>
      <c r="I1123" s="24">
        <v>6.296564</v>
      </c>
      <c r="J1123" s="24">
        <v>6.5827299999999997</v>
      </c>
      <c r="K1123" s="24">
        <v>2.8824540000000001</v>
      </c>
      <c r="L1123" s="24">
        <v>7.2117649999999998</v>
      </c>
      <c r="M1123" s="24">
        <v>32.293399999999998</v>
      </c>
      <c r="N1123" s="24">
        <v>2.804629391170625</v>
      </c>
      <c r="O1123" s="24">
        <v>4.545454545454545</v>
      </c>
      <c r="P1123" s="24">
        <v>4.6884272997032648</v>
      </c>
      <c r="Q1123" s="24">
        <v>5.990642842144581</v>
      </c>
      <c r="R1123" s="24">
        <v>5.03</v>
      </c>
      <c r="S1123" s="24">
        <v>5.735292366510798</v>
      </c>
      <c r="T1123" s="24">
        <v>5.1017056847025455E-2</v>
      </c>
      <c r="U1123" s="24" t="s">
        <v>3931</v>
      </c>
      <c r="V1123">
        <v>0</v>
      </c>
      <c r="W1123" s="21">
        <v>0</v>
      </c>
      <c r="X1123" s="56" t="str">
        <f>IFERROR(VLOOKUP(A1123,Output!A:F,6,0),"-")</f>
        <v>-</v>
      </c>
    </row>
    <row r="1124" spans="1:24" hidden="1" x14ac:dyDescent="0.25">
      <c r="A1124" s="21" t="s">
        <v>2087</v>
      </c>
      <c r="B1124" s="40" t="s">
        <v>2088</v>
      </c>
      <c r="C1124" s="21" t="s">
        <v>305</v>
      </c>
      <c r="D1124" s="21" t="s">
        <v>74</v>
      </c>
      <c r="E1124" s="21" t="s">
        <v>93</v>
      </c>
      <c r="F1124" s="55">
        <v>1.1292456426206114E-4</v>
      </c>
      <c r="G1124" s="24">
        <v>4.3377179999999997</v>
      </c>
      <c r="H1124" s="24">
        <v>7.4113619999999996</v>
      </c>
      <c r="I1124" s="24">
        <v>6.4802359999999997</v>
      </c>
      <c r="J1124" s="24">
        <v>6.1633750000000003</v>
      </c>
      <c r="K1124" s="24">
        <v>5.8150870000000001</v>
      </c>
      <c r="L1124" s="24">
        <v>5.720987</v>
      </c>
      <c r="M1124" s="24">
        <v>0.49175000000000002</v>
      </c>
      <c r="N1124" s="24">
        <v>6.8482670226232836</v>
      </c>
      <c r="O1124" s="24">
        <v>3.8383838383838382</v>
      </c>
      <c r="P1124" s="24">
        <v>5.2456136842105261</v>
      </c>
      <c r="Q1124" s="24">
        <v>2.1637265711135614</v>
      </c>
      <c r="R1124" s="24">
        <v>6.34</v>
      </c>
      <c r="S1124" s="24">
        <v>4.728580559463075</v>
      </c>
      <c r="T1124" s="24">
        <v>0.21111646781986515</v>
      </c>
      <c r="U1124" s="24" t="s">
        <v>3741</v>
      </c>
      <c r="V1124">
        <v>0</v>
      </c>
      <c r="W1124" s="21">
        <v>0</v>
      </c>
      <c r="X1124" s="56" t="str">
        <f>IFERROR(VLOOKUP(A1124,Output!A:F,6,0),"-")</f>
        <v>-</v>
      </c>
    </row>
    <row r="1125" spans="1:24" hidden="1" x14ac:dyDescent="0.25">
      <c r="A1125" s="21" t="s">
        <v>557</v>
      </c>
      <c r="B1125" s="40" t="s">
        <v>950</v>
      </c>
      <c r="C1125" s="21" t="s">
        <v>244</v>
      </c>
      <c r="D1125" s="21" t="s">
        <v>73</v>
      </c>
      <c r="E1125" s="21" t="s">
        <v>91</v>
      </c>
      <c r="F1125" s="55">
        <v>1.1290082095765387E-4</v>
      </c>
      <c r="G1125" s="24">
        <v>6.4874130000000001</v>
      </c>
      <c r="H1125" s="24">
        <v>5.1304590000000001</v>
      </c>
      <c r="I1125" s="24">
        <v>3.0345520000000001</v>
      </c>
      <c r="J1125" s="24">
        <v>4.5634870000000003</v>
      </c>
      <c r="K1125" s="24">
        <v>0</v>
      </c>
      <c r="L1125" s="24">
        <v>3.3993760000000002</v>
      </c>
      <c r="M1125" s="24">
        <v>11.689299999999999</v>
      </c>
      <c r="N1125" s="24">
        <v>0.15843856179668775</v>
      </c>
      <c r="O1125" s="24">
        <v>0.30303030303030298</v>
      </c>
      <c r="P1125" s="24">
        <v>3.5446985715397146</v>
      </c>
      <c r="Q1125" s="24">
        <v>5.9974663864336497</v>
      </c>
      <c r="R1125" s="24" t="e">
        <v>#N/A</v>
      </c>
      <c r="S1125" s="24">
        <v>2.9016872821973112</v>
      </c>
      <c r="T1125" s="24">
        <v>0.87165821677066502</v>
      </c>
      <c r="U1125" s="24" t="s">
        <v>3047</v>
      </c>
      <c r="V1125">
        <v>0</v>
      </c>
      <c r="W1125" s="21">
        <v>1</v>
      </c>
      <c r="X1125" s="56" t="str">
        <f>IFERROR(VLOOKUP(A1125,Output!A:F,6,0),"-")</f>
        <v>-</v>
      </c>
    </row>
    <row r="1126" spans="1:24" x14ac:dyDescent="0.25">
      <c r="A1126" s="21" t="s">
        <v>1311</v>
      </c>
      <c r="B1126" s="40" t="s">
        <v>1312</v>
      </c>
      <c r="C1126" s="21" t="s">
        <v>248</v>
      </c>
      <c r="D1126" s="21" t="s">
        <v>75</v>
      </c>
      <c r="E1126" s="21" t="s">
        <v>92</v>
      </c>
      <c r="F1126" s="55">
        <v>1.1275997084676332E-4</v>
      </c>
      <c r="G1126" s="24">
        <v>5.6291669999999998</v>
      </c>
      <c r="H1126" s="24">
        <v>8.4265190000000008</v>
      </c>
      <c r="I1126" s="24">
        <v>2.4572590000000001</v>
      </c>
      <c r="J1126" s="24">
        <v>5.5167999999999999</v>
      </c>
      <c r="K1126" s="24">
        <v>1.4103129999999999</v>
      </c>
      <c r="L1126" s="24">
        <v>9.209975</v>
      </c>
      <c r="M1126" s="24">
        <v>76.481200000000001</v>
      </c>
      <c r="N1126" s="24">
        <v>6.8593962532873842</v>
      </c>
      <c r="O1126" s="24">
        <v>8.2105263157894743</v>
      </c>
      <c r="P1126" s="24">
        <v>5.9885716119510111</v>
      </c>
      <c r="Q1126" s="24">
        <v>7.6254477237033145</v>
      </c>
      <c r="R1126" s="24">
        <v>2.64</v>
      </c>
      <c r="S1126" s="24">
        <v>6.464694871605662</v>
      </c>
      <c r="T1126" s="24">
        <v>0.10517558505518335</v>
      </c>
      <c r="U1126" s="24" t="s">
        <v>3312</v>
      </c>
      <c r="V1126">
        <v>0</v>
      </c>
      <c r="W1126" s="21">
        <v>0</v>
      </c>
      <c r="X1126" s="56" t="str">
        <f>IFERROR(VLOOKUP(A1126,Output!A:F,6,0),"-")</f>
        <v>-</v>
      </c>
    </row>
    <row r="1127" spans="1:24" hidden="1" x14ac:dyDescent="0.25">
      <c r="A1127" s="21" t="s">
        <v>1800</v>
      </c>
      <c r="B1127" s="40" t="s">
        <v>1801</v>
      </c>
      <c r="C1127" s="21" t="s">
        <v>249</v>
      </c>
      <c r="D1127" s="21" t="s">
        <v>74</v>
      </c>
      <c r="E1127" s="21" t="s">
        <v>92</v>
      </c>
      <c r="F1127" s="55">
        <v>1.1247233479888039E-4</v>
      </c>
      <c r="G1127" s="21">
        <v>7.2763559999999998</v>
      </c>
      <c r="H1127" s="21">
        <v>6.2972859999999997</v>
      </c>
      <c r="I1127" s="21">
        <v>3.411276</v>
      </c>
      <c r="J1127" s="21">
        <v>5.8231109999999999</v>
      </c>
      <c r="K1127" s="24">
        <v>3.7496900000000002</v>
      </c>
      <c r="L1127" s="24">
        <v>2.9030819999999999</v>
      </c>
      <c r="M1127" s="24">
        <v>82.027299999999997</v>
      </c>
      <c r="N1127" s="24">
        <v>0</v>
      </c>
      <c r="O1127" s="24">
        <v>1.7346938775510201</v>
      </c>
      <c r="P1127" s="24">
        <v>3.3150684931506853</v>
      </c>
      <c r="Q1127" s="24">
        <v>2.9321748842954678</v>
      </c>
      <c r="R1127" s="24">
        <v>7.32</v>
      </c>
      <c r="S1127" s="24">
        <v>3.6539942465340376</v>
      </c>
      <c r="T1127" s="24">
        <v>0.37544751323271591</v>
      </c>
      <c r="U1127" s="24" t="s">
        <v>3573</v>
      </c>
      <c r="V1127">
        <v>0</v>
      </c>
      <c r="W1127" s="21">
        <v>0</v>
      </c>
      <c r="X1127" s="56" t="str">
        <f>IFERROR(VLOOKUP(A1127,Output!A:F,6,0),"-")</f>
        <v>-</v>
      </c>
    </row>
    <row r="1128" spans="1:24" hidden="1" x14ac:dyDescent="0.25">
      <c r="A1128" s="21" t="s">
        <v>4224</v>
      </c>
      <c r="B1128" s="40" t="s">
        <v>4225</v>
      </c>
      <c r="C1128" s="21" t="s">
        <v>245</v>
      </c>
      <c r="D1128" s="21" t="s">
        <v>73</v>
      </c>
      <c r="E1128" s="21" t="s">
        <v>89</v>
      </c>
      <c r="F1128" s="55">
        <v>1.1245794796612514E-4</v>
      </c>
      <c r="G1128" s="21">
        <v>1.9281330000000001</v>
      </c>
      <c r="H1128" s="21">
        <v>5.9087100000000001</v>
      </c>
      <c r="I1128" s="21">
        <v>3.901354</v>
      </c>
      <c r="J1128" s="21">
        <v>3.7142719999999998</v>
      </c>
      <c r="K1128" s="21">
        <v>2.2002169999999999</v>
      </c>
      <c r="L1128" s="21">
        <v>6.5929970000000004</v>
      </c>
      <c r="M1128" s="21">
        <v>12.075799999999999</v>
      </c>
      <c r="N1128" s="21">
        <v>7.51953125</v>
      </c>
      <c r="O1128" s="21">
        <v>7.7319587628865971</v>
      </c>
      <c r="P1128" s="21">
        <v>5.4663212435233177</v>
      </c>
      <c r="Q1128" s="21">
        <v>4.6735537754565915</v>
      </c>
      <c r="R1128" s="21">
        <v>7.8</v>
      </c>
      <c r="S1128" s="21">
        <v>5.8021961779594298</v>
      </c>
      <c r="T1128" s="21">
        <v>0.73888662157651297</v>
      </c>
      <c r="U1128" s="21" t="s">
        <v>4226</v>
      </c>
      <c r="V1128">
        <v>0</v>
      </c>
      <c r="W1128" s="21">
        <v>1</v>
      </c>
      <c r="X1128" s="56" t="str">
        <f>IFERROR(VLOOKUP(A1128,Output!A:F,6,0),"-")</f>
        <v>-</v>
      </c>
    </row>
    <row r="1129" spans="1:24" hidden="1" x14ac:dyDescent="0.25">
      <c r="A1129" s="21" t="s">
        <v>484</v>
      </c>
      <c r="B1129" s="40" t="s">
        <v>682</v>
      </c>
      <c r="C1129" s="21" t="s">
        <v>244</v>
      </c>
      <c r="D1129" s="21" t="s">
        <v>73</v>
      </c>
      <c r="E1129" s="21" t="s">
        <v>99</v>
      </c>
      <c r="F1129" s="55">
        <v>1.1236730085904487E-4</v>
      </c>
      <c r="G1129" s="24">
        <v>4.1748859999999999</v>
      </c>
      <c r="H1129" s="24">
        <v>2.01179</v>
      </c>
      <c r="I1129" s="24">
        <v>6.1491920000000002</v>
      </c>
      <c r="J1129" s="24">
        <v>4.1119560000000002</v>
      </c>
      <c r="K1129" s="24">
        <v>0</v>
      </c>
      <c r="L1129" s="24">
        <v>4.0393119999999998</v>
      </c>
      <c r="M1129" s="24">
        <v>8.9596</v>
      </c>
      <c r="N1129" s="24">
        <v>6.3871354685979052</v>
      </c>
      <c r="O1129" s="24">
        <v>9.1666666666666661</v>
      </c>
      <c r="P1129" s="24">
        <v>7.3631844776119406</v>
      </c>
      <c r="Q1129" s="24">
        <v>1.1031938049177152</v>
      </c>
      <c r="R1129" s="24" t="e">
        <v>#N/A</v>
      </c>
      <c r="S1129" s="24">
        <v>4.8649548457970653</v>
      </c>
      <c r="T1129" s="24">
        <v>1.6668251724643199</v>
      </c>
      <c r="U1129" s="24" t="s">
        <v>2903</v>
      </c>
      <c r="V1129">
        <v>0</v>
      </c>
      <c r="W1129" s="21">
        <v>1</v>
      </c>
      <c r="X1129" s="56" t="str">
        <f>IFERROR(VLOOKUP(A1129,Output!A:F,6,0),"-")</f>
        <v>-</v>
      </c>
    </row>
    <row r="1130" spans="1:24" hidden="1" x14ac:dyDescent="0.25">
      <c r="A1130" s="21" t="s">
        <v>1439</v>
      </c>
      <c r="B1130" s="40" t="s">
        <v>1440</v>
      </c>
      <c r="C1130" s="21" t="s">
        <v>1441</v>
      </c>
      <c r="D1130" s="21" t="s">
        <v>74</v>
      </c>
      <c r="E1130" s="21" t="s">
        <v>92</v>
      </c>
      <c r="F1130" s="55">
        <v>1.1229778126859817E-4</v>
      </c>
      <c r="G1130" s="24">
        <v>7.15449</v>
      </c>
      <c r="H1130" s="24">
        <v>5.8108250000000004</v>
      </c>
      <c r="I1130" s="24">
        <v>8.2036999999999995</v>
      </c>
      <c r="J1130" s="24">
        <v>7.066154</v>
      </c>
      <c r="K1130" s="24">
        <v>2.828268</v>
      </c>
      <c r="L1130" s="24">
        <v>5.8370449999999998</v>
      </c>
      <c r="M1130" s="24">
        <v>16.679400000000001</v>
      </c>
      <c r="N1130" s="24">
        <v>6.1234577777777774</v>
      </c>
      <c r="O1130" s="24">
        <v>9.3877551020408152</v>
      </c>
      <c r="P1130" s="24">
        <v>4.6301369863013706</v>
      </c>
      <c r="Q1130" s="24">
        <v>4.9943176734863917</v>
      </c>
      <c r="R1130" s="24">
        <v>6.83</v>
      </c>
      <c r="S1130" s="24">
        <v>5.0963257909860955</v>
      </c>
      <c r="T1130" s="24">
        <v>0.36343587122649829</v>
      </c>
      <c r="U1130" s="24" t="s">
        <v>3435</v>
      </c>
      <c r="V1130">
        <v>0</v>
      </c>
      <c r="W1130" s="21">
        <v>0</v>
      </c>
      <c r="X1130" s="56" t="str">
        <f>IFERROR(VLOOKUP(A1130,Output!A:F,6,0),"-")</f>
        <v>-</v>
      </c>
    </row>
    <row r="1131" spans="1:24" hidden="1" x14ac:dyDescent="0.25">
      <c r="A1131" s="21" t="s">
        <v>2409</v>
      </c>
      <c r="B1131" s="40" t="s">
        <v>2410</v>
      </c>
      <c r="C1131" s="21" t="s">
        <v>249</v>
      </c>
      <c r="D1131" s="21" t="s">
        <v>74</v>
      </c>
      <c r="E1131" s="21" t="s">
        <v>91</v>
      </c>
      <c r="F1131" s="55">
        <v>1.1228299200695467E-4</v>
      </c>
      <c r="G1131" s="21">
        <v>4.2442909999999996</v>
      </c>
      <c r="H1131" s="21">
        <v>4.9538960000000003</v>
      </c>
      <c r="I1131" s="21">
        <v>4.4256149999999996</v>
      </c>
      <c r="J1131" s="21">
        <v>4.6006629999999999</v>
      </c>
      <c r="K1131" s="21">
        <v>0.36242429999999998</v>
      </c>
      <c r="L1131" s="21">
        <v>1.950509</v>
      </c>
      <c r="M1131" s="21">
        <v>18.654499999999999</v>
      </c>
      <c r="N1131" s="21">
        <v>5.7042088737201375</v>
      </c>
      <c r="O1131" s="21">
        <v>2.6804123711340204</v>
      </c>
      <c r="P1131" s="21">
        <v>4.1880341880341891</v>
      </c>
      <c r="Q1131" s="21">
        <v>0</v>
      </c>
      <c r="R1131" s="21">
        <v>3.8</v>
      </c>
      <c r="S1131" s="21">
        <v>2.3461209485053289</v>
      </c>
      <c r="T1131" s="21">
        <v>0.93075865834786753</v>
      </c>
      <c r="U1131" s="21" t="s">
        <v>3857</v>
      </c>
      <c r="V1131">
        <v>0</v>
      </c>
      <c r="W1131" s="21">
        <v>1</v>
      </c>
      <c r="X1131" s="56" t="str">
        <f>IFERROR(VLOOKUP(A1131,Output!A:F,6,0),"-")</f>
        <v>-</v>
      </c>
    </row>
    <row r="1132" spans="1:24" hidden="1" x14ac:dyDescent="0.25">
      <c r="A1132" s="21" t="s">
        <v>478</v>
      </c>
      <c r="B1132" s="40" t="s">
        <v>707</v>
      </c>
      <c r="C1132" s="21" t="s">
        <v>244</v>
      </c>
      <c r="D1132" s="21" t="s">
        <v>73</v>
      </c>
      <c r="E1132" s="21" t="s">
        <v>96</v>
      </c>
      <c r="F1132" s="55">
        <v>1.1200531607405614E-4</v>
      </c>
      <c r="G1132" s="24">
        <v>4.5139180000000003</v>
      </c>
      <c r="H1132" s="24">
        <v>4.3126769999999999</v>
      </c>
      <c r="I1132" s="24">
        <v>4.4862719999999996</v>
      </c>
      <c r="J1132" s="24">
        <v>4.4223629999999998</v>
      </c>
      <c r="K1132" s="24">
        <v>0</v>
      </c>
      <c r="L1132" s="24">
        <v>-2.1747399999999999</v>
      </c>
      <c r="M1132" s="24">
        <v>8.1068999999999996</v>
      </c>
      <c r="N1132" s="24">
        <v>6.5318841270074532</v>
      </c>
      <c r="O1132" s="24">
        <v>4.0816326530612237</v>
      </c>
      <c r="P1132" s="24">
        <v>3.9653512760937497</v>
      </c>
      <c r="Q1132" s="24">
        <v>3.0438971813600157</v>
      </c>
      <c r="R1132" s="24" t="e">
        <v>#N/A</v>
      </c>
      <c r="S1132" s="24">
        <v>2.8897604012206743</v>
      </c>
      <c r="T1132" s="24">
        <v>2.2668219050742962</v>
      </c>
      <c r="U1132" s="24" t="s">
        <v>2921</v>
      </c>
      <c r="V1132">
        <v>0</v>
      </c>
      <c r="W1132" s="21">
        <v>1</v>
      </c>
      <c r="X1132" s="56" t="str">
        <f>IFERROR(VLOOKUP(A1132,Output!A:F,6,0),"-")</f>
        <v>-</v>
      </c>
    </row>
    <row r="1133" spans="1:24" hidden="1" x14ac:dyDescent="0.25">
      <c r="A1133" s="21" t="s">
        <v>482</v>
      </c>
      <c r="B1133" s="40" t="s">
        <v>877</v>
      </c>
      <c r="C1133" s="21" t="s">
        <v>245</v>
      </c>
      <c r="D1133" s="21" t="s">
        <v>73</v>
      </c>
      <c r="E1133" s="21" t="s">
        <v>86</v>
      </c>
      <c r="F1133" s="55">
        <v>1.1187573397203683E-4</v>
      </c>
      <c r="G1133" s="24">
        <v>3.4595720000000001</v>
      </c>
      <c r="H1133" s="24">
        <v>4.1484389999999998</v>
      </c>
      <c r="I1133" s="24">
        <v>6.2307490000000003</v>
      </c>
      <c r="J1133" s="24">
        <v>4.6129199999999999</v>
      </c>
      <c r="K1133" s="24">
        <v>0</v>
      </c>
      <c r="L1133" s="24">
        <v>3.2352240000000001</v>
      </c>
      <c r="M1133" s="24">
        <v>10.2094</v>
      </c>
      <c r="N1133" s="24">
        <v>1.8414251984207228</v>
      </c>
      <c r="O1133" s="24">
        <v>5.2577319587628866</v>
      </c>
      <c r="P1133" s="24">
        <v>2.7407407407407409</v>
      </c>
      <c r="Q1133" s="24">
        <v>2.5613362684748155</v>
      </c>
      <c r="R1133" s="24" t="e">
        <v>#N/A</v>
      </c>
      <c r="S1133" s="24">
        <v>2.7033453648134076</v>
      </c>
      <c r="T1133" s="24">
        <v>0.98954130256238504</v>
      </c>
      <c r="U1133" s="24" t="s">
        <v>2973</v>
      </c>
      <c r="V1133">
        <v>0</v>
      </c>
      <c r="W1133" s="21">
        <v>1</v>
      </c>
      <c r="X1133" s="56" t="str">
        <f>IFERROR(VLOOKUP(A1133,Output!A:F,6,0),"-")</f>
        <v>-</v>
      </c>
    </row>
    <row r="1134" spans="1:24" x14ac:dyDescent="0.25">
      <c r="A1134" s="21" t="s">
        <v>522</v>
      </c>
      <c r="B1134" s="40" t="s">
        <v>886</v>
      </c>
      <c r="C1134" s="21" t="s">
        <v>248</v>
      </c>
      <c r="D1134" s="21" t="s">
        <v>75</v>
      </c>
      <c r="E1134" s="21" t="s">
        <v>92</v>
      </c>
      <c r="F1134" s="55">
        <v>1.1176275206165819E-4</v>
      </c>
      <c r="G1134" s="21">
        <v>5.7864690000000003</v>
      </c>
      <c r="H1134" s="21">
        <v>5.33195</v>
      </c>
      <c r="I1134" s="21">
        <v>3.075135</v>
      </c>
      <c r="J1134" s="21">
        <v>4.8367129999999996</v>
      </c>
      <c r="K1134" s="24">
        <v>1.1295489999999999</v>
      </c>
      <c r="L1134" s="24">
        <v>8.8431899999999999</v>
      </c>
      <c r="M1134" s="24">
        <v>25.1358</v>
      </c>
      <c r="N1134" s="24">
        <v>7.9605784978269112</v>
      </c>
      <c r="O1134" s="24">
        <v>8.7368421052631575</v>
      </c>
      <c r="P1134" s="24">
        <v>9.0742857566040787</v>
      </c>
      <c r="Q1134" s="24">
        <v>5.5461552849650655</v>
      </c>
      <c r="R1134" s="24">
        <v>3.2</v>
      </c>
      <c r="S1134" s="24">
        <v>6.3838402486579273</v>
      </c>
      <c r="T1134" s="24">
        <v>0.12273820302225837</v>
      </c>
      <c r="U1134" s="24" t="s">
        <v>3000</v>
      </c>
      <c r="V1134">
        <v>0</v>
      </c>
      <c r="W1134" s="21">
        <v>0</v>
      </c>
      <c r="X1134" s="56" t="str">
        <f>IFERROR(VLOOKUP(A1134,Output!A:F,6,0),"-")</f>
        <v>-</v>
      </c>
    </row>
    <row r="1135" spans="1:24" x14ac:dyDescent="0.25">
      <c r="A1135" s="21" t="s">
        <v>1454</v>
      </c>
      <c r="B1135" s="40" t="s">
        <v>1455</v>
      </c>
      <c r="C1135" s="21" t="s">
        <v>248</v>
      </c>
      <c r="D1135" s="21" t="s">
        <v>75</v>
      </c>
      <c r="E1135" s="21" t="s">
        <v>87</v>
      </c>
      <c r="F1135" s="55">
        <v>1.1139251748446017E-4</v>
      </c>
      <c r="G1135" s="24">
        <v>4.6071780000000002</v>
      </c>
      <c r="H1135" s="24">
        <v>5.8548030000000004</v>
      </c>
      <c r="I1135" s="24">
        <v>4.9953519999999996</v>
      </c>
      <c r="J1135" s="24">
        <v>5.152444</v>
      </c>
      <c r="K1135" s="24">
        <v>2.5080119999999999</v>
      </c>
      <c r="L1135" s="24">
        <v>4.6403080000000001</v>
      </c>
      <c r="M1135" s="24">
        <v>392.63630000000001</v>
      </c>
      <c r="N1135" s="24">
        <v>1.8997107039537124</v>
      </c>
      <c r="O1135" s="24">
        <v>0</v>
      </c>
      <c r="P1135" s="24">
        <v>0.97560975609756095</v>
      </c>
      <c r="Q1135" s="24">
        <v>6.090054359967235</v>
      </c>
      <c r="R1135" s="24">
        <v>4.9800000000000004</v>
      </c>
      <c r="S1135" s="24">
        <v>3.8368576131088346</v>
      </c>
      <c r="T1135" s="24">
        <v>0.48050735543191836</v>
      </c>
      <c r="U1135" s="24" t="s">
        <v>3351</v>
      </c>
      <c r="V1135">
        <v>0</v>
      </c>
      <c r="W1135" s="21">
        <v>0</v>
      </c>
      <c r="X1135" s="56" t="str">
        <f>IFERROR(VLOOKUP(A1135,Output!A:F,6,0),"-")</f>
        <v>-</v>
      </c>
    </row>
    <row r="1136" spans="1:24" hidden="1" x14ac:dyDescent="0.25">
      <c r="A1136" s="21" t="s">
        <v>4233</v>
      </c>
      <c r="B1136" s="40" t="s">
        <v>4234</v>
      </c>
      <c r="C1136" s="21" t="s">
        <v>250</v>
      </c>
      <c r="D1136" s="21" t="s">
        <v>76</v>
      </c>
      <c r="E1136" s="21" t="s">
        <v>101</v>
      </c>
      <c r="F1136" s="55">
        <v>1.109323400507363E-4</v>
      </c>
      <c r="G1136" s="24">
        <v>4.5760040000000002</v>
      </c>
      <c r="H1136" s="24">
        <v>6.6830160000000003</v>
      </c>
      <c r="I1136" s="24">
        <v>5.7674810000000001</v>
      </c>
      <c r="J1136" s="24">
        <v>5.8954000000000004</v>
      </c>
      <c r="K1136" s="24">
        <v>3.229295</v>
      </c>
      <c r="L1136" s="24">
        <v>3.369605</v>
      </c>
      <c r="M1136" s="24">
        <v>4.5692000000000004</v>
      </c>
      <c r="N1136" s="24">
        <v>0</v>
      </c>
      <c r="O1136" s="24">
        <v>6.9444444444444455</v>
      </c>
      <c r="P1136" s="24">
        <v>0.37735849056603632</v>
      </c>
      <c r="Q1136" s="24">
        <v>0.28886601935460021</v>
      </c>
      <c r="R1136" s="24">
        <v>7.14</v>
      </c>
      <c r="S1136" s="24">
        <v>3.0175590679421256</v>
      </c>
      <c r="T1136" s="24">
        <v>0.41276634940244461</v>
      </c>
      <c r="U1136" s="24" t="s">
        <v>4235</v>
      </c>
      <c r="V1136">
        <v>0</v>
      </c>
      <c r="W1136" s="21">
        <v>0</v>
      </c>
      <c r="X1136" s="56" t="str">
        <f>IFERROR(VLOOKUP(A1136,Output!A:F,6,0),"-")</f>
        <v>-</v>
      </c>
    </row>
    <row r="1137" spans="1:24" hidden="1" x14ac:dyDescent="0.25">
      <c r="A1137" s="21" t="s">
        <v>2057</v>
      </c>
      <c r="B1137" s="40" t="s">
        <v>2058</v>
      </c>
      <c r="C1137" s="21" t="s">
        <v>249</v>
      </c>
      <c r="D1137" s="21" t="s">
        <v>74</v>
      </c>
      <c r="E1137" s="21" t="s">
        <v>101</v>
      </c>
      <c r="F1137" s="55">
        <v>1.1078414561263503E-4</v>
      </c>
      <c r="G1137" s="24">
        <v>5.7862010000000001</v>
      </c>
      <c r="H1137" s="24">
        <v>7.1874140000000004</v>
      </c>
      <c r="I1137" s="24">
        <v>4.0051389999999998</v>
      </c>
      <c r="J1137" s="24">
        <v>5.6342610000000004</v>
      </c>
      <c r="K1137" s="24">
        <v>3.1318350000000001</v>
      </c>
      <c r="L1137" s="24">
        <v>5.1311090000000004</v>
      </c>
      <c r="M1137" s="24">
        <v>5.5926999999999998</v>
      </c>
      <c r="N1137" s="24">
        <v>6.8345815202406257</v>
      </c>
      <c r="O1137" s="24">
        <v>8.3838383838383841</v>
      </c>
      <c r="P1137" s="24">
        <v>3.9465875370919883</v>
      </c>
      <c r="Q1137" s="24">
        <v>5.2690449918098228</v>
      </c>
      <c r="R1137" s="24">
        <v>5.8200010000000004</v>
      </c>
      <c r="S1137" s="24">
        <v>5.5229854926487629</v>
      </c>
      <c r="T1137" s="24">
        <v>-7.4788815043362503E-2</v>
      </c>
      <c r="U1137" s="24" t="s">
        <v>3727</v>
      </c>
      <c r="V1137">
        <v>0</v>
      </c>
      <c r="W1137" s="21">
        <v>0</v>
      </c>
      <c r="X1137" s="56" t="str">
        <f>IFERROR(VLOOKUP(A1137,Output!A:F,6,0),"-")</f>
        <v>-</v>
      </c>
    </row>
    <row r="1138" spans="1:24" hidden="1" x14ac:dyDescent="0.25">
      <c r="A1138" s="21" t="s">
        <v>470</v>
      </c>
      <c r="B1138" s="40" t="s">
        <v>681</v>
      </c>
      <c r="C1138" s="21" t="s">
        <v>245</v>
      </c>
      <c r="D1138" s="21" t="s">
        <v>73</v>
      </c>
      <c r="E1138" s="21" t="s">
        <v>89</v>
      </c>
      <c r="F1138" s="55">
        <v>1.1042538025875238E-4</v>
      </c>
      <c r="G1138" s="21">
        <v>4.6225189999999996</v>
      </c>
      <c r="H1138" s="21">
        <v>6.7202039999999998</v>
      </c>
      <c r="I1138" s="21">
        <v>6.1922319999999997</v>
      </c>
      <c r="J1138" s="21">
        <v>5.9061079999999997</v>
      </c>
      <c r="K1138" s="24">
        <v>2.0733459999999999</v>
      </c>
      <c r="L1138" s="24">
        <v>5.0634899999999998</v>
      </c>
      <c r="M1138" s="24">
        <v>2.6722000000000001</v>
      </c>
      <c r="N1138" s="24">
        <v>9.1840273437499995</v>
      </c>
      <c r="O1138" s="24">
        <v>7.9381443298969065</v>
      </c>
      <c r="P1138" s="24">
        <v>5.3626943005181351</v>
      </c>
      <c r="Q1138" s="24">
        <v>3.1858225644055027</v>
      </c>
      <c r="R1138" s="24">
        <v>7.38</v>
      </c>
      <c r="S1138" s="24">
        <v>5.5854379684903179</v>
      </c>
      <c r="T1138" s="24">
        <v>0.5784403882422805</v>
      </c>
      <c r="U1138" s="24" t="s">
        <v>2908</v>
      </c>
      <c r="V1138">
        <v>0</v>
      </c>
      <c r="W1138" s="21">
        <v>0</v>
      </c>
      <c r="X1138" s="56" t="str">
        <f>IFERROR(VLOOKUP(A1138,Output!A:F,6,0),"-")</f>
        <v>-</v>
      </c>
    </row>
    <row r="1139" spans="1:24" hidden="1" x14ac:dyDescent="0.25">
      <c r="A1139" s="21" t="s">
        <v>4423</v>
      </c>
      <c r="B1139" s="40" t="s">
        <v>4497</v>
      </c>
      <c r="C1139" s="21" t="s">
        <v>247</v>
      </c>
      <c r="D1139" s="21" t="s">
        <v>74</v>
      </c>
      <c r="E1139" s="21" t="s">
        <v>92</v>
      </c>
      <c r="F1139" s="55">
        <v>1.1020193161854672E-4</v>
      </c>
      <c r="G1139" s="21">
        <v>0</v>
      </c>
      <c r="H1139" s="21">
        <v>4.06792</v>
      </c>
      <c r="I1139" s="21">
        <v>0</v>
      </c>
      <c r="J1139" s="21">
        <v>1.423772</v>
      </c>
      <c r="K1139" s="24">
        <v>0</v>
      </c>
      <c r="L1139" s="24">
        <v>5.7267270000000003</v>
      </c>
      <c r="M1139" s="24">
        <v>23.138300000000001</v>
      </c>
      <c r="N1139" s="24">
        <v>8.3407407407407419</v>
      </c>
      <c r="O1139" s="24">
        <v>9.8979591836734677</v>
      </c>
      <c r="P1139" s="24">
        <v>6.7671232876712324</v>
      </c>
      <c r="Q1139" s="24">
        <v>1.2234724553922596</v>
      </c>
      <c r="R1139" s="24" t="e">
        <v>#N/A</v>
      </c>
      <c r="S1139" s="24">
        <v>4.3153668736680535</v>
      </c>
      <c r="T1139" s="24">
        <v>0.93341083032012029</v>
      </c>
      <c r="U1139" s="24" t="s">
        <v>4498</v>
      </c>
      <c r="V1139">
        <v>0</v>
      </c>
      <c r="W1139" s="21">
        <v>1</v>
      </c>
      <c r="X1139" s="56" t="str">
        <f>IFERROR(VLOOKUP(A1139,Output!A:F,6,0),"-")</f>
        <v>-</v>
      </c>
    </row>
    <row r="1140" spans="1:24" hidden="1" x14ac:dyDescent="0.25">
      <c r="A1140" s="21" t="s">
        <v>578</v>
      </c>
      <c r="B1140" s="40" t="s">
        <v>913</v>
      </c>
      <c r="C1140" s="21" t="s">
        <v>245</v>
      </c>
      <c r="D1140" s="21" t="s">
        <v>73</v>
      </c>
      <c r="E1140" s="21" t="s">
        <v>92</v>
      </c>
      <c r="F1140" s="55">
        <v>1.1013824724697977E-4</v>
      </c>
      <c r="G1140" s="24">
        <v>3.0391819999999998</v>
      </c>
      <c r="H1140" s="24">
        <v>4.2061719999999996</v>
      </c>
      <c r="I1140" s="24">
        <v>3.7652519999999998</v>
      </c>
      <c r="J1140" s="24">
        <v>3.6071</v>
      </c>
      <c r="K1140" s="24">
        <v>0.146644</v>
      </c>
      <c r="L1140" s="24">
        <v>2.6053639999999998</v>
      </c>
      <c r="M1140" s="24">
        <v>55.136899999999997</v>
      </c>
      <c r="N1140" s="24">
        <v>8.0255667613636366</v>
      </c>
      <c r="O1140" s="24">
        <v>4.4444444444444446</v>
      </c>
      <c r="P1140" s="24">
        <v>4.2533470885546985</v>
      </c>
      <c r="Q1140" s="24">
        <v>2.8395720732678518</v>
      </c>
      <c r="R1140" s="24">
        <v>5.09</v>
      </c>
      <c r="S1140" s="24">
        <v>4.1038881744466513</v>
      </c>
      <c r="T1140" s="24">
        <v>0.72111239720955012</v>
      </c>
      <c r="U1140" s="24" t="s">
        <v>3032</v>
      </c>
      <c r="V1140">
        <v>0</v>
      </c>
      <c r="W1140" s="21">
        <v>1</v>
      </c>
      <c r="X1140" s="56" t="str">
        <f>IFERROR(VLOOKUP(A1140,Output!A:F,6,0),"-")</f>
        <v>-</v>
      </c>
    </row>
    <row r="1141" spans="1:24" x14ac:dyDescent="0.25">
      <c r="A1141" s="21" t="s">
        <v>1462</v>
      </c>
      <c r="B1141" s="40" t="s">
        <v>1463</v>
      </c>
      <c r="C1141" s="21" t="s">
        <v>248</v>
      </c>
      <c r="D1141" s="21" t="s">
        <v>75</v>
      </c>
      <c r="E1141" s="21" t="s">
        <v>92</v>
      </c>
      <c r="F1141" s="55">
        <v>1.0955512778789287E-4</v>
      </c>
      <c r="G1141" s="24">
        <v>5.312621</v>
      </c>
      <c r="H1141" s="24">
        <v>4.0134809999999996</v>
      </c>
      <c r="I1141" s="24">
        <v>1.9674879999999999</v>
      </c>
      <c r="J1141" s="24">
        <v>3.9193389999999999</v>
      </c>
      <c r="K1141" s="24">
        <v>4.2565220000000004</v>
      </c>
      <c r="L1141" s="24">
        <v>12.82769</v>
      </c>
      <c r="M1141" s="24">
        <v>15.4314</v>
      </c>
      <c r="N1141" s="24">
        <v>9.0959268431986171</v>
      </c>
      <c r="O1141" s="24">
        <v>6.6315789473684204</v>
      </c>
      <c r="P1141" s="24">
        <v>7.7714286733061178</v>
      </c>
      <c r="Q1141" s="24">
        <v>10</v>
      </c>
      <c r="R1141" s="24">
        <v>7.18</v>
      </c>
      <c r="S1141" s="24">
        <v>8.3242262397763458</v>
      </c>
      <c r="T1141" s="24">
        <v>0.48414405488748924</v>
      </c>
      <c r="U1141" s="24" t="s">
        <v>3353</v>
      </c>
      <c r="V1141">
        <v>0</v>
      </c>
      <c r="W1141" s="21">
        <v>1</v>
      </c>
      <c r="X1141" s="56" t="str">
        <f>IFERROR(VLOOKUP(A1141,Output!A:F,6,0),"-")</f>
        <v>-</v>
      </c>
    </row>
    <row r="1142" spans="1:24" hidden="1" x14ac:dyDescent="0.25">
      <c r="A1142" s="21" t="s">
        <v>454</v>
      </c>
      <c r="B1142" s="40" t="s">
        <v>680</v>
      </c>
      <c r="C1142" s="21" t="s">
        <v>245</v>
      </c>
      <c r="D1142" s="21" t="s">
        <v>73</v>
      </c>
      <c r="E1142" s="21" t="s">
        <v>86</v>
      </c>
      <c r="F1142" s="55">
        <v>1.0951015635962996E-4</v>
      </c>
      <c r="G1142" s="24">
        <v>4.4440169999999997</v>
      </c>
      <c r="H1142" s="24">
        <v>6.2300459999999998</v>
      </c>
      <c r="I1142" s="24">
        <v>5.22417</v>
      </c>
      <c r="J1142" s="24">
        <v>5.2994110000000001</v>
      </c>
      <c r="K1142" s="24">
        <v>2.7939970000000001</v>
      </c>
      <c r="L1142" s="24">
        <v>6.5908810000000004</v>
      </c>
      <c r="M1142" s="24">
        <v>320.81049999999999</v>
      </c>
      <c r="N1142" s="24">
        <v>10</v>
      </c>
      <c r="O1142" s="24">
        <v>5.0515463917525771</v>
      </c>
      <c r="P1142" s="24">
        <v>6.2592592592592595</v>
      </c>
      <c r="Q1142" s="24">
        <v>5.5127752589515051</v>
      </c>
      <c r="R1142" s="24">
        <v>7.6</v>
      </c>
      <c r="S1142" s="24">
        <v>6.505979495427284</v>
      </c>
      <c r="T1142" s="24">
        <v>1.1532756605177807</v>
      </c>
      <c r="U1142" s="24" t="s">
        <v>2910</v>
      </c>
      <c r="V1142">
        <v>0</v>
      </c>
      <c r="W1142" s="21">
        <v>0</v>
      </c>
      <c r="X1142" s="56" t="str">
        <f>IFERROR(VLOOKUP(A1142,Output!A:F,6,0),"-")</f>
        <v>-</v>
      </c>
    </row>
    <row r="1143" spans="1:24" hidden="1" x14ac:dyDescent="0.25">
      <c r="A1143" s="21" t="s">
        <v>4421</v>
      </c>
      <c r="B1143" s="40" t="s">
        <v>4509</v>
      </c>
      <c r="C1143" s="21" t="s">
        <v>246</v>
      </c>
      <c r="D1143" s="21" t="s">
        <v>74</v>
      </c>
      <c r="E1143" s="21" t="s">
        <v>92</v>
      </c>
      <c r="F1143" s="55">
        <v>1.0946860557691724E-4</v>
      </c>
      <c r="G1143" s="24">
        <v>5.7658969999999998</v>
      </c>
      <c r="H1143" s="24">
        <v>6.1408500000000004</v>
      </c>
      <c r="I1143" s="24">
        <v>4.9142489999999999</v>
      </c>
      <c r="J1143" s="24">
        <v>5.6228879999999997</v>
      </c>
      <c r="K1143" s="24">
        <v>0.90096770000000004</v>
      </c>
      <c r="L1143" s="24">
        <v>4.8511499999999996</v>
      </c>
      <c r="M1143" s="24">
        <v>2.4899</v>
      </c>
      <c r="N1143" s="24">
        <v>6.6395066666666667</v>
      </c>
      <c r="O1143" s="24">
        <v>8.6734693877551017</v>
      </c>
      <c r="P1143" s="24">
        <v>3.9178082191780823</v>
      </c>
      <c r="Q1143" s="24">
        <v>3.4091249612542214</v>
      </c>
      <c r="R1143" s="24">
        <v>3.5</v>
      </c>
      <c r="S1143" s="24">
        <v>3.9980185293278714</v>
      </c>
      <c r="T1143" s="24">
        <v>0.42223734759829074</v>
      </c>
      <c r="U1143" s="24" t="s">
        <v>4510</v>
      </c>
      <c r="V1143">
        <v>0</v>
      </c>
      <c r="W1143" s="21">
        <v>0</v>
      </c>
      <c r="X1143" s="56" t="str">
        <f>IFERROR(VLOOKUP(A1143,Output!A:F,6,0),"-")</f>
        <v>-</v>
      </c>
    </row>
    <row r="1144" spans="1:24" x14ac:dyDescent="0.25">
      <c r="A1144" s="21" t="s">
        <v>2270</v>
      </c>
      <c r="B1144" s="40" t="s">
        <v>2271</v>
      </c>
      <c r="C1144" s="21" t="s">
        <v>248</v>
      </c>
      <c r="D1144" s="21" t="s">
        <v>75</v>
      </c>
      <c r="E1144" s="21" t="s">
        <v>92</v>
      </c>
      <c r="F1144" s="55">
        <v>1.0902211072539419E-4</v>
      </c>
      <c r="G1144" s="21">
        <v>5.4305729999999999</v>
      </c>
      <c r="H1144" s="21">
        <v>4.0231050000000002</v>
      </c>
      <c r="I1144" s="21">
        <v>1.483277</v>
      </c>
      <c r="J1144" s="21">
        <v>3.6456520000000001</v>
      </c>
      <c r="K1144" s="24">
        <v>1.4771240000000001</v>
      </c>
      <c r="L1144" s="24">
        <v>4.5207459999999999</v>
      </c>
      <c r="M1144" s="24">
        <v>5.6424000000000003</v>
      </c>
      <c r="N1144" s="24">
        <v>7.8685947825066798</v>
      </c>
      <c r="O1144" s="24">
        <v>2.6315789473684208</v>
      </c>
      <c r="P1144" s="24">
        <v>4.5828573904979475</v>
      </c>
      <c r="Q1144" s="24">
        <v>3.640066068063021</v>
      </c>
      <c r="R1144" s="24">
        <v>4.38</v>
      </c>
      <c r="S1144" s="24">
        <v>4.7395913518166566</v>
      </c>
      <c r="T1144" s="24">
        <v>0.42874221790996964</v>
      </c>
      <c r="U1144" s="24" t="s">
        <v>3780</v>
      </c>
      <c r="V1144">
        <v>0</v>
      </c>
      <c r="W1144" s="21">
        <v>1</v>
      </c>
      <c r="X1144" s="56" t="str">
        <f>IFERROR(VLOOKUP(A1144,Output!A:F,6,0),"-")</f>
        <v>-</v>
      </c>
    </row>
    <row r="1145" spans="1:24" x14ac:dyDescent="0.25">
      <c r="A1145" s="21" t="s">
        <v>1156</v>
      </c>
      <c r="B1145" s="40" t="s">
        <v>1157</v>
      </c>
      <c r="C1145" s="21" t="s">
        <v>248</v>
      </c>
      <c r="D1145" s="21" t="s">
        <v>75</v>
      </c>
      <c r="E1145" s="21" t="s">
        <v>92</v>
      </c>
      <c r="F1145" s="55">
        <v>1.0862169398157676E-4</v>
      </c>
      <c r="G1145" s="21">
        <v>6.0412239999999997</v>
      </c>
      <c r="H1145" s="21">
        <v>6.5249920000000001</v>
      </c>
      <c r="I1145" s="21">
        <v>4.9078080000000002</v>
      </c>
      <c r="J1145" s="21">
        <v>5.8463289999999999</v>
      </c>
      <c r="K1145" s="24">
        <v>1.0719920000000001</v>
      </c>
      <c r="L1145" s="24">
        <v>4.2108220000000003</v>
      </c>
      <c r="M1145" s="24">
        <v>10.091699999999999</v>
      </c>
      <c r="N1145" s="24">
        <v>5.0013151118333878</v>
      </c>
      <c r="O1145" s="24">
        <v>8.9473684210526319</v>
      </c>
      <c r="P1145" s="24">
        <v>8.2857143640816293</v>
      </c>
      <c r="Q1145" s="24">
        <v>2.4740616237698414</v>
      </c>
      <c r="R1145" s="24">
        <v>2.63</v>
      </c>
      <c r="S1145" s="24">
        <v>4.250868389214542</v>
      </c>
      <c r="T1145" s="24">
        <v>0.63840294167258627</v>
      </c>
      <c r="U1145" s="24" t="s">
        <v>3209</v>
      </c>
      <c r="V1145">
        <v>0</v>
      </c>
      <c r="W1145" s="21">
        <v>0</v>
      </c>
      <c r="X1145" s="56" t="str">
        <f>IFERROR(VLOOKUP(A1145,Output!A:F,6,0),"-")</f>
        <v>-</v>
      </c>
    </row>
    <row r="1146" spans="1:24" hidden="1" x14ac:dyDescent="0.25">
      <c r="A1146" s="21" t="s">
        <v>4209</v>
      </c>
      <c r="B1146" s="40" t="s">
        <v>4210</v>
      </c>
      <c r="C1146" s="21" t="s">
        <v>246</v>
      </c>
      <c r="D1146" s="21" t="s">
        <v>74</v>
      </c>
      <c r="E1146" s="21" t="s">
        <v>92</v>
      </c>
      <c r="F1146" s="55">
        <v>1.0782659510559959E-4</v>
      </c>
      <c r="G1146" s="24">
        <v>7.6326749999999999</v>
      </c>
      <c r="H1146" s="24">
        <v>6.7902909999999999</v>
      </c>
      <c r="I1146" s="24">
        <v>5.7095979999999997</v>
      </c>
      <c r="J1146" s="24">
        <v>6.8030369999999998</v>
      </c>
      <c r="K1146" s="24">
        <v>1.0893470000000001</v>
      </c>
      <c r="L1146" s="24">
        <v>3.5422690000000001</v>
      </c>
      <c r="M1146" s="24">
        <v>35.001100000000001</v>
      </c>
      <c r="N1146" s="24">
        <v>4.3086429629629635</v>
      </c>
      <c r="O1146" s="24">
        <v>6.6326530612244898</v>
      </c>
      <c r="P1146" s="24">
        <v>6.5205479452054789</v>
      </c>
      <c r="Q1146" s="24">
        <v>1.8147699514315767</v>
      </c>
      <c r="R1146" s="24">
        <v>3.73</v>
      </c>
      <c r="S1146" s="24">
        <v>3.4353708764303414</v>
      </c>
      <c r="T1146" s="24">
        <v>0.78531757334806862</v>
      </c>
      <c r="U1146" s="24" t="s">
        <v>4211</v>
      </c>
      <c r="V1146">
        <v>0</v>
      </c>
      <c r="W1146" s="21">
        <v>0</v>
      </c>
      <c r="X1146" s="56" t="str">
        <f>IFERROR(VLOOKUP(A1146,Output!A:F,6,0),"-")</f>
        <v>-</v>
      </c>
    </row>
    <row r="1147" spans="1:24" hidden="1" x14ac:dyDescent="0.25">
      <c r="A1147" s="21" t="s">
        <v>2085</v>
      </c>
      <c r="B1147" s="40" t="s">
        <v>2086</v>
      </c>
      <c r="C1147" s="21" t="s">
        <v>258</v>
      </c>
      <c r="D1147" s="21" t="s">
        <v>74</v>
      </c>
      <c r="E1147" s="21" t="s">
        <v>90</v>
      </c>
      <c r="F1147" s="55">
        <v>1.069773695441516E-4</v>
      </c>
      <c r="G1147" s="24">
        <v>6.8497950000000003</v>
      </c>
      <c r="H1147" s="24">
        <v>7.0825290000000001</v>
      </c>
      <c r="I1147" s="24">
        <v>4.7206359999999998</v>
      </c>
      <c r="J1147" s="24">
        <v>6.2808679999999999</v>
      </c>
      <c r="K1147" s="24">
        <v>0.77013330000000002</v>
      </c>
      <c r="L1147" s="24">
        <v>3.5092479999999999</v>
      </c>
      <c r="M1147" s="24">
        <v>43.052</v>
      </c>
      <c r="N1147" s="24">
        <v>6.8424252875602134</v>
      </c>
      <c r="O1147" s="24">
        <v>0.52631578947368418</v>
      </c>
      <c r="P1147" s="24">
        <v>5.2765957446808507</v>
      </c>
      <c r="Q1147" s="24">
        <v>1.618928789282035</v>
      </c>
      <c r="R1147" s="24">
        <v>2.64</v>
      </c>
      <c r="S1147" s="24">
        <v>3.6476721577943834</v>
      </c>
      <c r="T1147" s="24">
        <v>0.19296958160673097</v>
      </c>
      <c r="U1147" s="24" t="s">
        <v>3711</v>
      </c>
      <c r="V1147">
        <v>0</v>
      </c>
      <c r="W1147" s="21">
        <v>0</v>
      </c>
      <c r="X1147" s="56" t="str">
        <f>IFERROR(VLOOKUP(A1147,Output!A:F,6,0),"-")</f>
        <v>-</v>
      </c>
    </row>
    <row r="1148" spans="1:24" hidden="1" x14ac:dyDescent="0.25">
      <c r="A1148" s="21" t="s">
        <v>467</v>
      </c>
      <c r="B1148" s="40" t="s">
        <v>850</v>
      </c>
      <c r="C1148" s="21" t="s">
        <v>244</v>
      </c>
      <c r="D1148" s="21" t="s">
        <v>73</v>
      </c>
      <c r="E1148" s="21" t="s">
        <v>91</v>
      </c>
      <c r="F1148" s="55">
        <v>1.0696288210417429E-4</v>
      </c>
      <c r="G1148" s="24">
        <v>4.2972809999999999</v>
      </c>
      <c r="H1148" s="24">
        <v>5.918501</v>
      </c>
      <c r="I1148" s="24">
        <v>6.9439460000000004</v>
      </c>
      <c r="J1148" s="24">
        <v>6.004435</v>
      </c>
      <c r="K1148" s="24">
        <v>0</v>
      </c>
      <c r="L1148" s="24">
        <v>15.80865</v>
      </c>
      <c r="M1148" s="24">
        <v>10.4498</v>
      </c>
      <c r="N1148" s="24">
        <v>3.6486802618892988</v>
      </c>
      <c r="O1148" s="24">
        <v>0.90909090909090917</v>
      </c>
      <c r="P1148" s="24">
        <v>3.7629937889272607</v>
      </c>
      <c r="Q1148" s="24">
        <v>9.5304177583278147</v>
      </c>
      <c r="R1148" s="24" t="e">
        <v>#N/A</v>
      </c>
      <c r="S1148" s="24">
        <v>5.4045938064227332</v>
      </c>
      <c r="T1148" s="24">
        <v>0.78439662494853402</v>
      </c>
      <c r="U1148" s="24" t="s">
        <v>2943</v>
      </c>
      <c r="V1148">
        <v>0</v>
      </c>
      <c r="W1148" s="21">
        <v>0</v>
      </c>
      <c r="X1148" s="56" t="str">
        <f>IFERROR(VLOOKUP(A1148,Output!A:F,6,0),"-")</f>
        <v>-</v>
      </c>
    </row>
    <row r="1149" spans="1:24" hidden="1" x14ac:dyDescent="0.25">
      <c r="A1149" s="21" t="s">
        <v>537</v>
      </c>
      <c r="B1149" s="40" t="s">
        <v>925</v>
      </c>
      <c r="C1149" s="21" t="s">
        <v>244</v>
      </c>
      <c r="D1149" s="21" t="s">
        <v>73</v>
      </c>
      <c r="E1149" s="21" t="s">
        <v>99</v>
      </c>
      <c r="F1149" s="55">
        <v>1.0630742605242289E-4</v>
      </c>
      <c r="G1149" s="24">
        <v>4.428458</v>
      </c>
      <c r="H1149" s="24">
        <v>2.6358250000000001</v>
      </c>
      <c r="I1149" s="24">
        <v>6.2031299999999998</v>
      </c>
      <c r="J1149" s="24">
        <v>4.4224709999999998</v>
      </c>
      <c r="K1149" s="24">
        <v>0</v>
      </c>
      <c r="L1149" s="24">
        <v>1.678042</v>
      </c>
      <c r="M1149" s="24">
        <v>8.6681000000000008</v>
      </c>
      <c r="N1149" s="24">
        <v>0</v>
      </c>
      <c r="O1149" s="24">
        <v>0.10416666666666671</v>
      </c>
      <c r="P1149" s="24">
        <v>0</v>
      </c>
      <c r="Q1149" s="24">
        <v>4.4316240054419209</v>
      </c>
      <c r="R1149" s="24" t="e">
        <v>#N/A</v>
      </c>
      <c r="S1149" s="24">
        <v>1.457293261575233</v>
      </c>
      <c r="T1149" s="24">
        <v>2.4322815445968939</v>
      </c>
      <c r="U1149" s="24" t="s">
        <v>2972</v>
      </c>
      <c r="V1149">
        <v>0</v>
      </c>
      <c r="W1149" s="21">
        <v>1</v>
      </c>
      <c r="X1149" s="56" t="str">
        <f>IFERROR(VLOOKUP(A1149,Output!A:F,6,0),"-")</f>
        <v>-</v>
      </c>
    </row>
    <row r="1150" spans="1:24" hidden="1" x14ac:dyDescent="0.25">
      <c r="A1150" s="21" t="s">
        <v>464</v>
      </c>
      <c r="B1150" s="40" t="s">
        <v>699</v>
      </c>
      <c r="C1150" s="21" t="s">
        <v>244</v>
      </c>
      <c r="D1150" s="21" t="s">
        <v>73</v>
      </c>
      <c r="E1150" s="21" t="s">
        <v>91</v>
      </c>
      <c r="F1150" s="55">
        <v>1.0581133184042193E-4</v>
      </c>
      <c r="G1150" s="24">
        <v>7.0579869999999998</v>
      </c>
      <c r="H1150" s="24">
        <v>6.3168639999999998</v>
      </c>
      <c r="I1150" s="24">
        <v>6.165286</v>
      </c>
      <c r="J1150" s="24">
        <v>6.4044569999999998</v>
      </c>
      <c r="K1150" s="24">
        <v>0</v>
      </c>
      <c r="L1150" s="24">
        <v>9.0636620000000008</v>
      </c>
      <c r="M1150" s="24">
        <v>27.889800000000001</v>
      </c>
      <c r="N1150" s="24">
        <v>3.5568313610258224</v>
      </c>
      <c r="O1150" s="24">
        <v>10</v>
      </c>
      <c r="P1150" s="24">
        <v>6.5384615528546313</v>
      </c>
      <c r="Q1150" s="24">
        <v>7.7902858952581111</v>
      </c>
      <c r="R1150" s="24" t="e">
        <v>#N/A</v>
      </c>
      <c r="S1150" s="24">
        <v>5.2979661242111851</v>
      </c>
      <c r="T1150" s="24">
        <v>0.68201684036342947</v>
      </c>
      <c r="U1150" s="24" t="s">
        <v>2934</v>
      </c>
      <c r="V1150">
        <v>0</v>
      </c>
      <c r="W1150" s="21">
        <v>0</v>
      </c>
      <c r="X1150" s="56" t="str">
        <f>IFERROR(VLOOKUP(A1150,Output!A:F,6,0),"-")</f>
        <v>-</v>
      </c>
    </row>
    <row r="1151" spans="1:24" ht="15" hidden="1" customHeight="1" x14ac:dyDescent="0.25">
      <c r="A1151" s="21" t="s">
        <v>2156</v>
      </c>
      <c r="B1151" s="40" t="s">
        <v>2157</v>
      </c>
      <c r="C1151" s="21" t="s">
        <v>669</v>
      </c>
      <c r="D1151" s="21" t="s">
        <v>74</v>
      </c>
      <c r="E1151" s="21" t="s">
        <v>95</v>
      </c>
      <c r="F1151" s="55">
        <v>1.0547228550206393E-4</v>
      </c>
      <c r="G1151" s="24">
        <v>5.6892649999999998</v>
      </c>
      <c r="H1151" s="24">
        <v>6.6632199999999999</v>
      </c>
      <c r="I1151" s="24">
        <v>5.6891340000000001</v>
      </c>
      <c r="J1151" s="24">
        <v>5.8840170000000001</v>
      </c>
      <c r="K1151" s="24">
        <v>9.3785419999999995</v>
      </c>
      <c r="L1151" s="24">
        <v>16.373709999999999</v>
      </c>
      <c r="M1151" s="24">
        <v>419.43099999999998</v>
      </c>
      <c r="N1151" s="24">
        <v>3.8470798406333637</v>
      </c>
      <c r="O1151" s="24">
        <v>3.8202247191011236</v>
      </c>
      <c r="P1151" s="24">
        <v>4.2641509433962268</v>
      </c>
      <c r="Q1151" s="24">
        <v>10</v>
      </c>
      <c r="R1151" s="24">
        <v>7.5</v>
      </c>
      <c r="S1151" s="24">
        <v>7.0658074682451888</v>
      </c>
      <c r="T1151" s="24">
        <v>0.22351923393973738</v>
      </c>
      <c r="U1151" s="24" t="s">
        <v>3747</v>
      </c>
      <c r="V1151">
        <v>1</v>
      </c>
      <c r="W1151" s="21">
        <v>0</v>
      </c>
      <c r="X1151" s="56" t="str">
        <f>IFERROR(VLOOKUP(A1151,Output!A:F,6,0),"-")</f>
        <v>-</v>
      </c>
    </row>
    <row r="1152" spans="1:24" hidden="1" x14ac:dyDescent="0.25">
      <c r="A1152" s="21" t="s">
        <v>4604</v>
      </c>
      <c r="B1152" s="40" t="s">
        <v>4605</v>
      </c>
      <c r="C1152" s="21" t="s">
        <v>252</v>
      </c>
      <c r="D1152" s="21" t="s">
        <v>74</v>
      </c>
      <c r="E1152" s="21" t="s">
        <v>86</v>
      </c>
      <c r="F1152" s="55">
        <v>1.0537741289165694E-4</v>
      </c>
      <c r="G1152" s="24">
        <v>0</v>
      </c>
      <c r="H1152" s="24">
        <v>0</v>
      </c>
      <c r="I1152" s="24">
        <v>0</v>
      </c>
      <c r="J1152" s="24">
        <v>0</v>
      </c>
      <c r="K1152" s="24">
        <v>1.8742799999999999</v>
      </c>
      <c r="L1152" s="24">
        <v>6.9696689999999997</v>
      </c>
      <c r="M1152" s="24" t="e">
        <v>#N/A</v>
      </c>
      <c r="N1152" s="24">
        <v>7.0161493248610007</v>
      </c>
      <c r="O1152" s="24">
        <v>5.5670103092783503</v>
      </c>
      <c r="P1152" s="24">
        <v>4.8524590163934427</v>
      </c>
      <c r="Q1152" s="24">
        <v>6.279263472572401</v>
      </c>
      <c r="R1152" s="24" t="e">
        <v>#N/A</v>
      </c>
      <c r="S1152" s="24">
        <v>4.8674186756776718</v>
      </c>
      <c r="T1152" s="24">
        <v>-3.1046071789218393E-2</v>
      </c>
      <c r="U1152" s="24" t="s">
        <v>4606</v>
      </c>
      <c r="V1152">
        <v>0</v>
      </c>
      <c r="W1152" s="21">
        <v>1</v>
      </c>
      <c r="X1152" s="56" t="str">
        <f>IFERROR(VLOOKUP(A1152,Output!A:F,6,0),"-")</f>
        <v>-</v>
      </c>
    </row>
    <row r="1153" spans="1:24" hidden="1" x14ac:dyDescent="0.25">
      <c r="A1153" s="21" t="s">
        <v>1491</v>
      </c>
      <c r="B1153" s="40" t="s">
        <v>1492</v>
      </c>
      <c r="C1153" s="21" t="s">
        <v>247</v>
      </c>
      <c r="D1153" s="21" t="s">
        <v>74</v>
      </c>
      <c r="E1153" s="21" t="s">
        <v>92</v>
      </c>
      <c r="F1153" s="55">
        <v>1.0530648480010135E-4</v>
      </c>
      <c r="G1153" s="24">
        <v>5.2879889999999996</v>
      </c>
      <c r="H1153" s="24">
        <v>5.3493120000000003</v>
      </c>
      <c r="I1153" s="24">
        <v>4.6023800000000001</v>
      </c>
      <c r="J1153" s="24">
        <v>5.1007040000000003</v>
      </c>
      <c r="K1153" s="24">
        <v>3.3856229999999998</v>
      </c>
      <c r="L1153" s="24">
        <v>10.128360000000001</v>
      </c>
      <c r="M1153" s="24">
        <v>6.6169000000000002</v>
      </c>
      <c r="N1153" s="24">
        <v>2.9160503703703706</v>
      </c>
      <c r="O1153" s="24">
        <v>6.8367346938775508</v>
      </c>
      <c r="P1153" s="24">
        <v>4.0821917808219181</v>
      </c>
      <c r="Q1153" s="24">
        <v>8.3828285751669469</v>
      </c>
      <c r="R1153" s="24">
        <v>6.63</v>
      </c>
      <c r="S1153" s="24">
        <v>6.2557142531890975</v>
      </c>
      <c r="T1153" s="24">
        <v>0.44469897463730484</v>
      </c>
      <c r="U1153" s="24" t="s">
        <v>3388</v>
      </c>
      <c r="V1153">
        <v>0</v>
      </c>
      <c r="W1153" s="21">
        <v>0</v>
      </c>
      <c r="X1153" s="56" t="str">
        <f>IFERROR(VLOOKUP(A1153,Output!A:F,6,0),"-")</f>
        <v>-</v>
      </c>
    </row>
    <row r="1154" spans="1:24" hidden="1" x14ac:dyDescent="0.25">
      <c r="A1154" s="21" t="s">
        <v>536</v>
      </c>
      <c r="B1154" s="40" t="s">
        <v>908</v>
      </c>
      <c r="C1154" s="21" t="s">
        <v>250</v>
      </c>
      <c r="D1154" s="21" t="s">
        <v>76</v>
      </c>
      <c r="E1154" s="21" t="s">
        <v>86</v>
      </c>
      <c r="F1154" s="55">
        <v>1.0498182529449861E-4</v>
      </c>
      <c r="G1154" s="21">
        <v>5.698537</v>
      </c>
      <c r="H1154" s="21">
        <v>5.6138640000000004</v>
      </c>
      <c r="I1154" s="21">
        <v>5.4360499999999998</v>
      </c>
      <c r="J1154" s="21">
        <v>5.5828170000000004</v>
      </c>
      <c r="K1154" s="24">
        <v>2.622725</v>
      </c>
      <c r="L1154" s="24">
        <v>5.864058</v>
      </c>
      <c r="M1154" s="24">
        <v>580.33100000000002</v>
      </c>
      <c r="N1154" s="24">
        <v>5.5228216635388661</v>
      </c>
      <c r="O1154" s="24">
        <v>7.9761904761904781</v>
      </c>
      <c r="P1154" s="24">
        <v>3.552631578947369</v>
      </c>
      <c r="Q1154" s="24">
        <v>5.1523909520540006</v>
      </c>
      <c r="R1154" s="24">
        <v>6.31</v>
      </c>
      <c r="S1154" s="24">
        <v>5.6220593346784717</v>
      </c>
      <c r="T1154" s="24">
        <v>0.34861591647457829</v>
      </c>
      <c r="U1154" s="24" t="s">
        <v>3028</v>
      </c>
      <c r="V1154">
        <v>0</v>
      </c>
      <c r="W1154" s="21">
        <v>0</v>
      </c>
      <c r="X1154" s="56" t="str">
        <f>IFERROR(VLOOKUP(A1154,Output!A:F,6,0),"-")</f>
        <v>-</v>
      </c>
    </row>
    <row r="1155" spans="1:24" hidden="1" x14ac:dyDescent="0.25">
      <c r="A1155" s="21" t="s">
        <v>1375</v>
      </c>
      <c r="B1155" s="40" t="s">
        <v>1376</v>
      </c>
      <c r="C1155" s="21" t="s">
        <v>245</v>
      </c>
      <c r="D1155" s="21" t="s">
        <v>73</v>
      </c>
      <c r="E1155" s="21" t="s">
        <v>100</v>
      </c>
      <c r="F1155" s="55">
        <v>1.0483010960362508E-4</v>
      </c>
      <c r="G1155" s="24">
        <v>4.8841270000000003</v>
      </c>
      <c r="H1155" s="24">
        <v>5.0085569999999997</v>
      </c>
      <c r="I1155" s="24">
        <v>5.4141139999999996</v>
      </c>
      <c r="J1155" s="24">
        <v>5.1022660000000002</v>
      </c>
      <c r="K1155" s="24">
        <v>7.2056180000000003</v>
      </c>
      <c r="L1155" s="24">
        <v>4.3491739999999997</v>
      </c>
      <c r="M1155" s="24">
        <v>22.977399999999999</v>
      </c>
      <c r="N1155" s="24">
        <v>7.0733110939837101</v>
      </c>
      <c r="O1155" s="24">
        <v>3.0000000000000004</v>
      </c>
      <c r="P1155" s="24">
        <v>2.3839009287925697</v>
      </c>
      <c r="Q1155" s="24">
        <v>4.1755362094130994</v>
      </c>
      <c r="R1155" s="24">
        <v>8.83</v>
      </c>
      <c r="S1155" s="24">
        <v>4.8481143320332665</v>
      </c>
      <c r="T1155" s="24">
        <v>0.66688860381987025</v>
      </c>
      <c r="U1155" s="24" t="s">
        <v>3375</v>
      </c>
      <c r="V1155">
        <v>0</v>
      </c>
      <c r="W1155" s="21">
        <v>0</v>
      </c>
      <c r="X1155" s="56" t="str">
        <f>IFERROR(VLOOKUP(A1155,Output!A:F,6,0),"-")</f>
        <v>-</v>
      </c>
    </row>
    <row r="1156" spans="1:24" hidden="1" x14ac:dyDescent="0.25">
      <c r="A1156" s="21" t="s">
        <v>1145</v>
      </c>
      <c r="B1156" s="40" t="s">
        <v>1146</v>
      </c>
      <c r="C1156" s="21" t="s">
        <v>250</v>
      </c>
      <c r="D1156" s="21" t="s">
        <v>76</v>
      </c>
      <c r="E1156" s="21" t="s">
        <v>90</v>
      </c>
      <c r="F1156" s="55">
        <v>1.0473191695488994E-4</v>
      </c>
      <c r="G1156" s="21">
        <v>2.8598150000000002</v>
      </c>
      <c r="H1156" s="21">
        <v>5.9047640000000001</v>
      </c>
      <c r="I1156" s="21">
        <v>6.8022239999999998</v>
      </c>
      <c r="J1156" s="21">
        <v>4.9560219999999999</v>
      </c>
      <c r="K1156" s="24">
        <v>2.8190339999999998</v>
      </c>
      <c r="L1156" s="24">
        <v>4.6822929999999996</v>
      </c>
      <c r="M1156" s="24">
        <v>203.42769999999999</v>
      </c>
      <c r="N1156" s="24">
        <v>0</v>
      </c>
      <c r="O1156" s="24">
        <v>10</v>
      </c>
      <c r="P1156" s="24">
        <v>4.5890410958904111</v>
      </c>
      <c r="Q1156" s="24">
        <v>0</v>
      </c>
      <c r="R1156" s="24">
        <v>4.55</v>
      </c>
      <c r="S1156" s="24">
        <v>2.647260273972603</v>
      </c>
      <c r="T1156" s="24">
        <v>7.0192651436686668E-2</v>
      </c>
      <c r="U1156" s="24" t="s">
        <v>3203</v>
      </c>
      <c r="V1156">
        <v>0</v>
      </c>
      <c r="W1156" s="21">
        <v>0</v>
      </c>
      <c r="X1156" s="56" t="str">
        <f>IFERROR(VLOOKUP(A1156,Output!A:F,6,0),"-")</f>
        <v>-</v>
      </c>
    </row>
    <row r="1157" spans="1:24" hidden="1" x14ac:dyDescent="0.25">
      <c r="A1157" s="21" t="s">
        <v>631</v>
      </c>
      <c r="B1157" s="40" t="s">
        <v>956</v>
      </c>
      <c r="C1157" s="21" t="s">
        <v>244</v>
      </c>
      <c r="D1157" s="21" t="s">
        <v>73</v>
      </c>
      <c r="E1157" s="21" t="s">
        <v>103</v>
      </c>
      <c r="F1157" s="55">
        <v>1.0436007266213889E-4</v>
      </c>
      <c r="G1157" s="24">
        <v>4.0536830000000004</v>
      </c>
      <c r="H1157" s="24">
        <v>3.4176530000000001</v>
      </c>
      <c r="I1157" s="24">
        <v>4.7487320000000004</v>
      </c>
      <c r="J1157" s="24">
        <v>4.0713889999999999</v>
      </c>
      <c r="K1157" s="24">
        <v>0</v>
      </c>
      <c r="L1157" s="24">
        <v>-18.363980000000002</v>
      </c>
      <c r="M1157" s="24">
        <v>6973.8360000000002</v>
      </c>
      <c r="N1157" s="24">
        <v>2.3067989538511751</v>
      </c>
      <c r="O1157" s="24">
        <v>1.5306122448979589</v>
      </c>
      <c r="P1157" s="24">
        <v>0</v>
      </c>
      <c r="Q1157" s="24">
        <v>7.3037666657836269</v>
      </c>
      <c r="R1157" s="24" t="e">
        <v>#N/A</v>
      </c>
      <c r="S1157" s="24">
        <v>1.8067731762344017</v>
      </c>
      <c r="T1157" s="24">
        <v>1.6654139276424416</v>
      </c>
      <c r="U1157" s="24" t="s">
        <v>3017</v>
      </c>
      <c r="V1157">
        <v>0</v>
      </c>
      <c r="W1157" s="21">
        <v>1</v>
      </c>
      <c r="X1157" s="56" t="str">
        <f>IFERROR(VLOOKUP(A1157,Output!A:F,6,0),"-")</f>
        <v>-</v>
      </c>
    </row>
    <row r="1158" spans="1:24" hidden="1" x14ac:dyDescent="0.25">
      <c r="A1158" s="21" t="s">
        <v>4544</v>
      </c>
      <c r="B1158" s="40" t="s">
        <v>4545</v>
      </c>
      <c r="C1158" s="21" t="s">
        <v>245</v>
      </c>
      <c r="D1158" s="21" t="s">
        <v>73</v>
      </c>
      <c r="E1158" s="21" t="s">
        <v>95</v>
      </c>
      <c r="F1158" s="55">
        <v>1.0412917908750044E-4</v>
      </c>
      <c r="G1158" s="24">
        <v>4.216202</v>
      </c>
      <c r="H1158" s="24">
        <v>6.600797</v>
      </c>
      <c r="I1158" s="24">
        <v>6.8898999999999999</v>
      </c>
      <c r="J1158" s="24">
        <v>5.4952300000000003</v>
      </c>
      <c r="K1158" s="24">
        <v>0</v>
      </c>
      <c r="L1158" s="24">
        <v>10.96143</v>
      </c>
      <c r="M1158" s="24">
        <v>967.77970000000005</v>
      </c>
      <c r="N1158" s="24">
        <v>9.1077838857614442</v>
      </c>
      <c r="O1158" s="24">
        <v>6.4948453608247423</v>
      </c>
      <c r="P1158" s="24">
        <v>7.6923076923076916</v>
      </c>
      <c r="Q1158" s="24">
        <v>7.4957603686635927</v>
      </c>
      <c r="R1158" s="24" t="e">
        <v>#N/A</v>
      </c>
      <c r="S1158" s="24">
        <v>6.8086380192011404</v>
      </c>
      <c r="T1158" s="24">
        <v>0.58607322702024556</v>
      </c>
      <c r="U1158" s="24" t="s">
        <v>4546</v>
      </c>
      <c r="V1158">
        <v>1</v>
      </c>
      <c r="W1158" s="21">
        <v>0</v>
      </c>
      <c r="X1158" s="56" t="str">
        <f>IFERROR(VLOOKUP(A1158,Output!A:F,6,0),"-")</f>
        <v>-</v>
      </c>
    </row>
    <row r="1159" spans="1:24" x14ac:dyDescent="0.25">
      <c r="A1159" s="21" t="s">
        <v>1152</v>
      </c>
      <c r="B1159" s="40" t="s">
        <v>1153</v>
      </c>
      <c r="C1159" s="21" t="s">
        <v>248</v>
      </c>
      <c r="D1159" s="21" t="s">
        <v>75</v>
      </c>
      <c r="E1159" s="21" t="s">
        <v>97</v>
      </c>
      <c r="F1159" s="55">
        <v>1.0408008276313287E-4</v>
      </c>
      <c r="G1159" s="24">
        <v>6.880681</v>
      </c>
      <c r="H1159" s="24">
        <v>4.3246630000000001</v>
      </c>
      <c r="I1159" s="24">
        <v>3.6613280000000001</v>
      </c>
      <c r="J1159" s="24">
        <v>5.0817360000000003</v>
      </c>
      <c r="K1159" s="24">
        <v>3.3071410000000001</v>
      </c>
      <c r="L1159" s="24">
        <v>7.5588509999999998</v>
      </c>
      <c r="M1159" s="24">
        <v>7.0903</v>
      </c>
      <c r="N1159" s="24">
        <v>2.6292952952952948</v>
      </c>
      <c r="O1159" s="24">
        <v>6.5934065934065922</v>
      </c>
      <c r="P1159" s="24">
        <v>10</v>
      </c>
      <c r="Q1159" s="24">
        <v>8.1505843901351085</v>
      </c>
      <c r="R1159" s="24">
        <v>3.69</v>
      </c>
      <c r="S1159" s="24">
        <v>7.0855713797761357</v>
      </c>
      <c r="T1159" s="24">
        <v>0.24418254545812046</v>
      </c>
      <c r="U1159" s="24" t="s">
        <v>3171</v>
      </c>
      <c r="V1159">
        <v>0</v>
      </c>
      <c r="W1159" s="21">
        <v>0</v>
      </c>
      <c r="X1159" s="56" t="str">
        <f>IFERROR(VLOOKUP(A1159,Output!A:F,6,0),"-")</f>
        <v>-</v>
      </c>
    </row>
    <row r="1160" spans="1:24" hidden="1" x14ac:dyDescent="0.25">
      <c r="A1160" s="21" t="s">
        <v>523</v>
      </c>
      <c r="B1160" s="40" t="s">
        <v>906</v>
      </c>
      <c r="C1160" s="21" t="s">
        <v>244</v>
      </c>
      <c r="D1160" s="21" t="s">
        <v>73</v>
      </c>
      <c r="E1160" s="21" t="s">
        <v>100</v>
      </c>
      <c r="F1160" s="55">
        <v>1.0386699666679987E-4</v>
      </c>
      <c r="G1160" s="24">
        <v>4.184844</v>
      </c>
      <c r="H1160" s="24">
        <v>3.6171160000000002</v>
      </c>
      <c r="I1160" s="24">
        <v>4.2245699999999999</v>
      </c>
      <c r="J1160" s="24">
        <v>3.973643</v>
      </c>
      <c r="K1160" s="24">
        <v>0</v>
      </c>
      <c r="L1160" s="24">
        <v>9.6656150000000007</v>
      </c>
      <c r="M1160" s="24">
        <v>30.566700000000001</v>
      </c>
      <c r="N1160" s="24">
        <v>8.8061426365608444</v>
      </c>
      <c r="O1160" s="24">
        <v>2.333333333333333</v>
      </c>
      <c r="P1160" s="24">
        <v>0.52631578947368418</v>
      </c>
      <c r="Q1160" s="24">
        <v>4.2024850640671572</v>
      </c>
      <c r="R1160" s="24" t="e">
        <v>#N/A</v>
      </c>
      <c r="S1160" s="24">
        <v>3.5120607848171637</v>
      </c>
      <c r="T1160" s="24">
        <v>1.1586237534164323</v>
      </c>
      <c r="U1160" s="24" t="s">
        <v>3023</v>
      </c>
      <c r="V1160">
        <v>0</v>
      </c>
      <c r="W1160" s="21">
        <v>1</v>
      </c>
      <c r="X1160" s="56" t="str">
        <f>IFERROR(VLOOKUP(A1160,Output!A:F,6,0),"-")</f>
        <v>-</v>
      </c>
    </row>
    <row r="1161" spans="1:24" hidden="1" x14ac:dyDescent="0.25">
      <c r="A1161" s="21" t="s">
        <v>1472</v>
      </c>
      <c r="B1161" s="40" t="s">
        <v>1473</v>
      </c>
      <c r="C1161" s="21" t="s">
        <v>247</v>
      </c>
      <c r="D1161" s="21" t="s">
        <v>74</v>
      </c>
      <c r="E1161" s="21" t="s">
        <v>89</v>
      </c>
      <c r="F1161" s="55">
        <v>1.0360823489164951E-4</v>
      </c>
      <c r="G1161" s="24">
        <v>7.84673</v>
      </c>
      <c r="H1161" s="24">
        <v>5.6116700000000002</v>
      </c>
      <c r="I1161" s="24">
        <v>6.6237560000000002</v>
      </c>
      <c r="J1161" s="24">
        <v>6.6364179999999999</v>
      </c>
      <c r="K1161" s="24">
        <v>9.4966360000000005</v>
      </c>
      <c r="L1161" s="24">
        <v>10.547890000000001</v>
      </c>
      <c r="M1161" s="24">
        <v>0.29366999999999999</v>
      </c>
      <c r="N1161" s="24">
        <v>4.4403068261593379</v>
      </c>
      <c r="O1161" s="24">
        <v>3.333333333333333</v>
      </c>
      <c r="P1161" s="24">
        <v>4.2105263157894735</v>
      </c>
      <c r="Q1161" s="24">
        <v>4.2681918412348399</v>
      </c>
      <c r="R1161" s="24">
        <v>7.35</v>
      </c>
      <c r="S1161" s="24">
        <v>5.3364652035332245</v>
      </c>
      <c r="T1161" s="24">
        <v>0.54413975332186926</v>
      </c>
      <c r="U1161" s="24" t="s">
        <v>3380</v>
      </c>
      <c r="V1161">
        <v>0</v>
      </c>
      <c r="W1161" s="21">
        <v>0</v>
      </c>
      <c r="X1161" s="56" t="str">
        <f>IFERROR(VLOOKUP(A1161,Output!A:F,6,0),"-")</f>
        <v>-</v>
      </c>
    </row>
    <row r="1162" spans="1:24" hidden="1" x14ac:dyDescent="0.25">
      <c r="A1162" s="21" t="s">
        <v>1298</v>
      </c>
      <c r="B1162" s="40" t="s">
        <v>1299</v>
      </c>
      <c r="C1162" s="21" t="s">
        <v>257</v>
      </c>
      <c r="D1162" s="21" t="s">
        <v>74</v>
      </c>
      <c r="E1162" s="21" t="s">
        <v>99</v>
      </c>
      <c r="F1162" s="55">
        <v>1.035011888073727E-4</v>
      </c>
      <c r="G1162" s="24">
        <v>7.921735</v>
      </c>
      <c r="H1162" s="24">
        <v>7.6656449999999996</v>
      </c>
      <c r="I1162" s="24">
        <v>7.7225210000000004</v>
      </c>
      <c r="J1162" s="24">
        <v>7.7396140000000004</v>
      </c>
      <c r="K1162" s="24">
        <v>1.8233200000000001</v>
      </c>
      <c r="L1162" s="24">
        <v>4.5042549999999997</v>
      </c>
      <c r="M1162" s="24">
        <v>12.0655</v>
      </c>
      <c r="N1162" s="24">
        <v>7.6195475816179892</v>
      </c>
      <c r="O1162" s="24">
        <v>6.0439560439560447</v>
      </c>
      <c r="P1162" s="24">
        <v>2.1848734241931709</v>
      </c>
      <c r="Q1162" s="24">
        <v>5.4834848424421914</v>
      </c>
      <c r="R1162" s="24">
        <v>6.27</v>
      </c>
      <c r="S1162" s="24">
        <v>5.991729814720606</v>
      </c>
      <c r="T1162" s="24">
        <v>0.67719597285828093</v>
      </c>
      <c r="U1162" s="24" t="s">
        <v>3292</v>
      </c>
      <c r="V1162">
        <v>0</v>
      </c>
      <c r="W1162" s="21">
        <v>0</v>
      </c>
      <c r="X1162" s="56" t="str">
        <f>IFERROR(VLOOKUP(A1162,Output!A:F,6,0),"-")</f>
        <v>-</v>
      </c>
    </row>
    <row r="1163" spans="1:24" hidden="1" x14ac:dyDescent="0.25">
      <c r="A1163" s="21" t="s">
        <v>4221</v>
      </c>
      <c r="B1163" s="40" t="s">
        <v>4222</v>
      </c>
      <c r="C1163" s="21" t="s">
        <v>244</v>
      </c>
      <c r="D1163" s="21" t="s">
        <v>73</v>
      </c>
      <c r="E1163" s="21" t="s">
        <v>99</v>
      </c>
      <c r="F1163" s="55">
        <v>1.0311324735909129E-4</v>
      </c>
      <c r="G1163" s="21">
        <v>3.1697890000000002</v>
      </c>
      <c r="H1163" s="21">
        <v>6.3292130000000002</v>
      </c>
      <c r="I1163" s="21">
        <v>4.912045</v>
      </c>
      <c r="J1163" s="21">
        <v>4.6402929999999998</v>
      </c>
      <c r="K1163" s="24">
        <v>0</v>
      </c>
      <c r="L1163" s="24">
        <v>3.3574860000000002</v>
      </c>
      <c r="M1163" s="24">
        <v>19.653400000000001</v>
      </c>
      <c r="N1163" s="24">
        <v>8.1491715192716256</v>
      </c>
      <c r="O1163" s="24">
        <v>3.4375000000000004</v>
      </c>
      <c r="P1163" s="24">
        <v>7.7014925373134338</v>
      </c>
      <c r="Q1163" s="24">
        <v>1.0192498819506128</v>
      </c>
      <c r="R1163" s="24" t="e">
        <v>#N/A</v>
      </c>
      <c r="S1163" s="24">
        <v>4.9685797971115564</v>
      </c>
      <c r="T1163" s="24">
        <v>1.3771320935633782</v>
      </c>
      <c r="U1163" s="24" t="s">
        <v>4223</v>
      </c>
      <c r="V1163">
        <v>0</v>
      </c>
      <c r="W1163" s="21">
        <v>0</v>
      </c>
      <c r="X1163" s="56" t="str">
        <f>IFERROR(VLOOKUP(A1163,Output!A:F,6,0),"-")</f>
        <v>-</v>
      </c>
    </row>
    <row r="1164" spans="1:24" hidden="1" x14ac:dyDescent="0.25">
      <c r="A1164" s="21" t="s">
        <v>413</v>
      </c>
      <c r="B1164" s="40" t="s">
        <v>693</v>
      </c>
      <c r="C1164" s="21" t="s">
        <v>245</v>
      </c>
      <c r="D1164" s="21" t="s">
        <v>73</v>
      </c>
      <c r="E1164" s="21" t="s">
        <v>89</v>
      </c>
      <c r="F1164" s="55">
        <v>1.0305861763751016E-4</v>
      </c>
      <c r="G1164" s="24">
        <v>6.3940780000000004</v>
      </c>
      <c r="H1164" s="24">
        <v>5.7587060000000001</v>
      </c>
      <c r="I1164" s="24">
        <v>4.7014290000000001</v>
      </c>
      <c r="J1164" s="24">
        <v>5.5792710000000003</v>
      </c>
      <c r="K1164" s="24">
        <v>3.8686370000000001</v>
      </c>
      <c r="L1164" s="24">
        <v>11.35732</v>
      </c>
      <c r="M1164" s="24">
        <v>1.2345999999999999</v>
      </c>
      <c r="N1164" s="24">
        <v>4.2263450520833334</v>
      </c>
      <c r="O1164" s="24">
        <v>3.608247422680412</v>
      </c>
      <c r="P1164" s="24">
        <v>4.9913647668393786</v>
      </c>
      <c r="Q1164" s="24">
        <v>8.2450844316160783</v>
      </c>
      <c r="R1164" s="24">
        <v>8.39</v>
      </c>
      <c r="S1164" s="24">
        <v>6.9489739381866062</v>
      </c>
      <c r="T1164" s="24">
        <v>0.84644646057049999</v>
      </c>
      <c r="U1164" s="24" t="s">
        <v>2920</v>
      </c>
      <c r="V1164">
        <v>0</v>
      </c>
      <c r="W1164" s="21">
        <v>0</v>
      </c>
      <c r="X1164" s="56" t="str">
        <f>IFERROR(VLOOKUP(A1164,Output!A:F,6,0),"-")</f>
        <v>-</v>
      </c>
    </row>
    <row r="1165" spans="1:24" hidden="1" x14ac:dyDescent="0.25">
      <c r="A1165" s="21" t="s">
        <v>1857</v>
      </c>
      <c r="B1165" s="40" t="s">
        <v>1858</v>
      </c>
      <c r="C1165" s="21" t="s">
        <v>246</v>
      </c>
      <c r="D1165" s="21" t="s">
        <v>74</v>
      </c>
      <c r="E1165" s="21" t="s">
        <v>100</v>
      </c>
      <c r="F1165" s="55">
        <v>1.0287812828112612E-4</v>
      </c>
      <c r="G1165" s="24">
        <v>7.2572070000000002</v>
      </c>
      <c r="H1165" s="24">
        <v>2.8633570000000002</v>
      </c>
      <c r="I1165" s="24">
        <v>6.4407959999999997</v>
      </c>
      <c r="J1165" s="24">
        <v>5.5204529999999998</v>
      </c>
      <c r="K1165" s="24">
        <v>7.4389339999999997</v>
      </c>
      <c r="L1165" s="24">
        <v>5.5011419999999998</v>
      </c>
      <c r="M1165" s="24">
        <v>13.583299999999999</v>
      </c>
      <c r="N1165" s="24">
        <v>2.9671978914955099</v>
      </c>
      <c r="O1165" s="24">
        <v>3.8888888888888888</v>
      </c>
      <c r="P1165" s="24">
        <v>2.5461254612546123</v>
      </c>
      <c r="Q1165" s="24">
        <v>3.8131137323852276</v>
      </c>
      <c r="R1165" s="24">
        <v>5.32</v>
      </c>
      <c r="S1165" s="24">
        <v>3.4720116288483585</v>
      </c>
      <c r="T1165" s="24">
        <v>-2.6521509842482232E-2</v>
      </c>
      <c r="U1165" s="24" t="s">
        <v>3617</v>
      </c>
      <c r="V1165">
        <v>0</v>
      </c>
      <c r="W1165" s="21">
        <v>0</v>
      </c>
      <c r="X1165" s="56" t="str">
        <f>IFERROR(VLOOKUP(A1165,Output!A:F,6,0),"-")</f>
        <v>-</v>
      </c>
    </row>
    <row r="1166" spans="1:24" x14ac:dyDescent="0.25">
      <c r="A1166" s="21" t="s">
        <v>521</v>
      </c>
      <c r="B1166" s="40" t="s">
        <v>4483</v>
      </c>
      <c r="C1166" s="21" t="s">
        <v>248</v>
      </c>
      <c r="D1166" s="21" t="s">
        <v>75</v>
      </c>
      <c r="E1166" s="21" t="s">
        <v>88</v>
      </c>
      <c r="F1166" s="55">
        <v>1.0287782645945993E-4</v>
      </c>
      <c r="G1166" s="24">
        <v>6.023517</v>
      </c>
      <c r="H1166" s="24">
        <v>5.0984670000000003</v>
      </c>
      <c r="I1166" s="24">
        <v>3.2537180000000001</v>
      </c>
      <c r="J1166" s="24">
        <v>4.9150619999999998</v>
      </c>
      <c r="K1166" s="24">
        <v>2.3289149999999998</v>
      </c>
      <c r="L1166" s="24">
        <v>5.0761149999999997</v>
      </c>
      <c r="M1166" s="24">
        <v>28.583300000000001</v>
      </c>
      <c r="N1166" s="24">
        <v>0.85676697574422878</v>
      </c>
      <c r="O1166" s="24">
        <v>3.2631578947368425</v>
      </c>
      <c r="P1166" s="24">
        <v>2.4228574892408004</v>
      </c>
      <c r="Q1166" s="24">
        <v>4.5069330449982505</v>
      </c>
      <c r="R1166" s="24">
        <v>4.9400000000000004</v>
      </c>
      <c r="S1166" s="24">
        <v>3.1166254785538019</v>
      </c>
      <c r="T1166" s="24">
        <v>9.3410870300093346E-2</v>
      </c>
      <c r="U1166" s="24" t="s">
        <v>3170</v>
      </c>
      <c r="V1166">
        <v>0</v>
      </c>
      <c r="W1166" s="21">
        <v>0</v>
      </c>
      <c r="X1166" s="56" t="str">
        <f>IFERROR(VLOOKUP(A1166,Output!A:F,6,0),"-")</f>
        <v>-</v>
      </c>
    </row>
    <row r="1167" spans="1:24" x14ac:dyDescent="0.25">
      <c r="A1167" s="21" t="s">
        <v>1097</v>
      </c>
      <c r="B1167" s="40" t="s">
        <v>1098</v>
      </c>
      <c r="C1167" s="21" t="s">
        <v>248</v>
      </c>
      <c r="D1167" s="21" t="s">
        <v>75</v>
      </c>
      <c r="E1167" s="21" t="s">
        <v>95</v>
      </c>
      <c r="F1167" s="55">
        <v>1.0249662569505684E-4</v>
      </c>
      <c r="G1167" s="24">
        <v>4.4280920000000004</v>
      </c>
      <c r="H1167" s="24">
        <v>8.0067240000000002</v>
      </c>
      <c r="I1167" s="24">
        <v>3.9184359999999998</v>
      </c>
      <c r="J1167" s="24">
        <v>4.9909220000000003</v>
      </c>
      <c r="K1167" s="24">
        <v>3.1189079999999998</v>
      </c>
      <c r="L1167" s="24">
        <v>20.380600000000001</v>
      </c>
      <c r="M1167" s="24">
        <v>432.35770000000002</v>
      </c>
      <c r="N1167" s="24">
        <v>0</v>
      </c>
      <c r="O1167" s="24">
        <v>10</v>
      </c>
      <c r="P1167" s="24">
        <v>7.5675675675675711</v>
      </c>
      <c r="Q1167" s="24">
        <v>10</v>
      </c>
      <c r="R1167" s="24">
        <v>4.1100000000000003</v>
      </c>
      <c r="S1167" s="24">
        <v>5.391891891891893</v>
      </c>
      <c r="T1167" s="24">
        <v>0.44302028712384905</v>
      </c>
      <c r="U1167" s="24" t="s">
        <v>3175</v>
      </c>
      <c r="V1167">
        <v>1</v>
      </c>
      <c r="W1167" s="21">
        <v>0</v>
      </c>
      <c r="X1167" s="56" t="str">
        <f>IFERROR(VLOOKUP(A1167,Output!A:F,6,0),"-")</f>
        <v>-</v>
      </c>
    </row>
    <row r="1168" spans="1:24" hidden="1" x14ac:dyDescent="0.25">
      <c r="A1168" s="21" t="s">
        <v>1546</v>
      </c>
      <c r="B1168" s="40" t="s">
        <v>1547</v>
      </c>
      <c r="C1168" s="21" t="s">
        <v>254</v>
      </c>
      <c r="D1168" s="21" t="s">
        <v>74</v>
      </c>
      <c r="E1168" s="21" t="s">
        <v>92</v>
      </c>
      <c r="F1168" s="55">
        <v>1.0249350687117284E-4</v>
      </c>
      <c r="G1168" s="24">
        <v>5.1071739999999997</v>
      </c>
      <c r="H1168" s="24">
        <v>5.1826249999999998</v>
      </c>
      <c r="I1168" s="24">
        <v>6.7225669999999997</v>
      </c>
      <c r="J1168" s="24">
        <v>5.6144270000000001</v>
      </c>
      <c r="K1168" s="24">
        <v>7.1656969999999998</v>
      </c>
      <c r="L1168" s="24">
        <v>7.220027</v>
      </c>
      <c r="M1168" s="24">
        <v>2.4213</v>
      </c>
      <c r="N1168" s="24">
        <v>1.5876548148148149</v>
      </c>
      <c r="O1168" s="24">
        <v>3.1632653061224487</v>
      </c>
      <c r="P1168" s="24">
        <v>3.2876712328767121</v>
      </c>
      <c r="Q1168" s="24">
        <v>7.4877755953202048</v>
      </c>
      <c r="R1168" s="24">
        <v>8.27</v>
      </c>
      <c r="S1168" s="24">
        <v>5.1251984468530711</v>
      </c>
      <c r="T1168" s="24">
        <v>0.69750556545340803</v>
      </c>
      <c r="U1168" s="24" t="s">
        <v>3369</v>
      </c>
      <c r="V1168">
        <v>0</v>
      </c>
      <c r="W1168" s="21">
        <v>0</v>
      </c>
      <c r="X1168" s="56" t="str">
        <f>IFERROR(VLOOKUP(A1168,Output!A:F,6,0),"-")</f>
        <v>-</v>
      </c>
    </row>
    <row r="1169" spans="1:24" hidden="1" x14ac:dyDescent="0.25">
      <c r="A1169" s="21" t="s">
        <v>4272</v>
      </c>
      <c r="B1169" s="40" t="s">
        <v>4273</v>
      </c>
      <c r="C1169" s="21" t="s">
        <v>244</v>
      </c>
      <c r="D1169" s="21" t="s">
        <v>73</v>
      </c>
      <c r="E1169" s="21" t="s">
        <v>90</v>
      </c>
      <c r="F1169" s="55">
        <v>1.0245738887845161E-4</v>
      </c>
      <c r="G1169" s="21">
        <v>3.1469779999999998</v>
      </c>
      <c r="H1169" s="21">
        <v>2.645451</v>
      </c>
      <c r="I1169" s="21">
        <v>7.343121</v>
      </c>
      <c r="J1169" s="21">
        <v>4.255363</v>
      </c>
      <c r="K1169" s="24">
        <v>0</v>
      </c>
      <c r="L1169" s="24">
        <v>7.1458659999999998</v>
      </c>
      <c r="M1169" s="24">
        <v>407.67399999999998</v>
      </c>
      <c r="N1169" s="24">
        <v>5.9577029560201877</v>
      </c>
      <c r="O1169" s="24">
        <v>0.51546391752577314</v>
      </c>
      <c r="P1169" s="24">
        <v>5.228215767634854</v>
      </c>
      <c r="Q1169" s="24">
        <v>5.615069608305804</v>
      </c>
      <c r="R1169" s="24" t="e">
        <v>#N/A</v>
      </c>
      <c r="S1169" s="24">
        <v>5.5029785777302749</v>
      </c>
      <c r="T1169" s="24">
        <v>1.3504481452344841</v>
      </c>
      <c r="U1169" s="24" t="s">
        <v>4274</v>
      </c>
      <c r="V1169">
        <v>0</v>
      </c>
      <c r="W1169" s="21">
        <v>1</v>
      </c>
      <c r="X1169" s="56" t="str">
        <f>IFERROR(VLOOKUP(A1169,Output!A:F,6,0),"-")</f>
        <v>-</v>
      </c>
    </row>
    <row r="1170" spans="1:24" hidden="1" x14ac:dyDescent="0.25">
      <c r="A1170" s="21" t="s">
        <v>2517</v>
      </c>
      <c r="B1170" s="40" t="s">
        <v>2518</v>
      </c>
      <c r="C1170" s="21" t="s">
        <v>305</v>
      </c>
      <c r="D1170" s="21" t="s">
        <v>74</v>
      </c>
      <c r="E1170" s="21" t="s">
        <v>92</v>
      </c>
      <c r="F1170" s="55">
        <v>1.0243585893292978E-4</v>
      </c>
      <c r="G1170" s="21">
        <v>3.920401</v>
      </c>
      <c r="H1170" s="21">
        <v>2.2426560000000002</v>
      </c>
      <c r="I1170" s="21">
        <v>3.3228330000000001</v>
      </c>
      <c r="J1170" s="21">
        <v>3.2378070000000001</v>
      </c>
      <c r="K1170" s="24">
        <v>1.168085</v>
      </c>
      <c r="L1170" s="24">
        <v>-2.3054760000000001</v>
      </c>
      <c r="M1170" s="24">
        <v>684.21950000000004</v>
      </c>
      <c r="N1170" s="24">
        <v>4.0617288888888883</v>
      </c>
      <c r="O1170" s="24">
        <v>0.71428571428571419</v>
      </c>
      <c r="P1170" s="24">
        <v>2.8493150684931501</v>
      </c>
      <c r="Q1170" s="24">
        <v>9.9088199689078102</v>
      </c>
      <c r="R1170" s="24">
        <v>2.77</v>
      </c>
      <c r="S1170" s="24">
        <v>3.56249567867855</v>
      </c>
      <c r="T1170" s="24">
        <v>0.31063199673067537</v>
      </c>
      <c r="U1170" s="24" t="s">
        <v>3939</v>
      </c>
      <c r="V1170">
        <v>0</v>
      </c>
      <c r="W1170" s="21">
        <v>1</v>
      </c>
      <c r="X1170" s="56" t="str">
        <f>IFERROR(VLOOKUP(A1170,Output!A:F,6,0),"-")</f>
        <v>-</v>
      </c>
    </row>
    <row r="1171" spans="1:24" hidden="1" x14ac:dyDescent="0.25">
      <c r="A1171" s="21" t="s">
        <v>1083</v>
      </c>
      <c r="B1171" s="40" t="s">
        <v>1084</v>
      </c>
      <c r="C1171" s="21" t="s">
        <v>250</v>
      </c>
      <c r="D1171" s="21" t="s">
        <v>76</v>
      </c>
      <c r="E1171" s="21" t="s">
        <v>93</v>
      </c>
      <c r="F1171" s="55">
        <v>1.0196843777921727E-4</v>
      </c>
      <c r="G1171" s="24">
        <v>6.5173490000000003</v>
      </c>
      <c r="H1171" s="24">
        <v>6.5958550000000002</v>
      </c>
      <c r="I1171" s="24">
        <v>4.1040390000000002</v>
      </c>
      <c r="J1171" s="24">
        <v>5.7001670000000004</v>
      </c>
      <c r="K1171" s="24">
        <v>4.1932989999999997</v>
      </c>
      <c r="L1171" s="24">
        <v>5.5059990000000001</v>
      </c>
      <c r="M1171" s="24">
        <v>1.0495000000000001</v>
      </c>
      <c r="N1171" s="24">
        <v>4.9927227074235807</v>
      </c>
      <c r="O1171" s="24">
        <v>3.0952380952380953</v>
      </c>
      <c r="P1171" s="24">
        <v>3.1724133222354007</v>
      </c>
      <c r="Q1171" s="24">
        <v>5.4432907348242807</v>
      </c>
      <c r="R1171" s="24">
        <v>5.1100000000000003</v>
      </c>
      <c r="S1171" s="24">
        <v>3.4306698836372433</v>
      </c>
      <c r="T1171" s="24">
        <v>0.25778164718189855</v>
      </c>
      <c r="U1171" s="24" t="s">
        <v>3189</v>
      </c>
      <c r="V1171">
        <v>0</v>
      </c>
      <c r="W1171" s="21">
        <v>0</v>
      </c>
      <c r="X1171" s="56" t="str">
        <f>IFERROR(VLOOKUP(A1171,Output!A:F,6,0),"-")</f>
        <v>-</v>
      </c>
    </row>
    <row r="1172" spans="1:24" hidden="1" x14ac:dyDescent="0.25">
      <c r="A1172" s="21" t="s">
        <v>1696</v>
      </c>
      <c r="B1172" s="40" t="s">
        <v>1697</v>
      </c>
      <c r="C1172" s="21" t="s">
        <v>250</v>
      </c>
      <c r="D1172" s="21" t="s">
        <v>76</v>
      </c>
      <c r="E1172" s="21" t="s">
        <v>91</v>
      </c>
      <c r="F1172" s="55">
        <v>1.0174790674845148E-4</v>
      </c>
      <c r="G1172" s="24">
        <v>7.451829</v>
      </c>
      <c r="H1172" s="24">
        <v>5.5973050000000004</v>
      </c>
      <c r="I1172" s="24">
        <v>6.1543539999999997</v>
      </c>
      <c r="J1172" s="24">
        <v>6.1910290000000003</v>
      </c>
      <c r="K1172" s="24">
        <v>1.5889500000000001</v>
      </c>
      <c r="L1172" s="24">
        <v>2.3771749999999998</v>
      </c>
      <c r="M1172" s="53">
        <v>66.254400000000004</v>
      </c>
      <c r="N1172" s="24">
        <v>1.874132172685592</v>
      </c>
      <c r="O1172" s="24">
        <v>3.7078651685393256</v>
      </c>
      <c r="P1172" s="24">
        <v>0</v>
      </c>
      <c r="Q1172" s="24">
        <v>9.5734470338983044</v>
      </c>
      <c r="R1172" s="24">
        <v>4.8600000000000003</v>
      </c>
      <c r="S1172" s="24">
        <v>3.6168618916852715</v>
      </c>
      <c r="T1172" s="24">
        <v>0.61300146485467077</v>
      </c>
      <c r="U1172" s="24" t="s">
        <v>3463</v>
      </c>
      <c r="V1172">
        <v>0</v>
      </c>
      <c r="W1172" s="21">
        <v>0</v>
      </c>
      <c r="X1172" s="56" t="str">
        <f>IFERROR(VLOOKUP(A1172,Output!A:F,6,0),"-")</f>
        <v>-</v>
      </c>
    </row>
    <row r="1173" spans="1:24" hidden="1" x14ac:dyDescent="0.25">
      <c r="A1173" s="21" t="s">
        <v>2252</v>
      </c>
      <c r="B1173" s="40" t="s">
        <v>2253</v>
      </c>
      <c r="C1173" s="21" t="s">
        <v>246</v>
      </c>
      <c r="D1173" s="21" t="s">
        <v>74</v>
      </c>
      <c r="E1173" s="21" t="s">
        <v>88</v>
      </c>
      <c r="F1173" s="55">
        <v>1.0097997182243177E-4</v>
      </c>
      <c r="G1173" s="24">
        <v>7.6157750000000002</v>
      </c>
      <c r="H1173" s="24">
        <v>5.4760949999999999</v>
      </c>
      <c r="I1173" s="24">
        <v>4.9077349999999997</v>
      </c>
      <c r="J1173" s="24">
        <v>6.1614589999999998</v>
      </c>
      <c r="K1173" s="24">
        <v>1.228537</v>
      </c>
      <c r="L1173" s="24">
        <v>2.791509</v>
      </c>
      <c r="M1173" s="24">
        <v>43.407200000000003</v>
      </c>
      <c r="N1173" s="24">
        <v>2.3506177777777779</v>
      </c>
      <c r="O1173" s="24">
        <v>0</v>
      </c>
      <c r="P1173" s="24">
        <v>4.6849315068493151</v>
      </c>
      <c r="Q1173" s="24">
        <v>2.4259777639378375</v>
      </c>
      <c r="R1173" s="24">
        <v>2.16</v>
      </c>
      <c r="S1173" s="24">
        <v>2.4286168785459537</v>
      </c>
      <c r="T1173" s="24">
        <v>0.83951945719965526</v>
      </c>
      <c r="U1173" s="24" t="s">
        <v>3801</v>
      </c>
      <c r="V1173">
        <v>0</v>
      </c>
      <c r="W1173" s="21">
        <v>0</v>
      </c>
      <c r="X1173" s="56" t="str">
        <f>IFERROR(VLOOKUP(A1173,Output!A:F,6,0),"-")</f>
        <v>-</v>
      </c>
    </row>
    <row r="1174" spans="1:24" hidden="1" x14ac:dyDescent="0.25">
      <c r="A1174" s="21" t="s">
        <v>4419</v>
      </c>
      <c r="B1174" s="40" t="s">
        <v>4522</v>
      </c>
      <c r="C1174" s="21" t="s">
        <v>244</v>
      </c>
      <c r="D1174" s="21" t="s">
        <v>73</v>
      </c>
      <c r="E1174" s="21" t="s">
        <v>99</v>
      </c>
      <c r="F1174" s="55">
        <v>1.0077604098330665E-4</v>
      </c>
      <c r="G1174" s="24">
        <v>0</v>
      </c>
      <c r="H1174" s="24">
        <v>0</v>
      </c>
      <c r="I1174" s="24">
        <v>0</v>
      </c>
      <c r="J1174" s="24">
        <v>0</v>
      </c>
      <c r="K1174" s="24">
        <v>0</v>
      </c>
      <c r="L1174" s="24">
        <v>1.0824240000000001</v>
      </c>
      <c r="M1174" s="24">
        <v>20.2332</v>
      </c>
      <c r="N1174" s="24">
        <v>6.8666145908930218</v>
      </c>
      <c r="O1174" s="24">
        <v>9.375</v>
      </c>
      <c r="P1174" s="24">
        <v>4.2985074626865662</v>
      </c>
      <c r="Q1174" s="24">
        <v>1.2132924619314887</v>
      </c>
      <c r="R1174" s="24" t="e">
        <v>#N/A</v>
      </c>
      <c r="S1174" s="24">
        <v>3.0659978971566817</v>
      </c>
      <c r="T1174" s="24">
        <v>1.7292156134178389</v>
      </c>
      <c r="U1174" s="24" t="s">
        <v>4523</v>
      </c>
      <c r="V1174">
        <v>0</v>
      </c>
      <c r="W1174" s="21">
        <v>1</v>
      </c>
      <c r="X1174" s="56" t="str">
        <f>IFERROR(VLOOKUP(A1174,Output!A:F,6,0),"-")</f>
        <v>-</v>
      </c>
    </row>
    <row r="1175" spans="1:24" hidden="1" x14ac:dyDescent="0.25">
      <c r="A1175" s="21" t="s">
        <v>2282</v>
      </c>
      <c r="B1175" s="40" t="s">
        <v>2283</v>
      </c>
      <c r="C1175" s="21" t="s">
        <v>246</v>
      </c>
      <c r="D1175" s="21" t="s">
        <v>74</v>
      </c>
      <c r="E1175" s="21" t="s">
        <v>92</v>
      </c>
      <c r="F1175" s="55">
        <v>1.0033890260343561E-4</v>
      </c>
      <c r="G1175" s="24">
        <v>7.3037780000000003</v>
      </c>
      <c r="H1175" s="24">
        <v>7.6213949999999997</v>
      </c>
      <c r="I1175" s="24">
        <v>5.7909480000000002</v>
      </c>
      <c r="J1175" s="24">
        <v>6.945214</v>
      </c>
      <c r="K1175" s="24">
        <v>2.1658770000000001</v>
      </c>
      <c r="L1175" s="24">
        <v>4.414911</v>
      </c>
      <c r="M1175" s="24">
        <v>11.030099999999999</v>
      </c>
      <c r="N1175" s="24">
        <v>4.8814814814814822</v>
      </c>
      <c r="O1175" s="24">
        <v>1.4285714285714284</v>
      </c>
      <c r="P1175" s="24">
        <v>7.6438356164383574</v>
      </c>
      <c r="Q1175" s="24">
        <v>2.6337072524030729</v>
      </c>
      <c r="R1175" s="24">
        <v>4.18</v>
      </c>
      <c r="S1175" s="24">
        <v>5.136514342264876</v>
      </c>
      <c r="T1175" s="24">
        <v>0.43908371143470309</v>
      </c>
      <c r="U1175" s="24" t="s">
        <v>3818</v>
      </c>
      <c r="V1175">
        <v>0</v>
      </c>
      <c r="W1175" s="21">
        <v>0</v>
      </c>
      <c r="X1175" s="56" t="str">
        <f>IFERROR(VLOOKUP(A1175,Output!A:F,6,0),"-")</f>
        <v>-</v>
      </c>
    </row>
    <row r="1176" spans="1:24" x14ac:dyDescent="0.25">
      <c r="A1176" s="21" t="s">
        <v>552</v>
      </c>
      <c r="B1176" s="40" t="s">
        <v>1016</v>
      </c>
      <c r="C1176" s="21" t="s">
        <v>248</v>
      </c>
      <c r="D1176" s="21" t="s">
        <v>75</v>
      </c>
      <c r="E1176" s="21" t="s">
        <v>92</v>
      </c>
      <c r="F1176" s="55">
        <v>1.0033850017454734E-4</v>
      </c>
      <c r="G1176" s="21">
        <v>4.1455650000000004</v>
      </c>
      <c r="H1176" s="21">
        <v>4.5256920000000003</v>
      </c>
      <c r="I1176" s="21">
        <v>5.1411689999999997</v>
      </c>
      <c r="J1176" s="21">
        <v>4.5582839999999996</v>
      </c>
      <c r="K1176" s="24">
        <v>1.1874070000000001</v>
      </c>
      <c r="L1176" s="24">
        <v>8.2799359999999993</v>
      </c>
      <c r="M1176" s="24">
        <v>54.249000000000002</v>
      </c>
      <c r="N1176" s="24">
        <v>6.9329841716671927</v>
      </c>
      <c r="O1176" s="24">
        <v>9.5789473684210531</v>
      </c>
      <c r="P1176" s="24">
        <v>7.5314286842775449</v>
      </c>
      <c r="Q1176" s="24">
        <v>5.210898845059746</v>
      </c>
      <c r="R1176" s="24">
        <v>3.73</v>
      </c>
      <c r="S1176" s="24">
        <v>5.9635926657112224</v>
      </c>
      <c r="T1176" s="24">
        <v>0.69510374356485416</v>
      </c>
      <c r="U1176" s="24" t="s">
        <v>3142</v>
      </c>
      <c r="V1176">
        <v>0</v>
      </c>
      <c r="W1176" s="21">
        <v>1</v>
      </c>
      <c r="X1176" s="56" t="str">
        <f>IFERROR(VLOOKUP(A1176,Output!A:F,6,0),"-")</f>
        <v>-</v>
      </c>
    </row>
    <row r="1177" spans="1:24" hidden="1" x14ac:dyDescent="0.25">
      <c r="A1177" s="21" t="s">
        <v>1327</v>
      </c>
      <c r="B1177" s="40" t="s">
        <v>1328</v>
      </c>
      <c r="C1177" s="21" t="s">
        <v>250</v>
      </c>
      <c r="D1177" s="21" t="s">
        <v>76</v>
      </c>
      <c r="E1177" s="21" t="s">
        <v>95</v>
      </c>
      <c r="F1177" s="55">
        <v>1.0030126544166121E-4</v>
      </c>
      <c r="G1177" s="24">
        <v>3.541245</v>
      </c>
      <c r="H1177" s="24">
        <v>5.786168</v>
      </c>
      <c r="I1177" s="24">
        <v>4.1217990000000002</v>
      </c>
      <c r="J1177" s="24">
        <v>4.1063400000000003</v>
      </c>
      <c r="K1177" s="24">
        <v>6.678572</v>
      </c>
      <c r="L1177" s="24">
        <v>1.8878239999999999</v>
      </c>
      <c r="M1177" s="24">
        <v>654.67129999999997</v>
      </c>
      <c r="N1177" s="24">
        <v>6.5760871891245118</v>
      </c>
      <c r="O1177" s="24">
        <v>1.2359550561797754</v>
      </c>
      <c r="P1177" s="24">
        <v>7.3317310257950927</v>
      </c>
      <c r="Q1177" s="24">
        <v>0</v>
      </c>
      <c r="R1177" s="24">
        <v>6.53</v>
      </c>
      <c r="S1177" s="24">
        <v>4.5860125014841167</v>
      </c>
      <c r="T1177" s="24">
        <v>0.48950206373214056</v>
      </c>
      <c r="U1177" s="24" t="s">
        <v>3286</v>
      </c>
      <c r="V1177">
        <v>0</v>
      </c>
      <c r="W1177" s="21">
        <v>1</v>
      </c>
      <c r="X1177" s="56" t="str">
        <f>IFERROR(VLOOKUP(A1177,Output!A:F,6,0),"-")</f>
        <v>-</v>
      </c>
    </row>
    <row r="1178" spans="1:24" x14ac:dyDescent="0.25">
      <c r="A1178" s="21" t="s">
        <v>1397</v>
      </c>
      <c r="B1178" s="40" t="s">
        <v>1398</v>
      </c>
      <c r="C1178" s="21" t="s">
        <v>255</v>
      </c>
      <c r="D1178" s="21" t="s">
        <v>75</v>
      </c>
      <c r="E1178" s="21" t="s">
        <v>92</v>
      </c>
      <c r="F1178" s="55">
        <v>1.00208233943418E-4</v>
      </c>
      <c r="G1178" s="21">
        <v>4.90726</v>
      </c>
      <c r="H1178" s="21">
        <v>5.4270750000000003</v>
      </c>
      <c r="I1178" s="21">
        <v>6.2234569999999998</v>
      </c>
      <c r="J1178" s="21">
        <v>5.4580640000000002</v>
      </c>
      <c r="K1178" s="24">
        <v>3.981481</v>
      </c>
      <c r="L1178" s="24">
        <v>5.6442069999999998</v>
      </c>
      <c r="M1178" s="24">
        <v>78.156199999999998</v>
      </c>
      <c r="N1178" s="24">
        <v>7.6951387852971118</v>
      </c>
      <c r="O1178" s="24">
        <v>7.2631578947368425</v>
      </c>
      <c r="P1178" s="24">
        <v>5.5771430593306039</v>
      </c>
      <c r="Q1178" s="24">
        <v>3.550372970971301</v>
      </c>
      <c r="R1178" s="24">
        <v>6.98</v>
      </c>
      <c r="S1178" s="24">
        <v>6.3154786632230611</v>
      </c>
      <c r="T1178" s="24">
        <v>0.43670471183770249</v>
      </c>
      <c r="U1178" s="24" t="s">
        <v>3322</v>
      </c>
      <c r="V1178">
        <v>0</v>
      </c>
      <c r="W1178" s="21">
        <v>0</v>
      </c>
      <c r="X1178" s="56" t="str">
        <f>IFERROR(VLOOKUP(A1178,Output!A:F,6,0),"-")</f>
        <v>-</v>
      </c>
    </row>
    <row r="1179" spans="1:24" x14ac:dyDescent="0.25">
      <c r="A1179" s="21" t="s">
        <v>614</v>
      </c>
      <c r="B1179" s="40" t="s">
        <v>981</v>
      </c>
      <c r="C1179" s="21" t="s">
        <v>248</v>
      </c>
      <c r="D1179" s="21" t="s">
        <v>75</v>
      </c>
      <c r="E1179" s="21" t="s">
        <v>88</v>
      </c>
      <c r="F1179" s="55">
        <v>9.9497685376863973E-5</v>
      </c>
      <c r="G1179" s="21">
        <v>7.2843499999999999</v>
      </c>
      <c r="H1179" s="21">
        <v>5.5180340000000001</v>
      </c>
      <c r="I1179" s="21">
        <v>3.4683739999999998</v>
      </c>
      <c r="J1179" s="21">
        <v>5.6096630000000003</v>
      </c>
      <c r="K1179" s="24">
        <v>3.5634030000000001</v>
      </c>
      <c r="L1179" s="24">
        <v>7.4404029999999999</v>
      </c>
      <c r="M1179" s="24">
        <v>14.41</v>
      </c>
      <c r="N1179" s="24">
        <v>1.5479638946611192</v>
      </c>
      <c r="O1179" s="24">
        <v>6.8421052631578947</v>
      </c>
      <c r="P1179" s="24">
        <v>3.7600002852571297</v>
      </c>
      <c r="Q1179" s="24">
        <v>6.4704740162441565</v>
      </c>
      <c r="R1179" s="24">
        <v>7.51</v>
      </c>
      <c r="S1179" s="24">
        <v>4.5488392313737194</v>
      </c>
      <c r="T1179" s="24">
        <v>-5.9200889962448995E-3</v>
      </c>
      <c r="U1179" s="24" t="s">
        <v>3140</v>
      </c>
      <c r="V1179">
        <v>0</v>
      </c>
      <c r="W1179" s="21">
        <v>0</v>
      </c>
      <c r="X1179" s="56" t="str">
        <f>IFERROR(VLOOKUP(A1179,Output!A:F,6,0),"-")</f>
        <v>-</v>
      </c>
    </row>
    <row r="1180" spans="1:24" x14ac:dyDescent="0.25">
      <c r="A1180" s="21" t="s">
        <v>1556</v>
      </c>
      <c r="B1180" s="40" t="s">
        <v>1557</v>
      </c>
      <c r="C1180" s="21" t="s">
        <v>248</v>
      </c>
      <c r="D1180" s="21" t="s">
        <v>75</v>
      </c>
      <c r="E1180" s="21" t="s">
        <v>91</v>
      </c>
      <c r="F1180" s="55">
        <v>9.9122350013507263E-5</v>
      </c>
      <c r="G1180" s="24">
        <v>7.1044710000000002</v>
      </c>
      <c r="H1180" s="24">
        <v>7.4108320000000001</v>
      </c>
      <c r="I1180" s="24">
        <v>5.2863429999999996</v>
      </c>
      <c r="J1180" s="24">
        <v>6.4997639999999999</v>
      </c>
      <c r="K1180" s="24">
        <v>3.197003</v>
      </c>
      <c r="L1180" s="24">
        <v>8.8578440000000001</v>
      </c>
      <c r="M1180" s="24">
        <v>10.382</v>
      </c>
      <c r="N1180" s="24">
        <v>10</v>
      </c>
      <c r="O1180" s="24">
        <v>2.9487179487179489</v>
      </c>
      <c r="P1180" s="24">
        <v>8.7007874015748037</v>
      </c>
      <c r="Q1180" s="24">
        <v>10</v>
      </c>
      <c r="R1180" s="24">
        <v>7.89</v>
      </c>
      <c r="S1180" s="24">
        <v>9.1037680876386329</v>
      </c>
      <c r="T1180" s="24">
        <v>-5.3843084900774127E-3</v>
      </c>
      <c r="U1180" s="24" t="s">
        <v>3418</v>
      </c>
      <c r="V1180">
        <v>0</v>
      </c>
      <c r="W1180" s="21">
        <v>0</v>
      </c>
      <c r="X1180" s="56" t="str">
        <f>IFERROR(VLOOKUP(A1180,Output!A:F,6,0),"-")</f>
        <v>-</v>
      </c>
    </row>
    <row r="1181" spans="1:24" hidden="1" x14ac:dyDescent="0.25">
      <c r="A1181" s="21" t="s">
        <v>4561</v>
      </c>
      <c r="B1181" s="40" t="s">
        <v>4562</v>
      </c>
      <c r="C1181" s="21" t="s">
        <v>258</v>
      </c>
      <c r="D1181" s="21" t="s">
        <v>74</v>
      </c>
      <c r="E1181" s="21" t="s">
        <v>92</v>
      </c>
      <c r="F1181" s="55">
        <v>9.9070647962088226E-5</v>
      </c>
      <c r="G1181" s="21">
        <v>4.3295969999999997</v>
      </c>
      <c r="H1181" s="21">
        <v>7.3952470000000003</v>
      </c>
      <c r="I1181" s="21">
        <v>3.2717360000000002</v>
      </c>
      <c r="J1181" s="21">
        <v>4.931934</v>
      </c>
      <c r="K1181" s="24">
        <v>0.94088660000000002</v>
      </c>
      <c r="L1181" s="24">
        <v>9.7672319999999999</v>
      </c>
      <c r="M1181" s="24">
        <v>33.879800000000003</v>
      </c>
      <c r="N1181" s="24">
        <v>6.0913585185185193</v>
      </c>
      <c r="O1181" s="24">
        <v>7.7551020408163254</v>
      </c>
      <c r="P1181" s="24">
        <v>1.7808219178082187</v>
      </c>
      <c r="Q1181" s="24">
        <v>6.6249666721028699</v>
      </c>
      <c r="R1181" s="24">
        <v>1.24</v>
      </c>
      <c r="S1181" s="24">
        <v>4.6050964320502477</v>
      </c>
      <c r="T1181" s="24">
        <v>0.54364141059198334</v>
      </c>
      <c r="U1181" s="24" t="s">
        <v>4563</v>
      </c>
      <c r="V1181">
        <v>0</v>
      </c>
      <c r="W1181" s="21">
        <v>0</v>
      </c>
      <c r="X1181" s="56" t="str">
        <f>IFERROR(VLOOKUP(A1181,Output!A:F,6,0),"-")</f>
        <v>-</v>
      </c>
    </row>
    <row r="1182" spans="1:24" x14ac:dyDescent="0.25">
      <c r="A1182" s="21" t="s">
        <v>1468</v>
      </c>
      <c r="B1182" s="40" t="s">
        <v>1469</v>
      </c>
      <c r="C1182" s="21" t="s">
        <v>248</v>
      </c>
      <c r="D1182" s="21" t="s">
        <v>75</v>
      </c>
      <c r="E1182" s="21" t="s">
        <v>99</v>
      </c>
      <c r="F1182" s="55">
        <v>9.8993965137430512E-5</v>
      </c>
      <c r="G1182" s="21">
        <v>3.8093910000000002</v>
      </c>
      <c r="H1182" s="21">
        <v>4.5146660000000001</v>
      </c>
      <c r="I1182" s="21">
        <v>2.3309899999999999</v>
      </c>
      <c r="J1182" s="21">
        <v>3.50014</v>
      </c>
      <c r="K1182" s="24">
        <v>1.0838700000000001</v>
      </c>
      <c r="L1182" s="24">
        <v>3.8446880000000001</v>
      </c>
      <c r="M1182" s="24">
        <v>10.697800000000001</v>
      </c>
      <c r="N1182" s="24">
        <v>7.1436076210873001</v>
      </c>
      <c r="O1182" s="24">
        <v>7.0967741935483879</v>
      </c>
      <c r="P1182" s="24">
        <v>8.4848484848484844</v>
      </c>
      <c r="Q1182" s="24">
        <v>1.5171030812110367</v>
      </c>
      <c r="R1182" s="24">
        <v>3.46</v>
      </c>
      <c r="S1182" s="24">
        <v>4.3186396296216376</v>
      </c>
      <c r="T1182" s="24">
        <v>0.7977177485965683</v>
      </c>
      <c r="U1182" s="24" t="s">
        <v>3399</v>
      </c>
      <c r="V1182">
        <v>0</v>
      </c>
      <c r="W1182" s="21">
        <v>1</v>
      </c>
      <c r="X1182" s="56" t="str">
        <f>IFERROR(VLOOKUP(A1182,Output!A:F,6,0),"-")</f>
        <v>-</v>
      </c>
    </row>
    <row r="1183" spans="1:24" x14ac:dyDescent="0.25">
      <c r="A1183" s="21" t="s">
        <v>2785</v>
      </c>
      <c r="B1183" s="40" t="s">
        <v>2786</v>
      </c>
      <c r="C1183" s="21" t="s">
        <v>255</v>
      </c>
      <c r="D1183" s="21" t="s">
        <v>75</v>
      </c>
      <c r="E1183" s="21" t="s">
        <v>92</v>
      </c>
      <c r="F1183" s="55">
        <v>9.878150280587433E-5</v>
      </c>
      <c r="G1183" s="24">
        <v>2.2836210000000001</v>
      </c>
      <c r="H1183" s="24">
        <v>3.0766589999999998</v>
      </c>
      <c r="I1183" s="24">
        <v>0.70944660000000004</v>
      </c>
      <c r="J1183" s="24">
        <v>2.04928</v>
      </c>
      <c r="K1183" s="24">
        <v>6.1295890000000002</v>
      </c>
      <c r="L1183" s="24">
        <v>14.38977</v>
      </c>
      <c r="M1183" s="24">
        <v>129.43020000000001</v>
      </c>
      <c r="N1183" s="24">
        <v>5.4270707413477783</v>
      </c>
      <c r="O1183" s="24">
        <v>1.263157894736842</v>
      </c>
      <c r="P1183" s="24">
        <v>2.697143190987739</v>
      </c>
      <c r="Q1183" s="24">
        <v>9.4950543493596093</v>
      </c>
      <c r="R1183" s="24">
        <v>7.86</v>
      </c>
      <c r="S1183" s="24">
        <v>7.1168512270258271</v>
      </c>
      <c r="T1183" s="24">
        <v>0.20365327447127887</v>
      </c>
      <c r="U1183" s="24" t="s">
        <v>3567</v>
      </c>
      <c r="V1183">
        <v>0</v>
      </c>
      <c r="W1183" s="21">
        <v>1</v>
      </c>
      <c r="X1183" s="56" t="str">
        <f>IFERROR(VLOOKUP(A1183,Output!A:F,6,0),"-")</f>
        <v>-</v>
      </c>
    </row>
    <row r="1184" spans="1:24" hidden="1" x14ac:dyDescent="0.25">
      <c r="A1184" s="21" t="s">
        <v>664</v>
      </c>
      <c r="B1184" s="40" t="s">
        <v>2068</v>
      </c>
      <c r="C1184" s="21" t="s">
        <v>258</v>
      </c>
      <c r="D1184" s="21" t="s">
        <v>74</v>
      </c>
      <c r="E1184" s="21" t="s">
        <v>93</v>
      </c>
      <c r="F1184" s="55">
        <v>9.8727355998959118E-5</v>
      </c>
      <c r="G1184" s="21">
        <v>4.0209359999999998</v>
      </c>
      <c r="H1184" s="21">
        <v>5.7578300000000002</v>
      </c>
      <c r="I1184" s="21">
        <v>5.391127</v>
      </c>
      <c r="J1184" s="21">
        <v>5.1084160000000001</v>
      </c>
      <c r="K1184" s="24">
        <v>7.8605460000000003</v>
      </c>
      <c r="L1184" s="24">
        <v>14.60927</v>
      </c>
      <c r="M1184" s="24">
        <v>9.7279999999999998</v>
      </c>
      <c r="N1184" s="24">
        <v>3.3443292908558666</v>
      </c>
      <c r="O1184" s="24">
        <v>6.0606060606060606</v>
      </c>
      <c r="P1184" s="24">
        <v>6.1052631578947372</v>
      </c>
      <c r="Q1184" s="24">
        <v>5.5760749724366043</v>
      </c>
      <c r="R1184" s="24">
        <v>8.17</v>
      </c>
      <c r="S1184" s="24">
        <v>5.8820049582088352</v>
      </c>
      <c r="T1184" s="24">
        <v>0.46348963865303211</v>
      </c>
      <c r="U1184" s="24" t="s">
        <v>3667</v>
      </c>
      <c r="V1184">
        <v>0</v>
      </c>
      <c r="W1184" s="21">
        <v>0</v>
      </c>
      <c r="X1184" s="56" t="str">
        <f>IFERROR(VLOOKUP(A1184,Output!A:F,6,0),"-")</f>
        <v>-</v>
      </c>
    </row>
    <row r="1185" spans="1:24" hidden="1" x14ac:dyDescent="0.25">
      <c r="A1185" s="21" t="s">
        <v>477</v>
      </c>
      <c r="B1185" s="40" t="s">
        <v>691</v>
      </c>
      <c r="C1185" s="21" t="s">
        <v>245</v>
      </c>
      <c r="D1185" s="21" t="s">
        <v>73</v>
      </c>
      <c r="E1185" s="21" t="s">
        <v>97</v>
      </c>
      <c r="F1185" s="55">
        <v>9.7543792517145779E-5</v>
      </c>
      <c r="G1185" s="24">
        <v>3.0258880000000001</v>
      </c>
      <c r="H1185" s="24">
        <v>2.2039689999999998</v>
      </c>
      <c r="I1185" s="24">
        <v>3.929446</v>
      </c>
      <c r="J1185" s="24">
        <v>3.222928</v>
      </c>
      <c r="K1185" s="24">
        <v>0.59289820000000004</v>
      </c>
      <c r="L1185" s="24">
        <v>3.1048</v>
      </c>
      <c r="M1185" s="24">
        <v>39.274700000000003</v>
      </c>
      <c r="N1185" s="24">
        <v>9.6672145763672326</v>
      </c>
      <c r="O1185" s="24">
        <v>3.9175257731958757</v>
      </c>
      <c r="P1185" s="24">
        <v>5.954545454545455</v>
      </c>
      <c r="Q1185" s="24">
        <v>1.5571007163927519</v>
      </c>
      <c r="R1185" s="24">
        <v>7.06</v>
      </c>
      <c r="S1185" s="24">
        <v>5.7910348526872113</v>
      </c>
      <c r="T1185" s="24">
        <v>0.96584639238666603</v>
      </c>
      <c r="U1185" s="24" t="s">
        <v>2918</v>
      </c>
      <c r="V1185">
        <v>0</v>
      </c>
      <c r="W1185" s="21">
        <v>1</v>
      </c>
      <c r="X1185" s="56" t="str">
        <f>IFERROR(VLOOKUP(A1185,Output!A:F,6,0),"-")</f>
        <v>-</v>
      </c>
    </row>
    <row r="1186" spans="1:24" hidden="1" x14ac:dyDescent="0.25">
      <c r="A1186" s="21" t="s">
        <v>1664</v>
      </c>
      <c r="B1186" s="40" t="s">
        <v>1665</v>
      </c>
      <c r="C1186" s="21" t="s">
        <v>246</v>
      </c>
      <c r="D1186" s="21" t="s">
        <v>74</v>
      </c>
      <c r="E1186" s="21" t="s">
        <v>97</v>
      </c>
      <c r="F1186" s="55">
        <v>9.7540190778595874E-5</v>
      </c>
      <c r="G1186" s="24">
        <v>8.0774760000000008</v>
      </c>
      <c r="H1186" s="24">
        <v>8.3740450000000006</v>
      </c>
      <c r="I1186" s="24">
        <v>4.1367330000000004</v>
      </c>
      <c r="J1186" s="24">
        <v>6.5604930000000001</v>
      </c>
      <c r="K1186" s="24">
        <v>1.1599349999999999</v>
      </c>
      <c r="L1186" s="24">
        <v>3.7509450000000002</v>
      </c>
      <c r="M1186" s="24">
        <v>131.01329999999999</v>
      </c>
      <c r="N1186" s="24">
        <v>9.8296340969463571</v>
      </c>
      <c r="O1186" s="24">
        <v>0.61728395061728403</v>
      </c>
      <c r="P1186" s="24">
        <v>10</v>
      </c>
      <c r="Q1186" s="24">
        <v>0</v>
      </c>
      <c r="R1186" s="24">
        <v>2.75</v>
      </c>
      <c r="S1186" s="24">
        <v>4.8226193836549083</v>
      </c>
      <c r="T1186" s="24">
        <v>0.94828897583958316</v>
      </c>
      <c r="U1186" s="24" t="s">
        <v>3478</v>
      </c>
      <c r="V1186">
        <v>0</v>
      </c>
      <c r="W1186" s="21">
        <v>0</v>
      </c>
      <c r="X1186" s="56" t="str">
        <f>IFERROR(VLOOKUP(A1186,Output!A:F,6,0),"-")</f>
        <v>-</v>
      </c>
    </row>
    <row r="1187" spans="1:24" hidden="1" x14ac:dyDescent="0.25">
      <c r="A1187" s="21" t="s">
        <v>1916</v>
      </c>
      <c r="B1187" s="40" t="s">
        <v>1917</v>
      </c>
      <c r="C1187" s="21" t="s">
        <v>298</v>
      </c>
      <c r="D1187" s="21" t="s">
        <v>74</v>
      </c>
      <c r="E1187" s="21" t="s">
        <v>92</v>
      </c>
      <c r="F1187" s="55">
        <v>9.7387338226113005E-5</v>
      </c>
      <c r="G1187" s="21">
        <v>7.727582</v>
      </c>
      <c r="H1187" s="21">
        <v>6.0689469999999996</v>
      </c>
      <c r="I1187" s="21">
        <v>6.7509329999999999</v>
      </c>
      <c r="J1187" s="21">
        <v>6.9369969999999999</v>
      </c>
      <c r="K1187" s="21">
        <v>4.44184</v>
      </c>
      <c r="L1187" s="21">
        <v>6.9608359999999996</v>
      </c>
      <c r="M1187" s="21">
        <v>2.8193999999999999</v>
      </c>
      <c r="N1187" s="21">
        <v>1.4814814814814814</v>
      </c>
      <c r="O1187" s="21">
        <v>1.0204081632653059</v>
      </c>
      <c r="P1187" s="21">
        <v>4.904109589041096</v>
      </c>
      <c r="Q1187" s="21">
        <v>8.1713980132201982</v>
      </c>
      <c r="R1187" s="21">
        <v>7.16</v>
      </c>
      <c r="S1187" s="21">
        <v>6.4481396036883636</v>
      </c>
      <c r="T1187" s="21">
        <v>0.55387778380378494</v>
      </c>
      <c r="U1187" s="21" t="s">
        <v>3584</v>
      </c>
      <c r="V1187">
        <v>0</v>
      </c>
      <c r="W1187" s="21">
        <v>0</v>
      </c>
      <c r="X1187" s="56" t="str">
        <f>IFERROR(VLOOKUP(A1187,Output!A:F,6,0),"-")</f>
        <v>-</v>
      </c>
    </row>
    <row r="1188" spans="1:24" hidden="1" x14ac:dyDescent="0.25">
      <c r="A1188" s="21" t="s">
        <v>1394</v>
      </c>
      <c r="B1188" s="40" t="s">
        <v>1395</v>
      </c>
      <c r="C1188" s="21" t="s">
        <v>247</v>
      </c>
      <c r="D1188" s="21" t="s">
        <v>74</v>
      </c>
      <c r="E1188" s="21" t="s">
        <v>96</v>
      </c>
      <c r="F1188" s="55">
        <v>9.6927452553333121E-5</v>
      </c>
      <c r="G1188" s="24">
        <v>6.4518779999999998</v>
      </c>
      <c r="H1188" s="24">
        <v>8.8941569999999999</v>
      </c>
      <c r="I1188" s="24">
        <v>5.1601809999999997</v>
      </c>
      <c r="J1188" s="24">
        <v>6.8354049999999997</v>
      </c>
      <c r="K1188" s="24">
        <v>6.9720680000000002</v>
      </c>
      <c r="L1188" s="24">
        <v>5.9468550000000002</v>
      </c>
      <c r="M1188" s="24">
        <v>4.4828000000000001</v>
      </c>
      <c r="N1188" s="24">
        <v>0.41978677087614602</v>
      </c>
      <c r="O1188" s="24">
        <v>6.4646464646464654</v>
      </c>
      <c r="P1188" s="24">
        <v>5.0148367952522257</v>
      </c>
      <c r="Q1188" s="24">
        <v>5.2917094904547621</v>
      </c>
      <c r="R1188" s="24">
        <v>7.28</v>
      </c>
      <c r="S1188" s="24">
        <v>5.0309152896494691</v>
      </c>
      <c r="T1188" s="24">
        <v>0.44129865144293778</v>
      </c>
      <c r="U1188" s="24" t="s">
        <v>3364</v>
      </c>
      <c r="V1188">
        <v>0</v>
      </c>
      <c r="W1188" s="21">
        <v>0</v>
      </c>
      <c r="X1188" s="56" t="str">
        <f>IFERROR(VLOOKUP(A1188,Output!A:F,6,0),"-")</f>
        <v>-</v>
      </c>
    </row>
    <row r="1189" spans="1:24" hidden="1" x14ac:dyDescent="0.25">
      <c r="A1189" s="21" t="s">
        <v>4245</v>
      </c>
      <c r="B1189" s="40" t="s">
        <v>4246</v>
      </c>
      <c r="C1189" s="21" t="s">
        <v>254</v>
      </c>
      <c r="D1189" s="21" t="s">
        <v>74</v>
      </c>
      <c r="E1189" s="21" t="s">
        <v>92</v>
      </c>
      <c r="F1189" s="55">
        <v>9.6891445228556176E-5</v>
      </c>
      <c r="G1189" s="24">
        <v>7.2813800000000004</v>
      </c>
      <c r="H1189" s="24">
        <v>5.2989550000000003</v>
      </c>
      <c r="I1189" s="24">
        <v>6.702426</v>
      </c>
      <c r="J1189" s="24">
        <v>6.4275880000000001</v>
      </c>
      <c r="K1189" s="24">
        <v>2.458637</v>
      </c>
      <c r="L1189" s="24">
        <v>4.1503050000000004</v>
      </c>
      <c r="M1189" s="24">
        <v>65.421999999999997</v>
      </c>
      <c r="N1189" s="24">
        <v>5.1432103703703715</v>
      </c>
      <c r="O1189" s="24">
        <v>0.71428571428571419</v>
      </c>
      <c r="P1189" s="24">
        <v>2.2191780821917813</v>
      </c>
      <c r="Q1189" s="24">
        <v>3.5190683037498172</v>
      </c>
      <c r="R1189" s="24">
        <v>5.66</v>
      </c>
      <c r="S1189" s="24">
        <v>4.1282906046940449</v>
      </c>
      <c r="T1189" s="24">
        <v>0.47997920403097727</v>
      </c>
      <c r="U1189" s="24" t="s">
        <v>4247</v>
      </c>
      <c r="V1189">
        <v>0</v>
      </c>
      <c r="W1189" s="21">
        <v>0</v>
      </c>
      <c r="X1189" s="56" t="str">
        <f>IFERROR(VLOOKUP(A1189,Output!A:F,6,0),"-")</f>
        <v>-</v>
      </c>
    </row>
    <row r="1190" spans="1:24" hidden="1" x14ac:dyDescent="0.25">
      <c r="A1190" s="21" t="s">
        <v>1425</v>
      </c>
      <c r="B1190" s="40" t="s">
        <v>1426</v>
      </c>
      <c r="C1190" s="21" t="s">
        <v>247</v>
      </c>
      <c r="D1190" s="21" t="s">
        <v>74</v>
      </c>
      <c r="E1190" s="21" t="s">
        <v>97</v>
      </c>
      <c r="F1190" s="55">
        <v>9.6766138933474617E-5</v>
      </c>
      <c r="G1190" s="21">
        <v>5.1075210000000002</v>
      </c>
      <c r="H1190" s="21">
        <v>6.526097</v>
      </c>
      <c r="I1190" s="21">
        <v>4.0843129999999999</v>
      </c>
      <c r="J1190" s="21">
        <v>5.2393099999999997</v>
      </c>
      <c r="K1190" s="24">
        <v>3.979978</v>
      </c>
      <c r="L1190" s="24">
        <v>8.3590499999999999</v>
      </c>
      <c r="M1190" s="24">
        <v>6.4500999999999999</v>
      </c>
      <c r="N1190" s="57">
        <v>0.60585483426250042</v>
      </c>
      <c r="O1190" s="24">
        <v>5.0505050505050511</v>
      </c>
      <c r="P1190" s="24">
        <v>5.7270029673590503</v>
      </c>
      <c r="Q1190" s="24">
        <v>6.1505708351231148</v>
      </c>
      <c r="R1190" s="24">
        <v>6.24</v>
      </c>
      <c r="S1190" s="24">
        <v>5.8940612990737673</v>
      </c>
      <c r="T1190" s="24">
        <v>0.43069807285904554</v>
      </c>
      <c r="U1190" s="24" t="s">
        <v>3383</v>
      </c>
      <c r="V1190">
        <v>0</v>
      </c>
      <c r="W1190" s="21">
        <v>0</v>
      </c>
      <c r="X1190" s="56" t="str">
        <f>IFERROR(VLOOKUP(A1190,Output!A:F,6,0),"-")</f>
        <v>-</v>
      </c>
    </row>
    <row r="1191" spans="1:24" hidden="1" x14ac:dyDescent="0.25">
      <c r="A1191" s="21" t="s">
        <v>1646</v>
      </c>
      <c r="B1191" s="40" t="s">
        <v>1647</v>
      </c>
      <c r="C1191" s="21" t="s">
        <v>249</v>
      </c>
      <c r="D1191" s="21" t="s">
        <v>74</v>
      </c>
      <c r="E1191" s="21" t="s">
        <v>87</v>
      </c>
      <c r="F1191" s="55">
        <v>9.658455295837006E-5</v>
      </c>
      <c r="G1191" s="24">
        <v>5.365221</v>
      </c>
      <c r="H1191" s="24">
        <v>7.6089450000000003</v>
      </c>
      <c r="I1191" s="24">
        <v>4.4576450000000003</v>
      </c>
      <c r="J1191" s="24">
        <v>5.8106039999999997</v>
      </c>
      <c r="K1191" s="24">
        <v>3.682804</v>
      </c>
      <c r="L1191" s="24">
        <v>8.9410919999999994</v>
      </c>
      <c r="M1191" s="24">
        <v>261.58350000000002</v>
      </c>
      <c r="N1191" s="24">
        <v>5.912100079428118</v>
      </c>
      <c r="O1191" s="24">
        <v>4.7422680412371134</v>
      </c>
      <c r="P1191" s="24">
        <v>3.8688524590163937</v>
      </c>
      <c r="Q1191" s="24">
        <v>7.0787526159344125</v>
      </c>
      <c r="R1191" s="24">
        <v>7.09</v>
      </c>
      <c r="S1191" s="24">
        <v>6.2818616131101281</v>
      </c>
      <c r="T1191" s="24">
        <v>0.60867734937442519</v>
      </c>
      <c r="U1191" s="24" t="s">
        <v>3465</v>
      </c>
      <c r="V1191">
        <v>0</v>
      </c>
      <c r="W1191" s="21">
        <v>0</v>
      </c>
      <c r="X1191" s="56" t="str">
        <f>IFERROR(VLOOKUP(A1191,Output!A:F,6,0),"-")</f>
        <v>-</v>
      </c>
    </row>
    <row r="1192" spans="1:24" x14ac:dyDescent="0.25">
      <c r="A1192" s="21" t="s">
        <v>1195</v>
      </c>
      <c r="B1192" s="40" t="s">
        <v>1196</v>
      </c>
      <c r="C1192" s="21" t="s">
        <v>248</v>
      </c>
      <c r="D1192" s="21" t="s">
        <v>75</v>
      </c>
      <c r="E1192" s="21" t="s">
        <v>97</v>
      </c>
      <c r="F1192" s="55">
        <v>9.6108902133892662E-5</v>
      </c>
      <c r="G1192" s="24">
        <v>4.8540510000000001</v>
      </c>
      <c r="H1192" s="24">
        <v>5.4343370000000002</v>
      </c>
      <c r="I1192" s="24">
        <v>5.068676</v>
      </c>
      <c r="J1192" s="24">
        <v>5.0559580000000004</v>
      </c>
      <c r="K1192" s="24">
        <v>4.1409479999999999</v>
      </c>
      <c r="L1192" s="24">
        <v>3.9956309999999999</v>
      </c>
      <c r="M1192" s="24">
        <v>198.89850000000001</v>
      </c>
      <c r="N1192" s="24">
        <v>5.7390730730730741</v>
      </c>
      <c r="O1192" s="24">
        <v>9.6703296703296697</v>
      </c>
      <c r="P1192" s="24">
        <v>4.491525423728814</v>
      </c>
      <c r="Q1192" s="24">
        <v>1.0743544580656141</v>
      </c>
      <c r="R1192" s="24">
        <v>5.57</v>
      </c>
      <c r="S1192" s="24">
        <v>3.9693556875780107</v>
      </c>
      <c r="T1192" s="24">
        <v>1.2224804506651261E-2</v>
      </c>
      <c r="U1192" s="24" t="s">
        <v>3230</v>
      </c>
      <c r="V1192">
        <v>0</v>
      </c>
      <c r="W1192" s="21">
        <v>0</v>
      </c>
      <c r="X1192" s="56" t="str">
        <f>IFERROR(VLOOKUP(A1192,Output!A:F,6,0),"-")</f>
        <v>-</v>
      </c>
    </row>
    <row r="1193" spans="1:24" hidden="1" x14ac:dyDescent="0.25">
      <c r="A1193" s="21" t="s">
        <v>1530</v>
      </c>
      <c r="B1193" s="40" t="s">
        <v>1531</v>
      </c>
      <c r="C1193" s="21" t="s">
        <v>247</v>
      </c>
      <c r="D1193" s="21" t="s">
        <v>74</v>
      </c>
      <c r="E1193" s="21" t="s">
        <v>98</v>
      </c>
      <c r="F1193" s="55">
        <v>9.6075731932777941E-5</v>
      </c>
      <c r="G1193" s="24">
        <v>7.4294180000000001</v>
      </c>
      <c r="H1193" s="24">
        <v>6.9139150000000003</v>
      </c>
      <c r="I1193" s="24">
        <v>6.7637689999999999</v>
      </c>
      <c r="J1193" s="24">
        <v>6.9569570000000001</v>
      </c>
      <c r="K1193" s="24">
        <v>4.9512989999999997</v>
      </c>
      <c r="L1193" s="24">
        <v>9.2355699999999992</v>
      </c>
      <c r="M1193" s="24">
        <v>18.512699999999999</v>
      </c>
      <c r="N1193" s="24">
        <v>2.4438397579937501</v>
      </c>
      <c r="O1193" s="24">
        <v>1.4141414141414141</v>
      </c>
      <c r="P1193" s="24">
        <v>3.4718100890207721</v>
      </c>
      <c r="Q1193" s="24">
        <v>8.6017692082887169</v>
      </c>
      <c r="R1193" s="24">
        <v>6.5</v>
      </c>
      <c r="S1193" s="24">
        <v>5.5604537994939083</v>
      </c>
      <c r="T1193" s="24">
        <v>0.28901580382007708</v>
      </c>
      <c r="U1193" s="24" t="s">
        <v>3404</v>
      </c>
      <c r="V1193">
        <v>0</v>
      </c>
      <c r="W1193" s="21">
        <v>0</v>
      </c>
      <c r="X1193" s="56" t="str">
        <f>IFERROR(VLOOKUP(A1193,Output!A:F,6,0),"-")</f>
        <v>-</v>
      </c>
    </row>
    <row r="1194" spans="1:24" hidden="1" x14ac:dyDescent="0.25">
      <c r="A1194" s="21" t="s">
        <v>1674</v>
      </c>
      <c r="B1194" s="40" t="s">
        <v>1675</v>
      </c>
      <c r="C1194" s="21" t="s">
        <v>257</v>
      </c>
      <c r="D1194" s="21" t="s">
        <v>74</v>
      </c>
      <c r="E1194" s="21" t="s">
        <v>92</v>
      </c>
      <c r="F1194" s="55">
        <v>9.5628110280367764E-5</v>
      </c>
      <c r="G1194" s="24">
        <v>6.5625150000000003</v>
      </c>
      <c r="H1194" s="24">
        <v>7.04739</v>
      </c>
      <c r="I1194" s="24">
        <v>6.9352119999999999</v>
      </c>
      <c r="J1194" s="24">
        <v>6.8197869999999998</v>
      </c>
      <c r="K1194" s="24">
        <v>2.812446</v>
      </c>
      <c r="L1194" s="24">
        <v>6.7238550000000004</v>
      </c>
      <c r="M1194" s="24">
        <v>14.157400000000001</v>
      </c>
      <c r="N1194" s="24">
        <v>4.2839511111111115</v>
      </c>
      <c r="O1194" s="24">
        <v>4.0816326530612237</v>
      </c>
      <c r="P1194" s="24">
        <v>5.9452054794520546</v>
      </c>
      <c r="Q1194" s="24">
        <v>6.6327197920438579</v>
      </c>
      <c r="R1194" s="24">
        <v>6.08</v>
      </c>
      <c r="S1194" s="24">
        <v>6.1240149212531838</v>
      </c>
      <c r="T1194" s="24">
        <v>9.0965354176621258E-2</v>
      </c>
      <c r="U1194" s="24" t="s">
        <v>3511</v>
      </c>
      <c r="V1194">
        <v>0</v>
      </c>
      <c r="W1194" s="21">
        <v>0</v>
      </c>
      <c r="X1194" s="56" t="str">
        <f>IFERROR(VLOOKUP(A1194,Output!A:F,6,0),"-")</f>
        <v>-</v>
      </c>
    </row>
    <row r="1195" spans="1:24" hidden="1" x14ac:dyDescent="0.25">
      <c r="A1195" s="21" t="s">
        <v>4582</v>
      </c>
      <c r="B1195" s="40" t="s">
        <v>4583</v>
      </c>
      <c r="C1195" s="21" t="s">
        <v>244</v>
      </c>
      <c r="D1195" s="21" t="s">
        <v>73</v>
      </c>
      <c r="E1195" s="21" t="s">
        <v>99</v>
      </c>
      <c r="F1195" s="55">
        <v>9.5410024005098131E-5</v>
      </c>
      <c r="G1195" s="24" t="e">
        <v>#N/A</v>
      </c>
      <c r="H1195" s="24" t="e">
        <v>#N/A</v>
      </c>
      <c r="I1195" s="24" t="e">
        <v>#N/A</v>
      </c>
      <c r="J1195" s="24" t="e">
        <v>#N/A</v>
      </c>
      <c r="K1195" s="24">
        <v>0</v>
      </c>
      <c r="L1195" s="24">
        <v>0.36526370000000002</v>
      </c>
      <c r="M1195" s="24" t="e">
        <v>#N/A</v>
      </c>
      <c r="N1195" s="24">
        <v>7.3973967953746476</v>
      </c>
      <c r="O1195" s="24">
        <v>9.6874999999999982</v>
      </c>
      <c r="P1195" s="24">
        <v>2.9054722388059706</v>
      </c>
      <c r="Q1195" s="24">
        <v>1.1671377276540442</v>
      </c>
      <c r="R1195" s="24" t="e">
        <v>#N/A</v>
      </c>
      <c r="S1195" s="24">
        <v>2.4992335657810973</v>
      </c>
      <c r="T1195" s="24">
        <v>0.12192030820525361</v>
      </c>
      <c r="U1195" s="24" t="s">
        <v>4584</v>
      </c>
      <c r="V1195">
        <v>0</v>
      </c>
      <c r="W1195" s="21">
        <v>0</v>
      </c>
      <c r="X1195" s="56" t="str">
        <f>IFERROR(VLOOKUP(A1195,Output!A:F,6,0),"-")</f>
        <v>-</v>
      </c>
    </row>
    <row r="1196" spans="1:24" hidden="1" x14ac:dyDescent="0.25">
      <c r="A1196" s="21" t="s">
        <v>1853</v>
      </c>
      <c r="B1196" s="40" t="s">
        <v>1854</v>
      </c>
      <c r="C1196" s="21" t="s">
        <v>1441</v>
      </c>
      <c r="D1196" s="21" t="s">
        <v>74</v>
      </c>
      <c r="E1196" s="21" t="s">
        <v>100</v>
      </c>
      <c r="F1196" s="55">
        <v>9.5377437325871404E-5</v>
      </c>
      <c r="G1196" s="24">
        <v>6.653683</v>
      </c>
      <c r="H1196" s="24">
        <v>6.1919740000000001</v>
      </c>
      <c r="I1196" s="24">
        <v>4.6998059999999997</v>
      </c>
      <c r="J1196" s="24">
        <v>5.8484879999999997</v>
      </c>
      <c r="K1196" s="24">
        <v>5.6146260000000003</v>
      </c>
      <c r="L1196" s="24">
        <v>5.7505959999999998</v>
      </c>
      <c r="M1196" s="24">
        <v>27.120999999999999</v>
      </c>
      <c r="N1196" s="24">
        <v>4.8058973702014676</v>
      </c>
      <c r="O1196" s="24">
        <v>2</v>
      </c>
      <c r="P1196" s="24">
        <v>10</v>
      </c>
      <c r="Q1196" s="24">
        <v>0.6825546533502953</v>
      </c>
      <c r="R1196" s="24">
        <v>6.07</v>
      </c>
      <c r="S1196" s="24">
        <v>5.0685067028669462</v>
      </c>
      <c r="T1196" s="24">
        <v>-3.3626308270038728E-2</v>
      </c>
      <c r="U1196" s="24" t="s">
        <v>3574</v>
      </c>
      <c r="V1196">
        <v>0</v>
      </c>
      <c r="W1196" s="21">
        <v>0</v>
      </c>
      <c r="X1196" s="56" t="str">
        <f>IFERROR(VLOOKUP(A1196,Output!A:F,6,0),"-")</f>
        <v>-</v>
      </c>
    </row>
    <row r="1197" spans="1:24" x14ac:dyDescent="0.25">
      <c r="A1197" s="21" t="s">
        <v>2422</v>
      </c>
      <c r="B1197" s="40" t="s">
        <v>2423</v>
      </c>
      <c r="C1197" s="21" t="s">
        <v>253</v>
      </c>
      <c r="D1197" s="21" t="s">
        <v>75</v>
      </c>
      <c r="E1197" s="21" t="s">
        <v>101</v>
      </c>
      <c r="F1197" s="55">
        <v>9.5342083948037862E-5</v>
      </c>
      <c r="G1197" s="21">
        <v>5.1318570000000001</v>
      </c>
      <c r="H1197" s="21">
        <v>8.3080420000000004</v>
      </c>
      <c r="I1197" s="21">
        <v>7.3520669999999999</v>
      </c>
      <c r="J1197" s="21">
        <v>7.2904150000000003</v>
      </c>
      <c r="K1197" s="24">
        <v>1.2391179999999999</v>
      </c>
      <c r="L1197" s="24">
        <v>6.7593819999999996</v>
      </c>
      <c r="M1197" s="24">
        <v>197.74369999999999</v>
      </c>
      <c r="N1197" s="24">
        <v>6.8233140889112143</v>
      </c>
      <c r="O1197" s="24">
        <v>3.440860215053763</v>
      </c>
      <c r="P1197" s="24">
        <v>3.0681818181818183</v>
      </c>
      <c r="Q1197" s="24">
        <v>3.1059484458276532</v>
      </c>
      <c r="R1197" s="24" t="e">
        <v>#N/A</v>
      </c>
      <c r="S1197" s="24">
        <v>4.0656437320627639</v>
      </c>
      <c r="T1197" s="24">
        <v>0.73278444976650858</v>
      </c>
      <c r="U1197" s="24" t="s">
        <v>3940</v>
      </c>
      <c r="V1197">
        <v>0</v>
      </c>
      <c r="W1197" s="21">
        <v>0</v>
      </c>
      <c r="X1197" s="56" t="str">
        <f>IFERROR(VLOOKUP(A1197,Output!A:F,6,0),"-")</f>
        <v>-</v>
      </c>
    </row>
    <row r="1198" spans="1:24" hidden="1" x14ac:dyDescent="0.25">
      <c r="A1198" s="21" t="s">
        <v>509</v>
      </c>
      <c r="B1198" s="40" t="s">
        <v>921</v>
      </c>
      <c r="C1198" s="21" t="s">
        <v>250</v>
      </c>
      <c r="D1198" s="21" t="s">
        <v>76</v>
      </c>
      <c r="E1198" s="21" t="s">
        <v>95</v>
      </c>
      <c r="F1198" s="55">
        <v>9.5288752059621379E-5</v>
      </c>
      <c r="G1198" s="24">
        <v>5.8716109999999997</v>
      </c>
      <c r="H1198" s="24">
        <v>5.1049569999999997</v>
      </c>
      <c r="I1198" s="24">
        <v>7.2513759999999996</v>
      </c>
      <c r="J1198" s="24">
        <v>6.1322099999999997</v>
      </c>
      <c r="K1198" s="24">
        <v>5.559069</v>
      </c>
      <c r="L1198" s="24">
        <v>7.6606290000000001</v>
      </c>
      <c r="M1198" s="24">
        <v>245.74449999999999</v>
      </c>
      <c r="N1198" s="24">
        <v>10</v>
      </c>
      <c r="O1198" s="24">
        <v>10</v>
      </c>
      <c r="P1198" s="24">
        <v>9.4230769785502897</v>
      </c>
      <c r="Q1198" s="24">
        <v>6.9875375134660755</v>
      </c>
      <c r="R1198" s="24">
        <v>6.1</v>
      </c>
      <c r="S1198" s="24">
        <v>7.7671657473307878</v>
      </c>
      <c r="T1198" s="24">
        <v>0.47363011287738788</v>
      </c>
      <c r="U1198" s="24" t="s">
        <v>3014</v>
      </c>
      <c r="V1198">
        <v>0</v>
      </c>
      <c r="W1198" s="21">
        <v>0</v>
      </c>
      <c r="X1198" s="56" t="str">
        <f>IFERROR(VLOOKUP(A1198,Output!A:F,6,0),"-")</f>
        <v>-</v>
      </c>
    </row>
    <row r="1199" spans="1:24" x14ac:dyDescent="0.25">
      <c r="A1199" s="21" t="s">
        <v>640</v>
      </c>
      <c r="B1199" s="40" t="s">
        <v>971</v>
      </c>
      <c r="C1199" s="21" t="s">
        <v>248</v>
      </c>
      <c r="D1199" s="21" t="s">
        <v>75</v>
      </c>
      <c r="E1199" s="21" t="s">
        <v>99</v>
      </c>
      <c r="F1199" s="55">
        <v>9.5229464223658665E-5</v>
      </c>
      <c r="G1199" s="24">
        <v>2.219265</v>
      </c>
      <c r="H1199" s="24">
        <v>3.3972250000000002</v>
      </c>
      <c r="I1199" s="24">
        <v>0.71106899999999995</v>
      </c>
      <c r="J1199" s="24">
        <v>2.1201940000000001</v>
      </c>
      <c r="K1199" s="24">
        <v>1.327088</v>
      </c>
      <c r="L1199" s="24">
        <v>4.3227880000000001</v>
      </c>
      <c r="M1199" s="24">
        <v>259.01920000000001</v>
      </c>
      <c r="N1199" s="24">
        <v>3.0522210715618887</v>
      </c>
      <c r="O1199" s="24">
        <v>1.4444444444444446</v>
      </c>
      <c r="P1199" s="24">
        <v>4.1255605381165914</v>
      </c>
      <c r="Q1199" s="24">
        <v>7.1938510417084176</v>
      </c>
      <c r="R1199" s="24">
        <v>3.28</v>
      </c>
      <c r="S1199" s="24">
        <v>4.8596340161388909</v>
      </c>
      <c r="T1199" s="24">
        <v>0.49444978033160919</v>
      </c>
      <c r="U1199" s="24" t="s">
        <v>3044</v>
      </c>
      <c r="V1199">
        <v>0</v>
      </c>
      <c r="W1199" s="21">
        <v>1</v>
      </c>
      <c r="X1199" s="56" t="str">
        <f>IFERROR(VLOOKUP(A1199,Output!A:F,6,0),"-")</f>
        <v>-</v>
      </c>
    </row>
    <row r="1200" spans="1:24" hidden="1" x14ac:dyDescent="0.25">
      <c r="A1200" s="21" t="s">
        <v>414</v>
      </c>
      <c r="B1200" s="40" t="s">
        <v>696</v>
      </c>
      <c r="C1200" s="21" t="s">
        <v>245</v>
      </c>
      <c r="D1200" s="21" t="s">
        <v>73</v>
      </c>
      <c r="E1200" s="21" t="s">
        <v>94</v>
      </c>
      <c r="F1200" s="55">
        <v>9.5175790270687143E-5</v>
      </c>
      <c r="G1200" s="24">
        <v>5.3606150000000001</v>
      </c>
      <c r="H1200" s="24">
        <v>5.7768379999999997</v>
      </c>
      <c r="I1200" s="24">
        <v>6.0443639999999998</v>
      </c>
      <c r="J1200" s="24">
        <v>5.690607</v>
      </c>
      <c r="K1200" s="24">
        <v>0</v>
      </c>
      <c r="L1200" s="24">
        <v>3.8749790000000002</v>
      </c>
      <c r="M1200" s="24">
        <v>39.160400000000003</v>
      </c>
      <c r="N1200" s="24">
        <v>6.7483111061336327</v>
      </c>
      <c r="O1200" s="24">
        <v>1.4285714285714284</v>
      </c>
      <c r="P1200" s="24">
        <v>5.3801732257177024</v>
      </c>
      <c r="Q1200" s="24">
        <v>3.5347996176479048</v>
      </c>
      <c r="R1200" s="24" t="e">
        <v>#N/A</v>
      </c>
      <c r="S1200" s="24">
        <v>4.7899521089523995</v>
      </c>
      <c r="T1200" s="24">
        <v>0.78683346882164695</v>
      </c>
      <c r="U1200" s="24" t="s">
        <v>2922</v>
      </c>
      <c r="V1200">
        <v>0</v>
      </c>
      <c r="W1200" s="21">
        <v>0</v>
      </c>
      <c r="X1200" s="56" t="str">
        <f>IFERROR(VLOOKUP(A1200,Output!A:F,6,0),"-")</f>
        <v>-</v>
      </c>
    </row>
    <row r="1201" spans="1:24" hidden="1" x14ac:dyDescent="0.25">
      <c r="A1201" s="21" t="s">
        <v>1351</v>
      </c>
      <c r="B1201" s="40" t="s">
        <v>1352</v>
      </c>
      <c r="C1201" s="21" t="s">
        <v>968</v>
      </c>
      <c r="D1201" s="21" t="s">
        <v>76</v>
      </c>
      <c r="E1201" s="21" t="s">
        <v>92</v>
      </c>
      <c r="F1201" s="55">
        <v>9.4390339627305984E-5</v>
      </c>
      <c r="G1201" s="21">
        <v>6.2817499999999997</v>
      </c>
      <c r="H1201" s="21">
        <v>4.3573430000000002</v>
      </c>
      <c r="I1201" s="21">
        <v>4.3903850000000002</v>
      </c>
      <c r="J1201" s="21">
        <v>5.1370180000000003</v>
      </c>
      <c r="K1201" s="24">
        <v>1.6021339999999999</v>
      </c>
      <c r="L1201" s="24">
        <v>2.1795270000000002</v>
      </c>
      <c r="M1201" s="53">
        <v>10229.040000000001</v>
      </c>
      <c r="N1201" s="24">
        <v>3.1285795805747432</v>
      </c>
      <c r="O1201" s="24">
        <v>1.3636363636363635</v>
      </c>
      <c r="P1201" s="24">
        <v>1.0362694300518136</v>
      </c>
      <c r="Q1201" s="24">
        <v>1.534926872836887</v>
      </c>
      <c r="R1201" s="24">
        <v>5.01</v>
      </c>
      <c r="S1201" s="24">
        <v>3.178196812023685</v>
      </c>
      <c r="T1201" s="24">
        <v>0.51556645503695997</v>
      </c>
      <c r="U1201" s="24" t="s">
        <v>3320</v>
      </c>
      <c r="V1201">
        <v>0</v>
      </c>
      <c r="W1201" s="21">
        <v>0</v>
      </c>
      <c r="X1201" s="56" t="str">
        <f>IFERROR(VLOOKUP(A1201,Output!A:F,6,0),"-")</f>
        <v>-</v>
      </c>
    </row>
    <row r="1202" spans="1:24" hidden="1" x14ac:dyDescent="0.25">
      <c r="A1202" s="21" t="s">
        <v>2661</v>
      </c>
      <c r="B1202" s="40" t="s">
        <v>2662</v>
      </c>
      <c r="C1202" s="21" t="s">
        <v>257</v>
      </c>
      <c r="D1202" s="21" t="s">
        <v>74</v>
      </c>
      <c r="E1202" s="21" t="s">
        <v>103</v>
      </c>
      <c r="F1202" s="55">
        <v>9.4034944615362481E-5</v>
      </c>
      <c r="G1202" s="21">
        <v>5.8119290000000001</v>
      </c>
      <c r="H1202" s="21">
        <v>7.0355800000000004</v>
      </c>
      <c r="I1202" s="21">
        <v>4.5983799999999997</v>
      </c>
      <c r="J1202" s="21">
        <v>5.8149600000000001</v>
      </c>
      <c r="K1202" s="24">
        <v>5.85649</v>
      </c>
      <c r="L1202" s="24">
        <v>18.969249999999999</v>
      </c>
      <c r="M1202" s="24">
        <v>18.9148</v>
      </c>
      <c r="N1202" s="24">
        <v>6.480597877162813</v>
      </c>
      <c r="O1202" s="24">
        <v>5.7575757575757578</v>
      </c>
      <c r="P1202" s="24">
        <v>3.9169139465875382</v>
      </c>
      <c r="Q1202" s="24">
        <v>9.1426015885678353</v>
      </c>
      <c r="R1202" s="24">
        <v>6.38</v>
      </c>
      <c r="S1202" s="24">
        <v>7.2671220157801217</v>
      </c>
      <c r="T1202" s="24">
        <v>0.43170865918554896</v>
      </c>
      <c r="U1202" s="24" t="s">
        <v>4051</v>
      </c>
      <c r="V1202">
        <v>0</v>
      </c>
      <c r="W1202" s="21">
        <v>0</v>
      </c>
      <c r="X1202" s="56" t="str">
        <f>IFERROR(VLOOKUP(A1202,Output!A:F,6,0),"-")</f>
        <v>-</v>
      </c>
    </row>
    <row r="1203" spans="1:24" hidden="1" x14ac:dyDescent="0.25">
      <c r="A1203" s="21" t="s">
        <v>4175</v>
      </c>
      <c r="B1203" s="40" t="s">
        <v>4176</v>
      </c>
      <c r="C1203" s="21" t="s">
        <v>251</v>
      </c>
      <c r="D1203" s="21" t="s">
        <v>74</v>
      </c>
      <c r="E1203" s="21" t="s">
        <v>92</v>
      </c>
      <c r="F1203" s="55">
        <v>9.3998373890141968E-5</v>
      </c>
      <c r="G1203" s="24">
        <v>5.4581359999999997</v>
      </c>
      <c r="H1203" s="24">
        <v>6.2633799999999997</v>
      </c>
      <c r="I1203" s="24">
        <v>5.9654980000000002</v>
      </c>
      <c r="J1203" s="24">
        <v>5.8519180000000004</v>
      </c>
      <c r="K1203" s="24">
        <v>2.165826</v>
      </c>
      <c r="L1203" s="24">
        <v>5.2124689999999996</v>
      </c>
      <c r="M1203" s="24">
        <v>4.1035000000000004</v>
      </c>
      <c r="N1203" s="24">
        <v>8.0469140740740759</v>
      </c>
      <c r="O1203" s="24">
        <v>9.7959183673469372</v>
      </c>
      <c r="P1203" s="24">
        <v>6.4657534246575343</v>
      </c>
      <c r="Q1203" s="24">
        <v>2.9131462288635372</v>
      </c>
      <c r="R1203" s="24">
        <v>5.28</v>
      </c>
      <c r="S1203" s="24">
        <v>5.031711185544248</v>
      </c>
      <c r="T1203" s="24">
        <v>0.45246015992399014</v>
      </c>
      <c r="U1203" s="24" t="s">
        <v>4177</v>
      </c>
      <c r="V1203">
        <v>0</v>
      </c>
      <c r="W1203" s="21">
        <v>0</v>
      </c>
      <c r="X1203" s="56" t="str">
        <f>IFERROR(VLOOKUP(A1203,Output!A:F,6,0),"-")</f>
        <v>-</v>
      </c>
    </row>
    <row r="1204" spans="1:24" hidden="1" x14ac:dyDescent="0.25">
      <c r="A1204" s="21" t="s">
        <v>457</v>
      </c>
      <c r="B1204" s="40" t="s">
        <v>4278</v>
      </c>
      <c r="C1204" s="21" t="s">
        <v>244</v>
      </c>
      <c r="D1204" s="21" t="s">
        <v>73</v>
      </c>
      <c r="E1204" s="21" t="s">
        <v>92</v>
      </c>
      <c r="F1204" s="55">
        <v>9.3741744988099377E-5</v>
      </c>
      <c r="G1204" s="24">
        <v>1.966461</v>
      </c>
      <c r="H1204" s="24">
        <v>3.5738289999999999</v>
      </c>
      <c r="I1204" s="24">
        <v>4.7682209999999996</v>
      </c>
      <c r="J1204" s="24">
        <v>3.4361709999999999</v>
      </c>
      <c r="K1204" s="24">
        <v>0</v>
      </c>
      <c r="L1204" s="24">
        <v>1.9411259999999999</v>
      </c>
      <c r="M1204" s="24">
        <v>24.398800000000001</v>
      </c>
      <c r="N1204" s="24">
        <v>5.7220639204545467</v>
      </c>
      <c r="O1204" s="24">
        <v>5.7575757575757578</v>
      </c>
      <c r="P1204" s="24">
        <v>0</v>
      </c>
      <c r="Q1204" s="24">
        <v>3.885054419962835</v>
      </c>
      <c r="R1204" s="24" t="e">
        <v>#N/A</v>
      </c>
      <c r="S1204" s="24">
        <v>1.6725105547053771</v>
      </c>
      <c r="T1204" s="24">
        <v>2.0416032991475253</v>
      </c>
      <c r="U1204" s="24" t="s">
        <v>2933</v>
      </c>
      <c r="V1204">
        <v>0</v>
      </c>
      <c r="W1204" s="21">
        <v>1</v>
      </c>
      <c r="X1204" s="56" t="str">
        <f>IFERROR(VLOOKUP(A1204,Output!A:F,6,0),"-")</f>
        <v>-</v>
      </c>
    </row>
    <row r="1205" spans="1:24" x14ac:dyDescent="0.25">
      <c r="A1205" s="21" t="s">
        <v>2039</v>
      </c>
      <c r="B1205" s="40" t="s">
        <v>2040</v>
      </c>
      <c r="C1205" s="21" t="s">
        <v>248</v>
      </c>
      <c r="D1205" s="21" t="s">
        <v>75</v>
      </c>
      <c r="E1205" s="21" t="s">
        <v>91</v>
      </c>
      <c r="F1205" s="55">
        <v>9.3595834333938974E-5</v>
      </c>
      <c r="G1205" s="24">
        <v>2.863578</v>
      </c>
      <c r="H1205" s="24">
        <v>3.4409730000000001</v>
      </c>
      <c r="I1205" s="24">
        <v>4.4116739999999997</v>
      </c>
      <c r="J1205" s="24">
        <v>3.7137739999999999</v>
      </c>
      <c r="K1205" s="24">
        <v>0.95187239999999995</v>
      </c>
      <c r="L1205" s="24">
        <v>1.938591</v>
      </c>
      <c r="M1205" s="24">
        <v>3.8624000000000001</v>
      </c>
      <c r="N1205" s="24">
        <v>5.6481014421022211</v>
      </c>
      <c r="O1205" s="24">
        <v>0</v>
      </c>
      <c r="P1205" s="24">
        <v>8.8188976377952759</v>
      </c>
      <c r="Q1205" s="24">
        <v>2.6222910014100957</v>
      </c>
      <c r="R1205" s="24">
        <v>5.47</v>
      </c>
      <c r="S1205" s="24">
        <v>4.1835406831890278</v>
      </c>
      <c r="T1205" s="24">
        <v>0.35975414692935564</v>
      </c>
      <c r="U1205" s="24" t="s">
        <v>3652</v>
      </c>
      <c r="V1205">
        <v>0</v>
      </c>
      <c r="W1205" s="21">
        <v>1</v>
      </c>
      <c r="X1205" s="56" t="str">
        <f>IFERROR(VLOOKUP(A1205,Output!A:F,6,0),"-")</f>
        <v>-</v>
      </c>
    </row>
    <row r="1206" spans="1:24" hidden="1" x14ac:dyDescent="0.25">
      <c r="A1206" s="21" t="s">
        <v>1805</v>
      </c>
      <c r="B1206" s="40" t="s">
        <v>1806</v>
      </c>
      <c r="C1206" s="21" t="s">
        <v>246</v>
      </c>
      <c r="D1206" s="21" t="s">
        <v>74</v>
      </c>
      <c r="E1206" s="21" t="s">
        <v>92</v>
      </c>
      <c r="F1206" s="55">
        <v>9.3260097973186907E-5</v>
      </c>
      <c r="G1206" s="24">
        <v>3.5664980000000002</v>
      </c>
      <c r="H1206" s="24">
        <v>4.2245600000000003</v>
      </c>
      <c r="I1206" s="24">
        <v>4.0254050000000001</v>
      </c>
      <c r="J1206" s="24">
        <v>3.901589</v>
      </c>
      <c r="K1206" s="24">
        <v>0.7667254</v>
      </c>
      <c r="L1206" s="24">
        <v>3.4616280000000001</v>
      </c>
      <c r="M1206" s="24">
        <v>34.467599999999997</v>
      </c>
      <c r="N1206" s="24">
        <v>5.3209881481481496</v>
      </c>
      <c r="O1206" s="24">
        <v>7.5510204081632644</v>
      </c>
      <c r="P1206" s="24">
        <v>6.3561643835616435</v>
      </c>
      <c r="Q1206" s="24">
        <v>1.1803048933974023</v>
      </c>
      <c r="R1206" s="24">
        <v>2.3199999999999998</v>
      </c>
      <c r="S1206" s="24">
        <v>3.9338879995909943</v>
      </c>
      <c r="T1206" s="24">
        <v>0.59467199274759075</v>
      </c>
      <c r="U1206" s="24" t="s">
        <v>3554</v>
      </c>
      <c r="V1206">
        <v>0</v>
      </c>
      <c r="W1206" s="21">
        <v>1</v>
      </c>
      <c r="X1206" s="56" t="str">
        <f>IFERROR(VLOOKUP(A1206,Output!A:F,6,0),"-")</f>
        <v>-</v>
      </c>
    </row>
    <row r="1207" spans="1:24" x14ac:dyDescent="0.25">
      <c r="A1207" s="21" t="s">
        <v>632</v>
      </c>
      <c r="B1207" s="40" t="s">
        <v>983</v>
      </c>
      <c r="C1207" s="21" t="s">
        <v>248</v>
      </c>
      <c r="D1207" s="21" t="s">
        <v>75</v>
      </c>
      <c r="E1207" s="21" t="s">
        <v>99</v>
      </c>
      <c r="F1207" s="55">
        <v>9.3149359603860333E-5</v>
      </c>
      <c r="G1207" s="21">
        <v>5.0998219999999996</v>
      </c>
      <c r="H1207" s="21">
        <v>5.9611809999999998</v>
      </c>
      <c r="I1207" s="21">
        <v>3.0298609999999999</v>
      </c>
      <c r="J1207" s="21">
        <v>4.737241</v>
      </c>
      <c r="K1207" s="24">
        <v>2.7913990000000002</v>
      </c>
      <c r="L1207" s="24">
        <v>7.796862</v>
      </c>
      <c r="M1207" s="24">
        <v>46.001899999999999</v>
      </c>
      <c r="N1207" s="24">
        <v>3.5354137776358807</v>
      </c>
      <c r="O1207" s="24">
        <v>2.1111111111111116</v>
      </c>
      <c r="P1207" s="24">
        <v>4.0807174887892366</v>
      </c>
      <c r="Q1207" s="24">
        <v>9.3232083027761536</v>
      </c>
      <c r="R1207" s="24">
        <v>5.78</v>
      </c>
      <c r="S1207" s="24">
        <v>6.9081325939524643</v>
      </c>
      <c r="T1207" s="24">
        <v>0.34798772787619719</v>
      </c>
      <c r="U1207" s="24" t="s">
        <v>3126</v>
      </c>
      <c r="V1207">
        <v>0</v>
      </c>
      <c r="W1207" s="21">
        <v>0</v>
      </c>
      <c r="X1207" s="56" t="str">
        <f>IFERROR(VLOOKUP(A1207,Output!A:F,6,0),"-")</f>
        <v>-</v>
      </c>
    </row>
    <row r="1208" spans="1:24" hidden="1" x14ac:dyDescent="0.25">
      <c r="A1208" s="21" t="s">
        <v>4196</v>
      </c>
      <c r="B1208" s="40" t="s">
        <v>4197</v>
      </c>
      <c r="C1208" s="21" t="s">
        <v>244</v>
      </c>
      <c r="D1208" s="21" t="s">
        <v>73</v>
      </c>
      <c r="E1208" s="21" t="s">
        <v>99</v>
      </c>
      <c r="F1208" s="55">
        <v>9.303053241387973E-5</v>
      </c>
      <c r="G1208" s="21">
        <v>3.8519920000000001</v>
      </c>
      <c r="H1208" s="21">
        <v>2.376001</v>
      </c>
      <c r="I1208" s="21">
        <v>3.514192</v>
      </c>
      <c r="J1208" s="21">
        <v>3.307855</v>
      </c>
      <c r="K1208" s="24">
        <v>0</v>
      </c>
      <c r="L1208" s="24">
        <v>3.9903810000000002</v>
      </c>
      <c r="M1208" s="24">
        <v>50.881700000000002</v>
      </c>
      <c r="N1208" s="24">
        <v>5.3314917388706977</v>
      </c>
      <c r="O1208" s="24">
        <v>4.5833333333333339</v>
      </c>
      <c r="P1208" s="24">
        <v>3.9402985074626864</v>
      </c>
      <c r="Q1208" s="24">
        <v>1.9969617723067183</v>
      </c>
      <c r="R1208" s="24" t="e">
        <v>#N/A</v>
      </c>
      <c r="S1208" s="24">
        <v>3.9685560238343096</v>
      </c>
      <c r="T1208" s="24">
        <v>0.64633616688142081</v>
      </c>
      <c r="U1208" s="24" t="s">
        <v>4198</v>
      </c>
      <c r="V1208">
        <v>0</v>
      </c>
      <c r="W1208" s="21">
        <v>1</v>
      </c>
      <c r="X1208" s="56" t="str">
        <f>IFERROR(VLOOKUP(A1208,Output!A:F,6,0),"-")</f>
        <v>-</v>
      </c>
    </row>
    <row r="1209" spans="1:24" x14ac:dyDescent="0.25">
      <c r="A1209" s="21" t="s">
        <v>1158</v>
      </c>
      <c r="B1209" s="40" t="s">
        <v>1159</v>
      </c>
      <c r="C1209" s="21" t="s">
        <v>248</v>
      </c>
      <c r="D1209" s="21" t="s">
        <v>75</v>
      </c>
      <c r="E1209" s="21" t="s">
        <v>92</v>
      </c>
      <c r="F1209" s="55">
        <v>9.2723650204415835E-5</v>
      </c>
      <c r="G1209" s="24">
        <v>5.44747</v>
      </c>
      <c r="H1209" s="24">
        <v>3.0179200000000002</v>
      </c>
      <c r="I1209" s="24">
        <v>1.368501</v>
      </c>
      <c r="J1209" s="24">
        <v>3.4949150000000002</v>
      </c>
      <c r="K1209" s="24">
        <v>1.0794079999999999</v>
      </c>
      <c r="L1209" s="24">
        <v>4.0798880000000004</v>
      </c>
      <c r="M1209" s="24">
        <v>16.836200000000002</v>
      </c>
      <c r="N1209" s="24">
        <v>4.8094617408106952</v>
      </c>
      <c r="O1209" s="24">
        <v>7.4736842105263159</v>
      </c>
      <c r="P1209" s="24">
        <v>4.9257145176816213</v>
      </c>
      <c r="Q1209" s="24">
        <v>5.0484820082922521</v>
      </c>
      <c r="R1209" s="24">
        <v>3.72</v>
      </c>
      <c r="S1209" s="24">
        <v>3.9854628438633606</v>
      </c>
      <c r="T1209" s="24">
        <v>0.64766528675902302</v>
      </c>
      <c r="U1209" s="24" t="s">
        <v>3278</v>
      </c>
      <c r="V1209">
        <v>0</v>
      </c>
      <c r="W1209" s="21">
        <v>1</v>
      </c>
      <c r="X1209" s="56" t="str">
        <f>IFERROR(VLOOKUP(A1209,Output!A:F,6,0),"-")</f>
        <v>-</v>
      </c>
    </row>
    <row r="1210" spans="1:24" hidden="1" x14ac:dyDescent="0.25">
      <c r="A1210" s="21" t="s">
        <v>483</v>
      </c>
      <c r="B1210" s="40" t="s">
        <v>676</v>
      </c>
      <c r="C1210" s="21" t="s">
        <v>245</v>
      </c>
      <c r="D1210" s="21" t="s">
        <v>73</v>
      </c>
      <c r="E1210" s="21" t="s">
        <v>102</v>
      </c>
      <c r="F1210" s="55">
        <v>9.2628264497176312E-5</v>
      </c>
      <c r="G1210" s="21">
        <v>5.4336719999999996</v>
      </c>
      <c r="H1210" s="21">
        <v>5.260891</v>
      </c>
      <c r="I1210" s="21">
        <v>6.0580369999999997</v>
      </c>
      <c r="J1210" s="21">
        <v>5.5239890000000003</v>
      </c>
      <c r="K1210" s="21">
        <v>4.0716939999999999</v>
      </c>
      <c r="L1210" s="21">
        <v>7.6828349999999999</v>
      </c>
      <c r="M1210" s="21">
        <v>310.2679</v>
      </c>
      <c r="N1210" s="21">
        <v>8.2447365005540529</v>
      </c>
      <c r="O1210" s="21">
        <v>6.5979381443298966</v>
      </c>
      <c r="P1210" s="21">
        <v>3.2539682539682535</v>
      </c>
      <c r="Q1210" s="21">
        <v>6.9249180690061474</v>
      </c>
      <c r="R1210" s="21">
        <v>7.43</v>
      </c>
      <c r="S1210" s="21">
        <v>6.8320613086264004</v>
      </c>
      <c r="T1210" s="21">
        <v>0.64003612500093465</v>
      </c>
      <c r="U1210" s="21" t="s">
        <v>2902</v>
      </c>
      <c r="V1210">
        <v>0</v>
      </c>
      <c r="W1210" s="21">
        <v>0</v>
      </c>
      <c r="X1210" s="56" t="str">
        <f>IFERROR(VLOOKUP(A1210,Output!A:F,6,0),"-")</f>
        <v>-</v>
      </c>
    </row>
    <row r="1211" spans="1:24" hidden="1" x14ac:dyDescent="0.25">
      <c r="A1211" s="21" t="s">
        <v>1909</v>
      </c>
      <c r="B1211" s="40" t="s">
        <v>1910</v>
      </c>
      <c r="C1211" s="21" t="s">
        <v>250</v>
      </c>
      <c r="D1211" s="21" t="s">
        <v>76</v>
      </c>
      <c r="E1211" s="21" t="s">
        <v>97</v>
      </c>
      <c r="F1211" s="55">
        <v>9.2130238626511712E-5</v>
      </c>
      <c r="G1211" s="21">
        <v>7.1999909999999998</v>
      </c>
      <c r="H1211" s="21">
        <v>5.618512</v>
      </c>
      <c r="I1211" s="21">
        <v>4.9726229999999996</v>
      </c>
      <c r="J1211" s="21">
        <v>5.6764520000000003</v>
      </c>
      <c r="K1211" s="24">
        <v>1.014162</v>
      </c>
      <c r="L1211" s="24">
        <v>2.3831899999999999</v>
      </c>
      <c r="M1211" s="24">
        <v>1.8765000000000001</v>
      </c>
      <c r="N1211" s="24">
        <v>10</v>
      </c>
      <c r="O1211" s="24">
        <v>7.5342465753424657</v>
      </c>
      <c r="P1211" s="24">
        <v>10</v>
      </c>
      <c r="Q1211" s="24">
        <v>0.9109686372467386</v>
      </c>
      <c r="R1211" s="24">
        <v>4.4800000000000004</v>
      </c>
      <c r="S1211" s="24">
        <v>4.8026627359781324</v>
      </c>
      <c r="T1211" s="24">
        <v>0.45629168015136834</v>
      </c>
      <c r="U1211" s="24" t="s">
        <v>3620</v>
      </c>
      <c r="V1211">
        <v>0</v>
      </c>
      <c r="W1211" s="21">
        <v>0</v>
      </c>
      <c r="X1211" s="56" t="str">
        <f>IFERROR(VLOOKUP(A1211,Output!A:F,6,0),"-")</f>
        <v>-</v>
      </c>
    </row>
    <row r="1212" spans="1:24" hidden="1" x14ac:dyDescent="0.25">
      <c r="A1212" s="21" t="s">
        <v>4573</v>
      </c>
      <c r="B1212" s="40" t="s">
        <v>4574</v>
      </c>
      <c r="C1212" s="21" t="s">
        <v>249</v>
      </c>
      <c r="D1212" s="21" t="s">
        <v>74</v>
      </c>
      <c r="E1212" s="21" t="s">
        <v>92</v>
      </c>
      <c r="F1212" s="55">
        <v>9.2094724277122885E-5</v>
      </c>
      <c r="G1212" s="24">
        <v>7.4542929999999998</v>
      </c>
      <c r="H1212" s="24">
        <v>6.8868410000000004</v>
      </c>
      <c r="I1212" s="24">
        <v>5.1773199999999999</v>
      </c>
      <c r="J1212" s="24">
        <v>6.6009659999999997</v>
      </c>
      <c r="K1212" s="24">
        <v>4.817666</v>
      </c>
      <c r="L1212" s="24">
        <v>10.19441</v>
      </c>
      <c r="M1212" s="24">
        <v>6.1642999999999999</v>
      </c>
      <c r="N1212" s="24">
        <v>5.3135807407407407</v>
      </c>
      <c r="O1212" s="24">
        <v>3.3673469387755093</v>
      </c>
      <c r="P1212" s="24">
        <v>4.4109589041095889</v>
      </c>
      <c r="Q1212" s="24">
        <v>9.1880229583264938</v>
      </c>
      <c r="R1212" s="24">
        <v>6.84</v>
      </c>
      <c r="S1212" s="24">
        <v>6.8913005482105287</v>
      </c>
      <c r="T1212" s="24">
        <v>0.64880899390300528</v>
      </c>
      <c r="U1212" s="24" t="s">
        <v>4575</v>
      </c>
      <c r="V1212">
        <v>0</v>
      </c>
      <c r="W1212" s="21">
        <v>0</v>
      </c>
      <c r="X1212" s="56" t="str">
        <f>IFERROR(VLOOKUP(A1212,Output!A:F,6,0),"-")</f>
        <v>-</v>
      </c>
    </row>
    <row r="1213" spans="1:24" hidden="1" x14ac:dyDescent="0.25">
      <c r="A1213" s="21" t="s">
        <v>1903</v>
      </c>
      <c r="B1213" s="40" t="s">
        <v>1904</v>
      </c>
      <c r="C1213" s="21" t="s">
        <v>257</v>
      </c>
      <c r="D1213" s="21" t="s">
        <v>74</v>
      </c>
      <c r="E1213" s="21" t="s">
        <v>98</v>
      </c>
      <c r="F1213" s="55">
        <v>9.1794019351093762E-5</v>
      </c>
      <c r="G1213" s="24">
        <v>7.0944929999999999</v>
      </c>
      <c r="H1213" s="24">
        <v>6.3354850000000003</v>
      </c>
      <c r="I1213" s="24">
        <v>3.4036059999999999</v>
      </c>
      <c r="J1213" s="24">
        <v>5.3145350000000002</v>
      </c>
      <c r="K1213" s="24">
        <v>0</v>
      </c>
      <c r="L1213" s="24">
        <v>3.8917220000000001</v>
      </c>
      <c r="M1213" s="24">
        <v>6.5926999999999998</v>
      </c>
      <c r="N1213" s="24">
        <v>4.6153849086243746</v>
      </c>
      <c r="O1213" s="24">
        <v>3.0303030303030303</v>
      </c>
      <c r="P1213" s="24">
        <v>4.8664688427299705</v>
      </c>
      <c r="Q1213" s="24">
        <v>4.7146876073313493</v>
      </c>
      <c r="R1213" s="24" t="e">
        <v>#N/A</v>
      </c>
      <c r="S1213" s="24">
        <v>3.1379676996394528</v>
      </c>
      <c r="T1213" s="24">
        <v>1.0285083540141571</v>
      </c>
      <c r="U1213" s="24" t="s">
        <v>3614</v>
      </c>
      <c r="V1213">
        <v>0</v>
      </c>
      <c r="W1213" s="21">
        <v>0</v>
      </c>
      <c r="X1213" s="56" t="str">
        <f>IFERROR(VLOOKUP(A1213,Output!A:F,6,0),"-")</f>
        <v>-</v>
      </c>
    </row>
    <row r="1214" spans="1:24" x14ac:dyDescent="0.25">
      <c r="A1214" s="21" t="s">
        <v>416</v>
      </c>
      <c r="B1214" s="40" t="s">
        <v>853</v>
      </c>
      <c r="C1214" s="21" t="s">
        <v>248</v>
      </c>
      <c r="D1214" s="21" t="s">
        <v>75</v>
      </c>
      <c r="E1214" s="21" t="s">
        <v>99</v>
      </c>
      <c r="F1214" s="55">
        <v>9.1652324139537852E-5</v>
      </c>
      <c r="G1214" s="24">
        <v>5.4085720000000004</v>
      </c>
      <c r="H1214" s="24">
        <v>4.47729</v>
      </c>
      <c r="I1214" s="24">
        <v>2.2956370000000001</v>
      </c>
      <c r="J1214" s="24">
        <v>4.1953069999999997</v>
      </c>
      <c r="K1214" s="24">
        <v>2.5215580000000002</v>
      </c>
      <c r="L1214" s="24">
        <v>9.3890659999999997</v>
      </c>
      <c r="M1214" s="24">
        <v>25.485299999999999</v>
      </c>
      <c r="N1214" s="24">
        <v>2.3829527240667896</v>
      </c>
      <c r="O1214" s="24">
        <v>5</v>
      </c>
      <c r="P1214" s="24">
        <v>5.0224215246636774</v>
      </c>
      <c r="Q1214" s="24">
        <v>10</v>
      </c>
      <c r="R1214" s="24">
        <v>5.37</v>
      </c>
      <c r="S1214" s="24">
        <v>6.8927326784790477</v>
      </c>
      <c r="T1214" s="24">
        <v>0.25665860927563672</v>
      </c>
      <c r="U1214" s="24" t="s">
        <v>2976</v>
      </c>
      <c r="V1214">
        <v>0</v>
      </c>
      <c r="W1214" s="21">
        <v>1</v>
      </c>
      <c r="X1214" s="56" t="str">
        <f>IFERROR(VLOOKUP(A1214,Output!A:F,6,0),"-")</f>
        <v>-</v>
      </c>
    </row>
    <row r="1215" spans="1:24" hidden="1" x14ac:dyDescent="0.25">
      <c r="A1215" s="21" t="s">
        <v>4163</v>
      </c>
      <c r="B1215" s="40" t="s">
        <v>4164</v>
      </c>
      <c r="C1215" s="21" t="s">
        <v>244</v>
      </c>
      <c r="D1215" s="21" t="s">
        <v>73</v>
      </c>
      <c r="E1215" s="21" t="s">
        <v>92</v>
      </c>
      <c r="F1215" s="55">
        <v>9.1559473734294355E-5</v>
      </c>
      <c r="G1215" s="24">
        <v>0</v>
      </c>
      <c r="H1215" s="24">
        <v>0</v>
      </c>
      <c r="I1215" s="24">
        <v>0</v>
      </c>
      <c r="J1215" s="24">
        <v>0</v>
      </c>
      <c r="K1215" s="24">
        <v>0</v>
      </c>
      <c r="L1215" s="24">
        <v>-1.049167</v>
      </c>
      <c r="M1215" s="24">
        <v>295.16430000000003</v>
      </c>
      <c r="N1215" s="24">
        <v>7.8420937500000019</v>
      </c>
      <c r="O1215" s="24">
        <v>4.2424242424242422</v>
      </c>
      <c r="P1215" s="24">
        <v>3.1307934371543009</v>
      </c>
      <c r="Q1215" s="24">
        <v>3.465622511282187</v>
      </c>
      <c r="R1215" s="24" t="e">
        <v>#N/A</v>
      </c>
      <c r="S1215" s="24">
        <v>3.5438894170835957</v>
      </c>
      <c r="T1215" s="24">
        <v>1.0830073207339264</v>
      </c>
      <c r="U1215" s="24" t="s">
        <v>4165</v>
      </c>
      <c r="V1215">
        <v>0</v>
      </c>
      <c r="W1215" s="21">
        <v>1</v>
      </c>
      <c r="X1215" s="56" t="str">
        <f>IFERROR(VLOOKUP(A1215,Output!A:F,6,0),"-")</f>
        <v>-</v>
      </c>
    </row>
    <row r="1216" spans="1:24" hidden="1" x14ac:dyDescent="0.25">
      <c r="A1216" s="21" t="s">
        <v>1536</v>
      </c>
      <c r="B1216" s="40" t="s">
        <v>1537</v>
      </c>
      <c r="C1216" s="21" t="s">
        <v>246</v>
      </c>
      <c r="D1216" s="21" t="s">
        <v>74</v>
      </c>
      <c r="E1216" s="21" t="s">
        <v>88</v>
      </c>
      <c r="F1216" s="55">
        <v>9.1488193517461525E-5</v>
      </c>
      <c r="G1216" s="24">
        <v>6.0526099999999996</v>
      </c>
      <c r="H1216" s="24">
        <v>4.8816499999999996</v>
      </c>
      <c r="I1216" s="24">
        <v>5.5223680000000002</v>
      </c>
      <c r="J1216" s="24">
        <v>5.5422500000000001</v>
      </c>
      <c r="K1216" s="24">
        <v>3.9645250000000001</v>
      </c>
      <c r="L1216" s="24">
        <v>7.8160499999999997</v>
      </c>
      <c r="M1216" s="24">
        <v>16.384499999999999</v>
      </c>
      <c r="N1216" s="24">
        <v>3.6172844444444445</v>
      </c>
      <c r="O1216" s="24">
        <v>7.0408163265306118</v>
      </c>
      <c r="P1216" s="24">
        <v>4.493150684931507</v>
      </c>
      <c r="Q1216" s="24">
        <v>7.5459187091399915</v>
      </c>
      <c r="R1216" s="24">
        <v>7.53</v>
      </c>
      <c r="S1216" s="24">
        <v>6.0620224022197009</v>
      </c>
      <c r="T1216" s="24">
        <v>0.54949212467564523</v>
      </c>
      <c r="U1216" s="24" t="s">
        <v>3437</v>
      </c>
      <c r="V1216">
        <v>0</v>
      </c>
      <c r="W1216" s="21">
        <v>0</v>
      </c>
      <c r="X1216" s="56" t="str">
        <f>IFERROR(VLOOKUP(A1216,Output!A:F,6,0),"-")</f>
        <v>-</v>
      </c>
    </row>
    <row r="1217" spans="1:24" x14ac:dyDescent="0.25">
      <c r="A1217" s="21" t="s">
        <v>1292</v>
      </c>
      <c r="B1217" s="40" t="s">
        <v>1293</v>
      </c>
      <c r="C1217" s="21" t="s">
        <v>253</v>
      </c>
      <c r="D1217" s="21" t="s">
        <v>75</v>
      </c>
      <c r="E1217" s="21" t="s">
        <v>90</v>
      </c>
      <c r="F1217" s="55">
        <v>9.1440223993981084E-5</v>
      </c>
      <c r="G1217" s="21">
        <v>4.608803</v>
      </c>
      <c r="H1217" s="21">
        <v>5.2266199999999996</v>
      </c>
      <c r="I1217" s="21">
        <v>4.547517</v>
      </c>
      <c r="J1217" s="21">
        <v>4.7757630000000004</v>
      </c>
      <c r="K1217" s="24">
        <v>5.6467790000000004</v>
      </c>
      <c r="L1217" s="24">
        <v>14.050129999999999</v>
      </c>
      <c r="M1217" s="24">
        <v>86.642399999999995</v>
      </c>
      <c r="N1217" s="24">
        <v>4.1288311990686841</v>
      </c>
      <c r="O1217" s="24">
        <v>2.5301204819277103</v>
      </c>
      <c r="P1217" s="24">
        <v>4.9615384615384617</v>
      </c>
      <c r="Q1217" s="24">
        <v>10</v>
      </c>
      <c r="R1217" s="24">
        <v>6.88</v>
      </c>
      <c r="S1217" s="24">
        <v>6.8013337905939286</v>
      </c>
      <c r="T1217" s="24">
        <v>0.32218386468498489</v>
      </c>
      <c r="U1217" s="24" t="s">
        <v>3239</v>
      </c>
      <c r="V1217">
        <v>0</v>
      </c>
      <c r="W1217" s="21">
        <v>0</v>
      </c>
      <c r="X1217" s="56" t="str">
        <f>IFERROR(VLOOKUP(A1217,Output!A:F,6,0),"-")</f>
        <v>-</v>
      </c>
    </row>
    <row r="1218" spans="1:24" x14ac:dyDescent="0.25">
      <c r="A1218" s="21" t="s">
        <v>2483</v>
      </c>
      <c r="B1218" s="40" t="s">
        <v>2484</v>
      </c>
      <c r="C1218" s="21" t="s">
        <v>253</v>
      </c>
      <c r="D1218" s="21" t="s">
        <v>75</v>
      </c>
      <c r="E1218" s="21" t="s">
        <v>92</v>
      </c>
      <c r="F1218" s="55">
        <v>9.0926443032341177E-5</v>
      </c>
      <c r="G1218" s="21">
        <v>4.5952859999999998</v>
      </c>
      <c r="H1218" s="21">
        <v>6.220459</v>
      </c>
      <c r="I1218" s="21">
        <v>5.0473850000000002</v>
      </c>
      <c r="J1218" s="21">
        <v>5.2184679999999997</v>
      </c>
      <c r="K1218" s="24">
        <v>5.0989009999999997</v>
      </c>
      <c r="L1218" s="24">
        <v>8.4632349999999992</v>
      </c>
      <c r="M1218" s="24">
        <v>32.913600000000002</v>
      </c>
      <c r="N1218" s="24">
        <v>7.844941691978101</v>
      </c>
      <c r="O1218" s="24">
        <v>1.5789473684210527</v>
      </c>
      <c r="P1218" s="24">
        <v>2.0800003620571261</v>
      </c>
      <c r="Q1218" s="24">
        <v>4.9752739285102372</v>
      </c>
      <c r="R1218" s="24">
        <v>7.43</v>
      </c>
      <c r="S1218" s="24">
        <v>5.7621598664220697</v>
      </c>
      <c r="T1218" s="24">
        <v>0.49403290123709864</v>
      </c>
      <c r="U1218" s="24" t="s">
        <v>3942</v>
      </c>
      <c r="V1218">
        <v>0</v>
      </c>
      <c r="W1218" s="21">
        <v>0</v>
      </c>
      <c r="X1218" s="56" t="str">
        <f>IFERROR(VLOOKUP(A1218,Output!A:F,6,0),"-")</f>
        <v>-</v>
      </c>
    </row>
    <row r="1219" spans="1:24" x14ac:dyDescent="0.25">
      <c r="A1219" s="21" t="s">
        <v>1650</v>
      </c>
      <c r="B1219" s="40" t="s">
        <v>1651</v>
      </c>
      <c r="C1219" s="21" t="s">
        <v>248</v>
      </c>
      <c r="D1219" s="21" t="s">
        <v>75</v>
      </c>
      <c r="E1219" s="21" t="s">
        <v>91</v>
      </c>
      <c r="F1219" s="55">
        <v>9.0671172327796442E-5</v>
      </c>
      <c r="G1219" s="24">
        <v>5.5225520000000001</v>
      </c>
      <c r="H1219" s="24">
        <v>5.9783970000000002</v>
      </c>
      <c r="I1219" s="24">
        <v>6.285819</v>
      </c>
      <c r="J1219" s="24">
        <v>5.8882859999999999</v>
      </c>
      <c r="K1219" s="24">
        <v>2.2406799999999998</v>
      </c>
      <c r="L1219" s="24">
        <v>4.9950429999999999</v>
      </c>
      <c r="M1219" s="24">
        <v>54.4696</v>
      </c>
      <c r="N1219" s="24">
        <v>4.0784802398590276</v>
      </c>
      <c r="O1219" s="24">
        <v>6.2820512820512819</v>
      </c>
      <c r="P1219" s="24">
        <v>6.8897637795275593</v>
      </c>
      <c r="Q1219" s="24">
        <v>8.2947834823222752</v>
      </c>
      <c r="R1219" s="24">
        <v>6.68</v>
      </c>
      <c r="S1219" s="24">
        <v>6.0199553485624513</v>
      </c>
      <c r="T1219" s="24">
        <v>0.14068986436326822</v>
      </c>
      <c r="U1219" s="24" t="s">
        <v>3467</v>
      </c>
      <c r="V1219">
        <v>0</v>
      </c>
      <c r="W1219" s="21">
        <v>0</v>
      </c>
      <c r="X1219" s="56" t="str">
        <f>IFERROR(VLOOKUP(A1219,Output!A:F,6,0),"-")</f>
        <v>-</v>
      </c>
    </row>
    <row r="1220" spans="1:24" hidden="1" x14ac:dyDescent="0.25">
      <c r="A1220" s="21" t="s">
        <v>2196</v>
      </c>
      <c r="B1220" s="40" t="s">
        <v>2197</v>
      </c>
      <c r="C1220" s="21" t="s">
        <v>249</v>
      </c>
      <c r="D1220" s="21" t="s">
        <v>74</v>
      </c>
      <c r="E1220" s="21" t="s">
        <v>92</v>
      </c>
      <c r="F1220" s="55">
        <v>9.0410931626481739E-5</v>
      </c>
      <c r="G1220" s="24">
        <v>4.3975900000000001</v>
      </c>
      <c r="H1220" s="24">
        <v>5.2639329999999998</v>
      </c>
      <c r="I1220" s="24">
        <v>5.4153739999999999</v>
      </c>
      <c r="J1220" s="24">
        <v>5.1512409999999997</v>
      </c>
      <c r="K1220" s="24">
        <v>1.1308560000000001</v>
      </c>
      <c r="L1220" s="24">
        <v>2.8104330000000002</v>
      </c>
      <c r="M1220" s="24">
        <v>17.1768</v>
      </c>
      <c r="N1220" s="24">
        <v>5.9333333333333336</v>
      </c>
      <c r="O1220" s="24">
        <v>7.8571428571428568</v>
      </c>
      <c r="P1220" s="24">
        <v>0.35616438356164376</v>
      </c>
      <c r="Q1220" s="24">
        <v>5.9367636339814016</v>
      </c>
      <c r="R1220" s="24">
        <v>3.3</v>
      </c>
      <c r="S1220" s="24">
        <v>3.8396294274757308</v>
      </c>
      <c r="T1220" s="24">
        <v>0.19709419937325265</v>
      </c>
      <c r="U1220" s="24" t="s">
        <v>3800</v>
      </c>
      <c r="V1220">
        <v>0</v>
      </c>
      <c r="W1220" s="21">
        <v>0</v>
      </c>
      <c r="X1220" s="56" t="str">
        <f>IFERROR(VLOOKUP(A1220,Output!A:F,6,0),"-")</f>
        <v>-</v>
      </c>
    </row>
    <row r="1221" spans="1:24" x14ac:dyDescent="0.25">
      <c r="A1221" s="21" t="s">
        <v>1095</v>
      </c>
      <c r="B1221" s="40" t="s">
        <v>1096</v>
      </c>
      <c r="C1221" s="21" t="s">
        <v>248</v>
      </c>
      <c r="D1221" s="21" t="s">
        <v>75</v>
      </c>
      <c r="E1221" s="21" t="s">
        <v>87</v>
      </c>
      <c r="F1221" s="55">
        <v>8.9662574865875819E-5</v>
      </c>
      <c r="G1221" s="24">
        <v>4.4078759999999999</v>
      </c>
      <c r="H1221" s="24">
        <v>6.6915789999999999</v>
      </c>
      <c r="I1221" s="24">
        <v>3.7153119999999999</v>
      </c>
      <c r="J1221" s="24">
        <v>4.9382549999999998</v>
      </c>
      <c r="K1221" s="24">
        <v>3.2163080000000002</v>
      </c>
      <c r="L1221" s="24">
        <v>8.1542060000000003</v>
      </c>
      <c r="M1221" s="24">
        <v>95.941900000000004</v>
      </c>
      <c r="N1221" s="24">
        <v>1.5174582051697665</v>
      </c>
      <c r="O1221" s="24">
        <v>3.9784946236559131</v>
      </c>
      <c r="P1221" s="24">
        <v>5.3030303030303036</v>
      </c>
      <c r="Q1221" s="24">
        <v>6.8252872734102326</v>
      </c>
      <c r="R1221" s="24">
        <v>7</v>
      </c>
      <c r="S1221" s="24">
        <v>6.10114551787923</v>
      </c>
      <c r="T1221" s="24">
        <v>0.38693317859365639</v>
      </c>
      <c r="U1221" s="24" t="s">
        <v>3174</v>
      </c>
      <c r="V1221">
        <v>0</v>
      </c>
      <c r="W1221" s="21">
        <v>0</v>
      </c>
      <c r="X1221" s="56" t="str">
        <f>IFERROR(VLOOKUP(A1221,Output!A:F,6,0),"-")</f>
        <v>-</v>
      </c>
    </row>
    <row r="1222" spans="1:24" hidden="1" x14ac:dyDescent="0.25">
      <c r="A1222" s="21" t="s">
        <v>1236</v>
      </c>
      <c r="B1222" s="40" t="s">
        <v>1237</v>
      </c>
      <c r="C1222" s="21" t="s">
        <v>257</v>
      </c>
      <c r="D1222" s="21" t="s">
        <v>74</v>
      </c>
      <c r="E1222" s="21" t="s">
        <v>97</v>
      </c>
      <c r="F1222" s="55">
        <v>8.9617734227001591E-5</v>
      </c>
      <c r="G1222" s="24">
        <v>4.5238310000000004</v>
      </c>
      <c r="H1222" s="24">
        <v>7.1340709999999996</v>
      </c>
      <c r="I1222" s="24">
        <v>6.9720459999999997</v>
      </c>
      <c r="J1222" s="24">
        <v>6.0251650000000003</v>
      </c>
      <c r="K1222" s="24">
        <v>3.264065</v>
      </c>
      <c r="L1222" s="24">
        <v>-5.122077</v>
      </c>
      <c r="M1222" s="24">
        <v>36.106999999999999</v>
      </c>
      <c r="N1222" s="24">
        <v>2.986689904285373</v>
      </c>
      <c r="O1222" s="24">
        <v>1.2345679012345681</v>
      </c>
      <c r="P1222" s="24">
        <v>1.3414634146341462</v>
      </c>
      <c r="Q1222" s="24">
        <v>6.6750248712345854</v>
      </c>
      <c r="R1222" s="24">
        <v>3.93</v>
      </c>
      <c r="S1222" s="24">
        <v>2.3063400304544555</v>
      </c>
      <c r="T1222" s="24">
        <v>0.942805834883094</v>
      </c>
      <c r="U1222" s="24" t="s">
        <v>3283</v>
      </c>
      <c r="V1222">
        <v>0</v>
      </c>
      <c r="W1222" s="21">
        <v>0</v>
      </c>
      <c r="X1222" s="56" t="str">
        <f>IFERROR(VLOOKUP(A1222,Output!A:F,6,0),"-")</f>
        <v>-</v>
      </c>
    </row>
    <row r="1223" spans="1:24" x14ac:dyDescent="0.25">
      <c r="A1223" s="21" t="s">
        <v>561</v>
      </c>
      <c r="B1223" s="40" t="s">
        <v>1017</v>
      </c>
      <c r="C1223" s="21" t="s">
        <v>248</v>
      </c>
      <c r="D1223" s="21" t="s">
        <v>75</v>
      </c>
      <c r="E1223" s="21" t="s">
        <v>103</v>
      </c>
      <c r="F1223" s="55">
        <v>8.9485777794541543E-5</v>
      </c>
      <c r="G1223" s="21">
        <v>5.2738399999999999</v>
      </c>
      <c r="H1223" s="21">
        <v>7.0669930000000001</v>
      </c>
      <c r="I1223" s="21">
        <v>2.2178719999999998</v>
      </c>
      <c r="J1223" s="21">
        <v>4.8949959999999999</v>
      </c>
      <c r="K1223" s="24">
        <v>3.2108210000000001</v>
      </c>
      <c r="L1223" s="24">
        <v>22.023610000000001</v>
      </c>
      <c r="M1223" s="24">
        <v>26.5075</v>
      </c>
      <c r="N1223" s="24">
        <v>10</v>
      </c>
      <c r="O1223" s="24">
        <v>5.376344086021505</v>
      </c>
      <c r="P1223" s="24">
        <v>6.0606060606060606</v>
      </c>
      <c r="Q1223" s="24">
        <v>10</v>
      </c>
      <c r="R1223" s="24">
        <v>5.86</v>
      </c>
      <c r="S1223" s="24">
        <v>7.4864321480694098</v>
      </c>
      <c r="T1223" s="24">
        <v>0.58504215119079439</v>
      </c>
      <c r="U1223" s="24" t="s">
        <v>3117</v>
      </c>
      <c r="V1223">
        <v>0</v>
      </c>
      <c r="W1223" s="21">
        <v>0</v>
      </c>
      <c r="X1223" s="56" t="str">
        <f>IFERROR(VLOOKUP(A1223,Output!A:F,6,0),"-")</f>
        <v>-</v>
      </c>
    </row>
    <row r="1224" spans="1:24" x14ac:dyDescent="0.25">
      <c r="A1224" s="21" t="s">
        <v>1335</v>
      </c>
      <c r="B1224" s="40" t="s">
        <v>1336</v>
      </c>
      <c r="C1224" s="21" t="s">
        <v>248</v>
      </c>
      <c r="D1224" s="21" t="s">
        <v>75</v>
      </c>
      <c r="E1224" s="21" t="s">
        <v>92</v>
      </c>
      <c r="F1224" s="55">
        <v>8.9456189210532312E-5</v>
      </c>
      <c r="G1224" s="21">
        <v>4.4497799999999996</v>
      </c>
      <c r="H1224" s="21">
        <v>6.3163970000000003</v>
      </c>
      <c r="I1224" s="21">
        <v>2.1937329999999999</v>
      </c>
      <c r="J1224" s="21">
        <v>4.3329510000000004</v>
      </c>
      <c r="K1224" s="24">
        <v>3.8188759999999999</v>
      </c>
      <c r="L1224" s="24">
        <v>5.4008370000000001</v>
      </c>
      <c r="M1224" s="24">
        <v>901.22630000000004</v>
      </c>
      <c r="N1224" s="24">
        <v>4.0919846614438535</v>
      </c>
      <c r="O1224" s="24">
        <v>1.7894736842105263</v>
      </c>
      <c r="P1224" s="24">
        <v>3.2457145944816186</v>
      </c>
      <c r="Q1224" s="24">
        <v>7.4751524798649776</v>
      </c>
      <c r="R1224" s="24">
        <v>6.96</v>
      </c>
      <c r="S1224" s="24">
        <v>5.9033076912676057</v>
      </c>
      <c r="T1224" s="24">
        <v>0.33804092246438266</v>
      </c>
      <c r="U1224" s="24" t="s">
        <v>3311</v>
      </c>
      <c r="V1224">
        <v>0</v>
      </c>
      <c r="W1224" s="21">
        <v>1</v>
      </c>
      <c r="X1224" s="56" t="str">
        <f>IFERROR(VLOOKUP(A1224,Output!A:F,6,0),"-")</f>
        <v>-</v>
      </c>
    </row>
    <row r="1225" spans="1:24" hidden="1" x14ac:dyDescent="0.25">
      <c r="A1225" s="21" t="s">
        <v>519</v>
      </c>
      <c r="B1225" s="40" t="s">
        <v>727</v>
      </c>
      <c r="C1225" s="21" t="s">
        <v>294</v>
      </c>
      <c r="D1225" s="21" t="s">
        <v>77</v>
      </c>
      <c r="E1225" s="21" t="s">
        <v>85</v>
      </c>
      <c r="F1225" s="55">
        <v>8.9352000371362129E-5</v>
      </c>
      <c r="G1225" s="24">
        <v>4.5209239999999999</v>
      </c>
      <c r="H1225" s="24">
        <v>4.3767810000000003</v>
      </c>
      <c r="I1225" s="24">
        <v>4.711652</v>
      </c>
      <c r="J1225" s="24">
        <v>4.537229</v>
      </c>
      <c r="K1225" s="24">
        <v>3.253333</v>
      </c>
      <c r="L1225" s="24">
        <v>15.11164</v>
      </c>
      <c r="M1225" s="24">
        <v>11.3576</v>
      </c>
      <c r="N1225" s="24">
        <v>0</v>
      </c>
      <c r="O1225" s="24">
        <v>0</v>
      </c>
      <c r="P1225" s="24">
        <v>0</v>
      </c>
      <c r="Q1225" s="24">
        <v>10</v>
      </c>
      <c r="R1225" s="24">
        <v>3.61</v>
      </c>
      <c r="S1225" s="24">
        <v>4.05241935483871</v>
      </c>
      <c r="T1225" s="24">
        <v>0.43019063568867272</v>
      </c>
      <c r="U1225" s="24" t="s">
        <v>3095</v>
      </c>
      <c r="V1225">
        <v>0</v>
      </c>
      <c r="W1225" s="21">
        <v>1</v>
      </c>
      <c r="X1225" s="56" t="str">
        <f>IFERROR(VLOOKUP(A1225,Output!A:F,6,0),"-")</f>
        <v>-</v>
      </c>
    </row>
    <row r="1226" spans="1:24" hidden="1" x14ac:dyDescent="0.25">
      <c r="A1226" s="21" t="s">
        <v>2264</v>
      </c>
      <c r="B1226" s="40" t="s">
        <v>2265</v>
      </c>
      <c r="C1226" s="21" t="s">
        <v>254</v>
      </c>
      <c r="D1226" s="21" t="s">
        <v>74</v>
      </c>
      <c r="E1226" s="21" t="s">
        <v>87</v>
      </c>
      <c r="F1226" s="55">
        <v>8.9326506501290946E-5</v>
      </c>
      <c r="G1226" s="24">
        <v>4.1576930000000001</v>
      </c>
      <c r="H1226" s="24">
        <v>4.1814580000000001</v>
      </c>
      <c r="I1226" s="24">
        <v>2.9476589999999998</v>
      </c>
      <c r="J1226" s="24">
        <v>3.76227</v>
      </c>
      <c r="K1226" s="24">
        <v>2.597343</v>
      </c>
      <c r="L1226" s="24">
        <v>2.7252100000000001</v>
      </c>
      <c r="M1226" s="24">
        <v>49.817300000000003</v>
      </c>
      <c r="N1226" s="24">
        <v>4.6518395552025424</v>
      </c>
      <c r="O1226" s="24">
        <v>2.0618556701030926</v>
      </c>
      <c r="P1226" s="24">
        <v>10</v>
      </c>
      <c r="Q1226" s="24">
        <v>0.1424753669705241</v>
      </c>
      <c r="R1226" s="24">
        <v>4.91</v>
      </c>
      <c r="S1226" s="24">
        <v>5.0910249931700609</v>
      </c>
      <c r="T1226" s="24">
        <v>0.46818300471493157</v>
      </c>
      <c r="U1226" s="24" t="s">
        <v>3806</v>
      </c>
      <c r="V1226">
        <v>0</v>
      </c>
      <c r="W1226" s="21">
        <v>1</v>
      </c>
      <c r="X1226" s="56" t="str">
        <f>IFERROR(VLOOKUP(A1226,Output!A:F,6,0),"-")</f>
        <v>-</v>
      </c>
    </row>
    <row r="1227" spans="1:24" x14ac:dyDescent="0.25">
      <c r="A1227" s="21" t="s">
        <v>1337</v>
      </c>
      <c r="B1227" s="40" t="s">
        <v>1338</v>
      </c>
      <c r="C1227" s="21" t="s">
        <v>248</v>
      </c>
      <c r="D1227" s="21" t="s">
        <v>75</v>
      </c>
      <c r="E1227" s="21" t="s">
        <v>99</v>
      </c>
      <c r="F1227" s="55">
        <v>8.9188060903007735E-5</v>
      </c>
      <c r="G1227" s="24">
        <v>3.8387709999999999</v>
      </c>
      <c r="H1227" s="24">
        <v>5.6827969999999999</v>
      </c>
      <c r="I1227" s="24">
        <v>5.9459010000000001</v>
      </c>
      <c r="J1227" s="24">
        <v>5.0241179999999996</v>
      </c>
      <c r="K1227" s="24">
        <v>2.037112</v>
      </c>
      <c r="L1227" s="24">
        <v>4.2335539999999998</v>
      </c>
      <c r="M1227" s="24">
        <v>358.05259999999998</v>
      </c>
      <c r="N1227" s="24">
        <v>3.0792318775049141</v>
      </c>
      <c r="O1227" s="24">
        <v>0</v>
      </c>
      <c r="P1227" s="24">
        <v>2.2421524663677128</v>
      </c>
      <c r="Q1227" s="24">
        <v>7.0378942046509714</v>
      </c>
      <c r="R1227" s="24">
        <v>4.82</v>
      </c>
      <c r="S1227" s="24">
        <v>5.142081281460098</v>
      </c>
      <c r="T1227" s="24">
        <v>0.63841820300671281</v>
      </c>
      <c r="U1227" s="24" t="s">
        <v>3279</v>
      </c>
      <c r="V1227">
        <v>0</v>
      </c>
      <c r="W1227" s="21">
        <v>0</v>
      </c>
      <c r="X1227" s="56" t="str">
        <f>IFERROR(VLOOKUP(A1227,Output!A:F,6,0),"-")</f>
        <v>-</v>
      </c>
    </row>
    <row r="1228" spans="1:24" x14ac:dyDescent="0.25">
      <c r="A1228" s="21" t="s">
        <v>1260</v>
      </c>
      <c r="B1228" s="40" t="s">
        <v>1261</v>
      </c>
      <c r="C1228" s="21" t="s">
        <v>248</v>
      </c>
      <c r="D1228" s="21" t="s">
        <v>75</v>
      </c>
      <c r="E1228" s="21" t="s">
        <v>89</v>
      </c>
      <c r="F1228" s="55">
        <v>8.9070762942802521E-5</v>
      </c>
      <c r="G1228" s="24">
        <v>6.1234200000000003</v>
      </c>
      <c r="H1228" s="24">
        <v>5.5366039999999996</v>
      </c>
      <c r="I1228" s="24">
        <v>2.8434569999999999</v>
      </c>
      <c r="J1228" s="24">
        <v>4.7700469999999999</v>
      </c>
      <c r="K1228" s="24">
        <v>3.5922329999999998</v>
      </c>
      <c r="L1228" s="24">
        <v>11.23146</v>
      </c>
      <c r="M1228" s="24">
        <v>1.1460999999999999</v>
      </c>
      <c r="N1228" s="24">
        <v>6.3564598260456471</v>
      </c>
      <c r="O1228" s="24">
        <v>8.064516129032258</v>
      </c>
      <c r="P1228" s="24">
        <v>1.2707182320441988</v>
      </c>
      <c r="Q1228" s="24">
        <v>5.7075693464974142</v>
      </c>
      <c r="R1228" s="24">
        <v>5.9</v>
      </c>
      <c r="S1228" s="24">
        <v>5.1834026337213954</v>
      </c>
      <c r="T1228" s="24">
        <v>0.35876117720546885</v>
      </c>
      <c r="U1228" s="24" t="s">
        <v>3259</v>
      </c>
      <c r="V1228">
        <v>0</v>
      </c>
      <c r="W1228" s="21">
        <v>0</v>
      </c>
      <c r="X1228" s="56" t="str">
        <f>IFERROR(VLOOKUP(A1228,Output!A:F,6,0),"-")</f>
        <v>-</v>
      </c>
    </row>
    <row r="1229" spans="1:24" hidden="1" x14ac:dyDescent="0.25">
      <c r="A1229" s="21" t="s">
        <v>823</v>
      </c>
      <c r="B1229" s="40" t="s">
        <v>824</v>
      </c>
      <c r="C1229" s="21" t="s">
        <v>247</v>
      </c>
      <c r="D1229" s="21" t="s">
        <v>74</v>
      </c>
      <c r="E1229" s="21" t="s">
        <v>96</v>
      </c>
      <c r="F1229" s="55">
        <v>8.8955416762705379E-5</v>
      </c>
      <c r="G1229" s="24">
        <v>7.1044349999999996</v>
      </c>
      <c r="H1229" s="24">
        <v>5.1488209999999999</v>
      </c>
      <c r="I1229" s="24">
        <v>7.3313670000000002</v>
      </c>
      <c r="J1229" s="24">
        <v>6.5282080000000002</v>
      </c>
      <c r="K1229" s="24">
        <v>4.299582</v>
      </c>
      <c r="L1229" s="24">
        <v>3.061429</v>
      </c>
      <c r="M1229" s="53">
        <v>10.105399999999999</v>
      </c>
      <c r="N1229" s="24">
        <v>1.2570910139092708</v>
      </c>
      <c r="O1229" s="24">
        <v>0</v>
      </c>
      <c r="P1229" s="24">
        <v>7.3590504451038576</v>
      </c>
      <c r="Q1229" s="24">
        <v>5.8720213283822007</v>
      </c>
      <c r="R1229" s="24">
        <v>5.4</v>
      </c>
      <c r="S1229" s="24">
        <v>4.5891950554527599</v>
      </c>
      <c r="T1229" s="24">
        <v>0.2663486293702837</v>
      </c>
      <c r="U1229" s="24" t="s">
        <v>2831</v>
      </c>
      <c r="V1229">
        <v>0</v>
      </c>
      <c r="W1229" s="21">
        <v>0</v>
      </c>
      <c r="X1229" s="56" t="str">
        <f>IFERROR(VLOOKUP(A1229,Output!A:F,6,0),"-")</f>
        <v>-</v>
      </c>
    </row>
    <row r="1230" spans="1:24" hidden="1" x14ac:dyDescent="0.25">
      <c r="A1230" s="21" t="s">
        <v>438</v>
      </c>
      <c r="B1230" s="40" t="s">
        <v>678</v>
      </c>
      <c r="C1230" s="21" t="s">
        <v>245</v>
      </c>
      <c r="D1230" s="21" t="s">
        <v>73</v>
      </c>
      <c r="E1230" s="21" t="s">
        <v>95</v>
      </c>
      <c r="F1230" s="55">
        <v>8.8820432052861187E-5</v>
      </c>
      <c r="G1230" s="24">
        <v>6.2921129999999996</v>
      </c>
      <c r="H1230" s="24">
        <v>5.3799849999999996</v>
      </c>
      <c r="I1230" s="24">
        <v>4.4753470000000002</v>
      </c>
      <c r="J1230" s="24">
        <v>5.5646579999999997</v>
      </c>
      <c r="K1230" s="24">
        <v>5.7578480000000001</v>
      </c>
      <c r="L1230" s="24">
        <v>5.9827349999999999</v>
      </c>
      <c r="M1230" s="24">
        <v>508.97730000000001</v>
      </c>
      <c r="N1230" s="24">
        <v>6.005987065509756</v>
      </c>
      <c r="O1230" s="24">
        <v>5.0515463917525771</v>
      </c>
      <c r="P1230" s="24">
        <v>6.5217391304347814</v>
      </c>
      <c r="Q1230" s="24">
        <v>5.4318032198216528</v>
      </c>
      <c r="R1230" s="24">
        <v>8.4600000000000009</v>
      </c>
      <c r="S1230" s="24">
        <v>6.3982378150391677</v>
      </c>
      <c r="T1230" s="24">
        <v>0.59304928534856605</v>
      </c>
      <c r="U1230" s="24" t="s">
        <v>2905</v>
      </c>
      <c r="V1230">
        <v>0</v>
      </c>
      <c r="W1230" s="21">
        <v>0</v>
      </c>
      <c r="X1230" s="56" t="str">
        <f>IFERROR(VLOOKUP(A1230,Output!A:F,6,0),"-")</f>
        <v>-</v>
      </c>
    </row>
    <row r="1231" spans="1:24" hidden="1" x14ac:dyDescent="0.25">
      <c r="A1231" s="21" t="s">
        <v>408</v>
      </c>
      <c r="B1231" s="40" t="s">
        <v>409</v>
      </c>
      <c r="C1231" s="21" t="s">
        <v>245</v>
      </c>
      <c r="D1231" s="21" t="s">
        <v>73</v>
      </c>
      <c r="E1231" s="21" t="s">
        <v>86</v>
      </c>
      <c r="F1231" s="55">
        <v>8.8048201198459309E-5</v>
      </c>
      <c r="G1231" s="24">
        <v>5.7105050000000004</v>
      </c>
      <c r="H1231" s="24">
        <v>4.3006710000000004</v>
      </c>
      <c r="I1231" s="24">
        <v>5.3367560000000003</v>
      </c>
      <c r="J1231" s="24">
        <v>5.115977</v>
      </c>
      <c r="K1231" s="24">
        <v>2.5251549999999998</v>
      </c>
      <c r="L1231" s="24">
        <v>2.0655399999999999</v>
      </c>
      <c r="M1231" s="24">
        <v>1533.6769999999999</v>
      </c>
      <c r="N1231" s="24">
        <v>7.1229332191597727</v>
      </c>
      <c r="O1231" s="24">
        <v>0.41237113402061853</v>
      </c>
      <c r="P1231" s="24">
        <v>4.7777777777777777</v>
      </c>
      <c r="Q1231" s="24">
        <v>4.0376082889921854</v>
      </c>
      <c r="R1231" s="24">
        <v>6.98</v>
      </c>
      <c r="S1231" s="24">
        <v>4.4652188676918598</v>
      </c>
      <c r="T1231" s="24">
        <v>0.58032989831504944</v>
      </c>
      <c r="U1231" s="24" t="s">
        <v>2916</v>
      </c>
      <c r="V1231">
        <v>0</v>
      </c>
      <c r="W1231" s="21">
        <v>0</v>
      </c>
      <c r="X1231" s="56" t="str">
        <f>IFERROR(VLOOKUP(A1231,Output!A:F,6,0),"-")</f>
        <v>-</v>
      </c>
    </row>
    <row r="1232" spans="1:24" hidden="1" x14ac:dyDescent="0.25">
      <c r="A1232" s="21" t="s">
        <v>1480</v>
      </c>
      <c r="B1232" s="40" t="s">
        <v>1481</v>
      </c>
      <c r="C1232" s="21" t="s">
        <v>247</v>
      </c>
      <c r="D1232" s="21" t="s">
        <v>74</v>
      </c>
      <c r="E1232" s="21" t="s">
        <v>96</v>
      </c>
      <c r="F1232" s="55">
        <v>8.7623950603734751E-5</v>
      </c>
      <c r="G1232" s="24">
        <v>7.1241050000000001</v>
      </c>
      <c r="H1232" s="24">
        <v>7.4112999999999998</v>
      </c>
      <c r="I1232" s="24">
        <v>6.373672</v>
      </c>
      <c r="J1232" s="24">
        <v>6.9696930000000004</v>
      </c>
      <c r="K1232" s="24">
        <v>3.2116370000000001</v>
      </c>
      <c r="L1232" s="24">
        <v>6.2437310000000004</v>
      </c>
      <c r="M1232" s="24">
        <v>5.8417000000000003</v>
      </c>
      <c r="N1232" s="24">
        <v>0</v>
      </c>
      <c r="O1232" s="24">
        <v>3.4343434343434343</v>
      </c>
      <c r="P1232" s="24">
        <v>4.569732937685461</v>
      </c>
      <c r="Q1232" s="24">
        <v>5.1392749178681987</v>
      </c>
      <c r="R1232" s="24">
        <v>4.84</v>
      </c>
      <c r="S1232" s="24">
        <v>4.0638071108883356</v>
      </c>
      <c r="T1232" s="24">
        <v>0.5062683361865381</v>
      </c>
      <c r="U1232" s="24" t="s">
        <v>3402</v>
      </c>
      <c r="V1232">
        <v>0</v>
      </c>
      <c r="W1232" s="21">
        <v>0</v>
      </c>
      <c r="X1232" s="56" t="str">
        <f>IFERROR(VLOOKUP(A1232,Output!A:F,6,0),"-")</f>
        <v>-</v>
      </c>
    </row>
    <row r="1233" spans="1:24" hidden="1" x14ac:dyDescent="0.25">
      <c r="A1233" s="21" t="s">
        <v>596</v>
      </c>
      <c r="B1233" s="40" t="s">
        <v>979</v>
      </c>
      <c r="C1233" s="21" t="s">
        <v>250</v>
      </c>
      <c r="D1233" s="21" t="s">
        <v>76</v>
      </c>
      <c r="E1233" s="21" t="s">
        <v>97</v>
      </c>
      <c r="F1233" s="55">
        <v>8.7468713660088948E-5</v>
      </c>
      <c r="G1233" s="24">
        <v>7.0027999999999997</v>
      </c>
      <c r="H1233" s="24">
        <v>6.2298</v>
      </c>
      <c r="I1233" s="24">
        <v>8.0336820000000007</v>
      </c>
      <c r="J1233" s="24">
        <v>7.2605519999999997</v>
      </c>
      <c r="K1233" s="24">
        <v>4.3985060000000002</v>
      </c>
      <c r="L1233" s="24">
        <v>6.1658429999999997</v>
      </c>
      <c r="M1233" s="24">
        <v>16.805599999999998</v>
      </c>
      <c r="N1233" s="24">
        <v>2.7464960798289377</v>
      </c>
      <c r="O1233" s="24">
        <v>6.3013698630136981</v>
      </c>
      <c r="P1233" s="24">
        <v>4.2580645161290329</v>
      </c>
      <c r="Q1233" s="24">
        <v>7.8379128504024429</v>
      </c>
      <c r="R1233" s="24">
        <v>3.28</v>
      </c>
      <c r="S1233" s="24">
        <v>4.5195528552235489</v>
      </c>
      <c r="T1233" s="24">
        <v>0.45350645051254224</v>
      </c>
      <c r="U1233" s="24" t="s">
        <v>3154</v>
      </c>
      <c r="V1233">
        <v>0</v>
      </c>
      <c r="W1233" s="21">
        <v>0</v>
      </c>
      <c r="X1233" s="56" t="str">
        <f>IFERROR(VLOOKUP(A1233,Output!A:F,6,0),"-")</f>
        <v>-</v>
      </c>
    </row>
    <row r="1234" spans="1:24" hidden="1" x14ac:dyDescent="0.25">
      <c r="A1234" s="21" t="s">
        <v>1678</v>
      </c>
      <c r="B1234" s="40" t="s">
        <v>1679</v>
      </c>
      <c r="C1234" s="21" t="s">
        <v>247</v>
      </c>
      <c r="D1234" s="21" t="s">
        <v>74</v>
      </c>
      <c r="E1234" s="21" t="s">
        <v>98</v>
      </c>
      <c r="F1234" s="55">
        <v>8.7140049987048039E-5</v>
      </c>
      <c r="G1234" s="24">
        <v>5.7953849999999996</v>
      </c>
      <c r="H1234" s="24">
        <v>4.1027829999999996</v>
      </c>
      <c r="I1234" s="24">
        <v>6.459219</v>
      </c>
      <c r="J1234" s="24">
        <v>5.383877</v>
      </c>
      <c r="K1234" s="24">
        <v>4.8756950000000003</v>
      </c>
      <c r="L1234" s="24">
        <v>8.1488479999999992</v>
      </c>
      <c r="M1234" s="24">
        <v>23.0594</v>
      </c>
      <c r="N1234" s="24">
        <v>5.8046318686151714</v>
      </c>
      <c r="O1234" s="24">
        <v>7.5789473684210531</v>
      </c>
      <c r="P1234" s="24">
        <v>3.6170212765957448</v>
      </c>
      <c r="Q1234" s="24">
        <v>7.6594118620008729</v>
      </c>
      <c r="R1234" s="24">
        <v>7.08</v>
      </c>
      <c r="S1234" s="24">
        <v>5.7462788009083265</v>
      </c>
      <c r="T1234" s="24">
        <v>0.11708911749114669</v>
      </c>
      <c r="U1234" s="24" t="s">
        <v>3484</v>
      </c>
      <c r="V1234">
        <v>0</v>
      </c>
      <c r="W1234" s="21">
        <v>0</v>
      </c>
      <c r="X1234" s="56" t="str">
        <f>IFERROR(VLOOKUP(A1234,Output!A:F,6,0),"-")</f>
        <v>-</v>
      </c>
    </row>
    <row r="1235" spans="1:24" x14ac:dyDescent="0.25">
      <c r="A1235" s="21" t="s">
        <v>4215</v>
      </c>
      <c r="B1235" s="40" t="s">
        <v>4216</v>
      </c>
      <c r="C1235" s="21" t="s">
        <v>248</v>
      </c>
      <c r="D1235" s="21" t="s">
        <v>75</v>
      </c>
      <c r="E1235" s="21" t="s">
        <v>98</v>
      </c>
      <c r="F1235" s="55">
        <v>8.7037199223931311E-5</v>
      </c>
      <c r="G1235" s="21">
        <v>3.4613700000000001</v>
      </c>
      <c r="H1235" s="21">
        <v>4.8521510000000001</v>
      </c>
      <c r="I1235" s="21">
        <v>1.211473</v>
      </c>
      <c r="J1235" s="21">
        <v>3.1177239999999999</v>
      </c>
      <c r="K1235" s="24">
        <v>1.448844</v>
      </c>
      <c r="L1235" s="24">
        <v>4.7148250000000003</v>
      </c>
      <c r="M1235" s="24">
        <v>37.577199999999998</v>
      </c>
      <c r="N1235" s="24">
        <v>9.0570430733410952</v>
      </c>
      <c r="O1235" s="24">
        <v>5.6626506024096379</v>
      </c>
      <c r="P1235" s="24">
        <v>7.6923076923076925</v>
      </c>
      <c r="Q1235" s="24">
        <v>4.4301790308993869</v>
      </c>
      <c r="R1235" s="24">
        <v>4.03</v>
      </c>
      <c r="S1235" s="24">
        <v>5.5147878722495509</v>
      </c>
      <c r="T1235" s="24">
        <v>0.60768431415842628</v>
      </c>
      <c r="U1235" s="24" t="s">
        <v>4217</v>
      </c>
      <c r="V1235">
        <v>0</v>
      </c>
      <c r="W1235" s="21">
        <v>1</v>
      </c>
      <c r="X1235" s="56" t="str">
        <f>IFERROR(VLOOKUP(A1235,Output!A:F,6,0),"-")</f>
        <v>-</v>
      </c>
    </row>
    <row r="1236" spans="1:24" x14ac:dyDescent="0.25">
      <c r="A1236" s="21" t="s">
        <v>1280</v>
      </c>
      <c r="B1236" s="40" t="s">
        <v>1281</v>
      </c>
      <c r="C1236" s="21" t="s">
        <v>248</v>
      </c>
      <c r="D1236" s="21" t="s">
        <v>75</v>
      </c>
      <c r="E1236" s="21" t="s">
        <v>87</v>
      </c>
      <c r="F1236" s="55">
        <v>8.7002902221929455E-5</v>
      </c>
      <c r="G1236" s="24">
        <v>4.2615470000000002</v>
      </c>
      <c r="H1236" s="24">
        <v>5.2937120000000002</v>
      </c>
      <c r="I1236" s="24">
        <v>3.8081399999999999</v>
      </c>
      <c r="J1236" s="24">
        <v>4.454466</v>
      </c>
      <c r="K1236" s="24">
        <v>1.0265569999999999</v>
      </c>
      <c r="L1236" s="24">
        <v>8.6480049999999995</v>
      </c>
      <c r="M1236" s="24">
        <v>846.72149999999999</v>
      </c>
      <c r="N1236" s="24">
        <v>8.4056567020250714</v>
      </c>
      <c r="O1236" s="24">
        <v>9.7333333333333307</v>
      </c>
      <c r="P1236" s="24">
        <v>4.6341463414634152</v>
      </c>
      <c r="Q1236" s="24">
        <v>3.9792002382902671</v>
      </c>
      <c r="R1236" s="24">
        <v>4.01</v>
      </c>
      <c r="S1236" s="24">
        <v>4.3970433201458494</v>
      </c>
      <c r="T1236" s="24">
        <v>0.54374594806288989</v>
      </c>
      <c r="U1236" s="24" t="s">
        <v>3275</v>
      </c>
      <c r="V1236">
        <v>0</v>
      </c>
      <c r="W1236" s="21">
        <v>1</v>
      </c>
      <c r="X1236" s="56" t="str">
        <f>IFERROR(VLOOKUP(A1236,Output!A:F,6,0),"-")</f>
        <v>-</v>
      </c>
    </row>
    <row r="1237" spans="1:24" hidden="1" x14ac:dyDescent="0.25">
      <c r="A1237" s="21" t="s">
        <v>462</v>
      </c>
      <c r="B1237" s="40" t="s">
        <v>689</v>
      </c>
      <c r="C1237" s="21" t="s">
        <v>244</v>
      </c>
      <c r="D1237" s="21" t="s">
        <v>73</v>
      </c>
      <c r="E1237" s="21" t="s">
        <v>92</v>
      </c>
      <c r="F1237" s="55">
        <v>8.6776606397339363E-5</v>
      </c>
      <c r="G1237" s="24">
        <v>4.8075669999999997</v>
      </c>
      <c r="H1237" s="24">
        <v>4.3994410000000004</v>
      </c>
      <c r="I1237" s="24">
        <v>4.5316879999999999</v>
      </c>
      <c r="J1237" s="24">
        <v>4.5795649999999997</v>
      </c>
      <c r="K1237" s="24">
        <v>2.053545E-2</v>
      </c>
      <c r="L1237" s="24">
        <v>7.0127870000000003</v>
      </c>
      <c r="M1237" s="24">
        <v>19.116099999999999</v>
      </c>
      <c r="N1237" s="24">
        <v>6.7424247159090918</v>
      </c>
      <c r="O1237" s="24">
        <v>4.141414141414141</v>
      </c>
      <c r="P1237" s="24">
        <v>8.1977334780731894</v>
      </c>
      <c r="Q1237" s="24">
        <v>4.9960180514998669</v>
      </c>
      <c r="R1237" s="24" t="e">
        <v>#N/A</v>
      </c>
      <c r="S1237" s="24">
        <v>6.0790982585898501</v>
      </c>
      <c r="T1237" s="24">
        <v>1.2898629275690736</v>
      </c>
      <c r="U1237" s="24" t="s">
        <v>2906</v>
      </c>
      <c r="V1237">
        <v>0</v>
      </c>
      <c r="W1237" s="21">
        <v>1</v>
      </c>
      <c r="X1237" s="56" t="str">
        <f>IFERROR(VLOOKUP(A1237,Output!A:F,6,0),"-")</f>
        <v>-</v>
      </c>
    </row>
    <row r="1238" spans="1:24" hidden="1" x14ac:dyDescent="0.25">
      <c r="A1238" s="21" t="s">
        <v>4178</v>
      </c>
      <c r="B1238" s="40" t="s">
        <v>4179</v>
      </c>
      <c r="C1238" s="21" t="s">
        <v>244</v>
      </c>
      <c r="D1238" s="21" t="s">
        <v>73</v>
      </c>
      <c r="E1238" s="21" t="s">
        <v>89</v>
      </c>
      <c r="F1238" s="55">
        <v>8.6308189232128408E-5</v>
      </c>
      <c r="G1238" s="24">
        <v>3.9092910000000001</v>
      </c>
      <c r="H1238" s="24">
        <v>2.4698150000000001</v>
      </c>
      <c r="I1238" s="24">
        <v>4.794759</v>
      </c>
      <c r="J1238" s="24">
        <v>3.7430889999999999</v>
      </c>
      <c r="K1238" s="24">
        <v>0</v>
      </c>
      <c r="L1238" s="24">
        <v>9.1379149999999996</v>
      </c>
      <c r="M1238" s="24">
        <v>45.270899999999997</v>
      </c>
      <c r="N1238" s="24">
        <v>10</v>
      </c>
      <c r="O1238" s="24">
        <v>9.6907216494845354</v>
      </c>
      <c r="P1238" s="24">
        <v>5.4663212435233177</v>
      </c>
      <c r="Q1238" s="24">
        <v>4.2516855501006683</v>
      </c>
      <c r="R1238" s="24" t="e">
        <v>#N/A</v>
      </c>
      <c r="S1238" s="24">
        <v>5.5123784297133565</v>
      </c>
      <c r="T1238" s="24">
        <v>1.2421149709695329</v>
      </c>
      <c r="U1238" s="24" t="s">
        <v>4180</v>
      </c>
      <c r="V1238">
        <v>0</v>
      </c>
      <c r="W1238" s="21">
        <v>1</v>
      </c>
      <c r="X1238" s="56" t="str">
        <f>IFERROR(VLOOKUP(A1238,Output!A:F,6,0),"-")</f>
        <v>-</v>
      </c>
    </row>
    <row r="1239" spans="1:24" hidden="1" x14ac:dyDescent="0.25">
      <c r="A1239" s="21" t="s">
        <v>2328</v>
      </c>
      <c r="B1239" s="40" t="s">
        <v>2329</v>
      </c>
      <c r="C1239" s="21" t="s">
        <v>256</v>
      </c>
      <c r="D1239" s="21" t="s">
        <v>74</v>
      </c>
      <c r="E1239" s="21" t="s">
        <v>102</v>
      </c>
      <c r="F1239" s="55">
        <v>8.6306287755631399E-5</v>
      </c>
      <c r="G1239" s="21">
        <v>5.3987309999999997</v>
      </c>
      <c r="H1239" s="21">
        <v>7.8207630000000004</v>
      </c>
      <c r="I1239" s="21">
        <v>7.4679279999999997</v>
      </c>
      <c r="J1239" s="21">
        <v>6.296977</v>
      </c>
      <c r="K1239" s="24">
        <v>6.5345779999999998</v>
      </c>
      <c r="L1239" s="24">
        <v>8.5225080000000002</v>
      </c>
      <c r="M1239" s="24">
        <v>547.85630000000003</v>
      </c>
      <c r="N1239" s="24">
        <v>8.1686920275229724</v>
      </c>
      <c r="O1239" s="24">
        <v>2.5274725274725278</v>
      </c>
      <c r="P1239" s="24">
        <v>6.7682926829268295</v>
      </c>
      <c r="Q1239" s="24">
        <v>5.6649450330526596</v>
      </c>
      <c r="R1239" s="24">
        <v>7.42</v>
      </c>
      <c r="S1239" s="24">
        <v>6.8348897890103677</v>
      </c>
      <c r="T1239" s="24">
        <v>0.13795590063794658</v>
      </c>
      <c r="U1239" s="24" t="s">
        <v>3842</v>
      </c>
      <c r="V1239">
        <v>0</v>
      </c>
      <c r="W1239" s="21">
        <v>0</v>
      </c>
      <c r="X1239" s="56" t="str">
        <f>IFERROR(VLOOKUP(A1239,Output!A:F,6,0),"-")</f>
        <v>-</v>
      </c>
    </row>
    <row r="1240" spans="1:24" x14ac:dyDescent="0.25">
      <c r="A1240" s="21" t="s">
        <v>1101</v>
      </c>
      <c r="B1240" s="40" t="s">
        <v>1102</v>
      </c>
      <c r="C1240" s="21" t="s">
        <v>248</v>
      </c>
      <c r="D1240" s="21" t="s">
        <v>75</v>
      </c>
      <c r="E1240" s="21" t="s">
        <v>99</v>
      </c>
      <c r="F1240" s="55">
        <v>8.6221264592264534E-5</v>
      </c>
      <c r="G1240" s="24">
        <v>3.7737880000000001</v>
      </c>
      <c r="H1240" s="24">
        <v>4.497458</v>
      </c>
      <c r="I1240" s="24">
        <v>1.9975210000000001</v>
      </c>
      <c r="J1240" s="24">
        <v>3.3527490000000002</v>
      </c>
      <c r="K1240" s="24">
        <v>1.2990440000000001</v>
      </c>
      <c r="L1240" s="24">
        <v>5.9347779999999997</v>
      </c>
      <c r="M1240" s="24">
        <v>23.6556</v>
      </c>
      <c r="N1240" s="24">
        <v>7.9732206864384727</v>
      </c>
      <c r="O1240" s="24">
        <v>8.9247311827956981</v>
      </c>
      <c r="P1240" s="24">
        <v>6.8939393939393954</v>
      </c>
      <c r="Q1240" s="24">
        <v>3.3742132216394376</v>
      </c>
      <c r="R1240" s="24">
        <v>3.9</v>
      </c>
      <c r="S1240" s="24">
        <v>5.5110243627993416</v>
      </c>
      <c r="T1240" s="24">
        <v>0.40847459042319423</v>
      </c>
      <c r="U1240" s="24" t="s">
        <v>3231</v>
      </c>
      <c r="V1240">
        <v>0</v>
      </c>
      <c r="W1240" s="21">
        <v>1</v>
      </c>
      <c r="X1240" s="56" t="str">
        <f>IFERROR(VLOOKUP(A1240,Output!A:F,6,0),"-")</f>
        <v>-</v>
      </c>
    </row>
    <row r="1241" spans="1:24" hidden="1" x14ac:dyDescent="0.25">
      <c r="A1241" s="21" t="s">
        <v>421</v>
      </c>
      <c r="B1241" s="40" t="s">
        <v>701</v>
      </c>
      <c r="C1241" s="21" t="s">
        <v>245</v>
      </c>
      <c r="D1241" s="21" t="s">
        <v>73</v>
      </c>
      <c r="E1241" s="21" t="s">
        <v>98</v>
      </c>
      <c r="F1241" s="55">
        <v>8.6141855311888888E-5</v>
      </c>
      <c r="G1241" s="24">
        <v>7.0326690000000003</v>
      </c>
      <c r="H1241" s="24">
        <v>5.0657750000000004</v>
      </c>
      <c r="I1241" s="24">
        <v>5.4170559999999996</v>
      </c>
      <c r="J1241" s="24">
        <v>5.599666</v>
      </c>
      <c r="K1241" s="24">
        <v>5.2478350000000002</v>
      </c>
      <c r="L1241" s="24">
        <v>7.9111500000000001</v>
      </c>
      <c r="M1241" s="24">
        <v>7.3150000000000004</v>
      </c>
      <c r="N1241" s="24">
        <v>5.2217061185314382</v>
      </c>
      <c r="O1241" s="24">
        <v>0.4081632653061224</v>
      </c>
      <c r="P1241" s="24">
        <v>5.2935514736999103</v>
      </c>
      <c r="Q1241" s="24">
        <v>6.4945668289365956</v>
      </c>
      <c r="R1241" s="24">
        <v>8.2799999999999994</v>
      </c>
      <c r="S1241" s="24">
        <v>6.9657168380744849</v>
      </c>
      <c r="T1241" s="24">
        <v>0.86254469356336749</v>
      </c>
      <c r="U1241" s="24" t="s">
        <v>2924</v>
      </c>
      <c r="V1241">
        <v>0</v>
      </c>
      <c r="W1241" s="21">
        <v>0</v>
      </c>
      <c r="X1241" s="56" t="str">
        <f>IFERROR(VLOOKUP(A1241,Output!A:F,6,0),"-")</f>
        <v>-</v>
      </c>
    </row>
    <row r="1242" spans="1:24" x14ac:dyDescent="0.25">
      <c r="A1242" s="21" t="s">
        <v>1154</v>
      </c>
      <c r="B1242" s="40" t="s">
        <v>1155</v>
      </c>
      <c r="C1242" s="21" t="s">
        <v>248</v>
      </c>
      <c r="D1242" s="21" t="s">
        <v>75</v>
      </c>
      <c r="E1242" s="21" t="s">
        <v>99</v>
      </c>
      <c r="F1242" s="55">
        <v>8.5888858330562836E-5</v>
      </c>
      <c r="G1242" s="21">
        <v>3.0670269999999999</v>
      </c>
      <c r="H1242" s="21">
        <v>3.438418</v>
      </c>
      <c r="I1242" s="21">
        <v>2.940849</v>
      </c>
      <c r="J1242" s="21">
        <v>3.1487639999999999</v>
      </c>
      <c r="K1242" s="24">
        <v>2.2588840000000001</v>
      </c>
      <c r="L1242" s="24">
        <v>3.229867</v>
      </c>
      <c r="M1242" s="24">
        <v>6.2233999999999998</v>
      </c>
      <c r="N1242" s="24">
        <v>7.4039626292894747</v>
      </c>
      <c r="O1242" s="24">
        <v>6.6666666666666661</v>
      </c>
      <c r="P1242" s="24">
        <v>5.2914798206278029</v>
      </c>
      <c r="Q1242" s="24">
        <v>3.6077232452352321</v>
      </c>
      <c r="R1242" s="24">
        <v>4.95</v>
      </c>
      <c r="S1242" s="24">
        <v>4.477521022616461</v>
      </c>
      <c r="T1242" s="24">
        <v>0.55548846187952527</v>
      </c>
      <c r="U1242" s="24" t="s">
        <v>3207</v>
      </c>
      <c r="V1242">
        <v>0</v>
      </c>
      <c r="W1242" s="21">
        <v>1</v>
      </c>
      <c r="X1242" s="56" t="str">
        <f>IFERROR(VLOOKUP(A1242,Output!A:F,6,0),"-")</f>
        <v>-</v>
      </c>
    </row>
    <row r="1243" spans="1:24" hidden="1" x14ac:dyDescent="0.25">
      <c r="A1243" s="21" t="s">
        <v>1740</v>
      </c>
      <c r="B1243" s="40" t="s">
        <v>1741</v>
      </c>
      <c r="C1243" s="21" t="s">
        <v>258</v>
      </c>
      <c r="D1243" s="21" t="s">
        <v>74</v>
      </c>
      <c r="E1243" s="21" t="s">
        <v>91</v>
      </c>
      <c r="F1243" s="55">
        <v>8.5812587995515583E-5</v>
      </c>
      <c r="G1243" s="24">
        <v>5.7588419999999996</v>
      </c>
      <c r="H1243" s="24">
        <v>5.4979449999999996</v>
      </c>
      <c r="I1243" s="24">
        <v>5.5660590000000001</v>
      </c>
      <c r="J1243" s="24">
        <v>5.5773700000000002</v>
      </c>
      <c r="K1243" s="24">
        <v>2.8693770000000001</v>
      </c>
      <c r="L1243" s="24">
        <v>5.4543879999999998</v>
      </c>
      <c r="M1243" s="24">
        <v>29.803000000000001</v>
      </c>
      <c r="N1243" s="24">
        <v>4.7280996587030728</v>
      </c>
      <c r="O1243" s="24">
        <v>9.5876288659793811</v>
      </c>
      <c r="P1243" s="24">
        <v>6.6666666666666687</v>
      </c>
      <c r="Q1243" s="24">
        <v>4.3431468469269774</v>
      </c>
      <c r="R1243" s="24">
        <v>6.26</v>
      </c>
      <c r="S1243" s="24">
        <v>6.193139956978257</v>
      </c>
      <c r="T1243" s="24">
        <v>0.47481371337877776</v>
      </c>
      <c r="U1243" s="24" t="s">
        <v>3545</v>
      </c>
      <c r="V1243">
        <v>0</v>
      </c>
      <c r="W1243" s="21">
        <v>0</v>
      </c>
      <c r="X1243" s="56" t="str">
        <f>IFERROR(VLOOKUP(A1243,Output!A:F,6,0),"-")</f>
        <v>-</v>
      </c>
    </row>
    <row r="1244" spans="1:24" x14ac:dyDescent="0.25">
      <c r="A1244" s="21" t="s">
        <v>1339</v>
      </c>
      <c r="B1244" s="40" t="s">
        <v>1340</v>
      </c>
      <c r="C1244" s="21" t="s">
        <v>248</v>
      </c>
      <c r="D1244" s="21" t="s">
        <v>75</v>
      </c>
      <c r="E1244" s="21" t="s">
        <v>98</v>
      </c>
      <c r="F1244" s="55">
        <v>8.5752736759109303E-5</v>
      </c>
      <c r="G1244" s="24">
        <v>5.879486</v>
      </c>
      <c r="H1244" s="24">
        <v>5.4177780000000002</v>
      </c>
      <c r="I1244" s="24">
        <v>1.9294480000000001</v>
      </c>
      <c r="J1244" s="24">
        <v>4.5559630000000002</v>
      </c>
      <c r="K1244" s="24">
        <v>0.95027410000000001</v>
      </c>
      <c r="L1244" s="24">
        <v>5.0742190000000003</v>
      </c>
      <c r="M1244" s="24">
        <v>24.298200000000001</v>
      </c>
      <c r="N1244" s="24">
        <v>5.4213696729519389</v>
      </c>
      <c r="O1244" s="24">
        <v>7.3118279569892479</v>
      </c>
      <c r="P1244" s="24">
        <v>0</v>
      </c>
      <c r="Q1244" s="24">
        <v>3.4271595850984635</v>
      </c>
      <c r="R1244" s="24">
        <v>3.01</v>
      </c>
      <c r="S1244" s="24">
        <v>3.0072531438665839</v>
      </c>
      <c r="T1244" s="24">
        <v>0.19390128804439588</v>
      </c>
      <c r="U1244" s="24" t="s">
        <v>3335</v>
      </c>
      <c r="V1244">
        <v>0</v>
      </c>
      <c r="W1244" s="21">
        <v>1</v>
      </c>
      <c r="X1244" s="56" t="str">
        <f>IFERROR(VLOOKUP(A1244,Output!A:F,6,0),"-")</f>
        <v>-</v>
      </c>
    </row>
    <row r="1245" spans="1:24" hidden="1" x14ac:dyDescent="0.25">
      <c r="A1245" s="21" t="s">
        <v>586</v>
      </c>
      <c r="B1245" s="40" t="s">
        <v>965</v>
      </c>
      <c r="C1245" s="21" t="s">
        <v>244</v>
      </c>
      <c r="D1245" s="21" t="s">
        <v>73</v>
      </c>
      <c r="E1245" s="21" t="s">
        <v>94</v>
      </c>
      <c r="F1245" s="55">
        <v>8.5603204244954567E-5</v>
      </c>
      <c r="G1245" s="24">
        <v>5.6734210000000003</v>
      </c>
      <c r="H1245" s="24">
        <v>5.9272869999999998</v>
      </c>
      <c r="I1245" s="24">
        <v>3.73584</v>
      </c>
      <c r="J1245" s="24">
        <v>4.9999349999999998</v>
      </c>
      <c r="K1245" s="24">
        <v>1.7002379999999999</v>
      </c>
      <c r="L1245" s="24">
        <v>7.4788899999999998</v>
      </c>
      <c r="M1245" s="24">
        <v>3.8885999999999998</v>
      </c>
      <c r="N1245" s="24">
        <v>3.6929904886808256</v>
      </c>
      <c r="O1245" s="24">
        <v>0.1020408163265306</v>
      </c>
      <c r="P1245" s="24">
        <v>0.99133779014952006</v>
      </c>
      <c r="Q1245" s="24">
        <v>6.5276150721199979</v>
      </c>
      <c r="R1245" s="24">
        <v>4.08</v>
      </c>
      <c r="S1245" s="24">
        <v>3.9062731646539444</v>
      </c>
      <c r="T1245" s="24">
        <v>1.3124117221269287</v>
      </c>
      <c r="U1245" s="24" t="s">
        <v>3099</v>
      </c>
      <c r="V1245">
        <v>0</v>
      </c>
      <c r="W1245" s="21">
        <v>0</v>
      </c>
      <c r="X1245" s="56" t="str">
        <f>IFERROR(VLOOKUP(A1245,Output!A:F,6,0),"-")</f>
        <v>-</v>
      </c>
    </row>
    <row r="1246" spans="1:24" hidden="1" x14ac:dyDescent="0.25">
      <c r="A1246" s="21" t="s">
        <v>406</v>
      </c>
      <c r="B1246" s="40" t="s">
        <v>407</v>
      </c>
      <c r="C1246" s="21" t="s">
        <v>245</v>
      </c>
      <c r="D1246" s="21" t="s">
        <v>73</v>
      </c>
      <c r="E1246" s="21" t="s">
        <v>89</v>
      </c>
      <c r="F1246" s="55">
        <v>8.4905955953157495E-5</v>
      </c>
      <c r="G1246" s="24">
        <v>0</v>
      </c>
      <c r="H1246" s="24">
        <v>3.751163</v>
      </c>
      <c r="I1246" s="24">
        <v>0</v>
      </c>
      <c r="J1246" s="24">
        <v>1.312907</v>
      </c>
      <c r="K1246" s="24">
        <v>0.39484829999999999</v>
      </c>
      <c r="L1246" s="24">
        <v>9.7501750000000005</v>
      </c>
      <c r="M1246" s="24">
        <v>6.4767999999999999</v>
      </c>
      <c r="N1246" s="24">
        <v>0</v>
      </c>
      <c r="O1246" s="24">
        <v>10</v>
      </c>
      <c r="P1246" s="24">
        <v>6.0880829015544045</v>
      </c>
      <c r="Q1246" s="24">
        <v>7.2765094244213593</v>
      </c>
      <c r="R1246" s="24" t="e">
        <v>#N/A</v>
      </c>
      <c r="S1246" s="24">
        <v>5.1748178118448971</v>
      </c>
      <c r="T1246" s="24">
        <v>0.8522987959576751</v>
      </c>
      <c r="U1246" s="24" t="s">
        <v>2897</v>
      </c>
      <c r="V1246">
        <v>0</v>
      </c>
      <c r="W1246" s="21">
        <v>1</v>
      </c>
      <c r="X1246" s="56" t="str">
        <f>IFERROR(VLOOKUP(A1246,Output!A:F,6,0),"-")</f>
        <v>-</v>
      </c>
    </row>
    <row r="1247" spans="1:24" hidden="1" x14ac:dyDescent="0.25">
      <c r="A1247" s="21" t="s">
        <v>297</v>
      </c>
      <c r="B1247" s="40" t="s">
        <v>4543</v>
      </c>
      <c r="C1247" s="21" t="s">
        <v>249</v>
      </c>
      <c r="D1247" s="21" t="s">
        <v>74</v>
      </c>
      <c r="E1247" s="21" t="s">
        <v>92</v>
      </c>
      <c r="F1247" s="55">
        <v>8.4835561079878844E-5</v>
      </c>
      <c r="G1247" s="24">
        <v>6.551984</v>
      </c>
      <c r="H1247" s="24">
        <v>2.671646</v>
      </c>
      <c r="I1247" s="24">
        <v>1.889751</v>
      </c>
      <c r="J1247" s="24">
        <v>3.9892129999999999</v>
      </c>
      <c r="K1247" s="24">
        <v>4.8122119999999997</v>
      </c>
      <c r="L1247" s="24">
        <v>11.641870000000001</v>
      </c>
      <c r="M1247" s="24">
        <v>20.6313</v>
      </c>
      <c r="N1247" s="24">
        <v>10</v>
      </c>
      <c r="O1247" s="24">
        <v>1.6326530612244896</v>
      </c>
      <c r="P1247" s="24">
        <v>4.2739726027397262</v>
      </c>
      <c r="Q1247" s="24">
        <v>9.1543686669000781</v>
      </c>
      <c r="R1247" s="24">
        <v>8.1300000000000008</v>
      </c>
      <c r="S1247" s="24">
        <v>6.7939013981310072</v>
      </c>
      <c r="T1247" s="24">
        <v>0.7318603870538245</v>
      </c>
      <c r="U1247" s="24" t="s">
        <v>2829</v>
      </c>
      <c r="V1247">
        <v>0</v>
      </c>
      <c r="W1247" s="21">
        <v>1</v>
      </c>
      <c r="X1247" s="56" t="str">
        <f>IFERROR(VLOOKUP(A1247,Output!A:F,6,0),"-")</f>
        <v>-</v>
      </c>
    </row>
    <row r="1248" spans="1:24" hidden="1" x14ac:dyDescent="0.25">
      <c r="A1248" s="21" t="s">
        <v>2093</v>
      </c>
      <c r="B1248" s="40" t="s">
        <v>2094</v>
      </c>
      <c r="C1248" s="21" t="s">
        <v>1752</v>
      </c>
      <c r="D1248" s="21" t="s">
        <v>74</v>
      </c>
      <c r="E1248" s="21" t="s">
        <v>98</v>
      </c>
      <c r="F1248" s="55">
        <v>8.455579251676137E-5</v>
      </c>
      <c r="G1248" s="24">
        <v>7.0280750000000003</v>
      </c>
      <c r="H1248" s="24">
        <v>7.7547990000000002</v>
      </c>
      <c r="I1248" s="24">
        <v>6.019183</v>
      </c>
      <c r="J1248" s="24">
        <v>6.9152079999999998</v>
      </c>
      <c r="K1248" s="24">
        <v>3.6427649999999998</v>
      </c>
      <c r="L1248" s="24">
        <v>5.5255700000000001</v>
      </c>
      <c r="M1248" s="24">
        <v>50.244900000000001</v>
      </c>
      <c r="N1248" s="24">
        <v>9.8293209283341003</v>
      </c>
      <c r="O1248" s="24">
        <v>6.8421052631578947</v>
      </c>
      <c r="P1248" s="24">
        <v>9.2340425531914896</v>
      </c>
      <c r="Q1248" s="24">
        <v>6.5253129745620706</v>
      </c>
      <c r="R1248" s="24">
        <v>5.1700010000000001</v>
      </c>
      <c r="S1248" s="24">
        <v>6.690047560604703</v>
      </c>
      <c r="T1248" s="24">
        <v>6.7677104601313251E-2</v>
      </c>
      <c r="U1248" s="24" t="s">
        <v>3745</v>
      </c>
      <c r="V1248">
        <v>0</v>
      </c>
      <c r="W1248" s="21">
        <v>0</v>
      </c>
      <c r="X1248" s="56" t="str">
        <f>IFERROR(VLOOKUP(A1248,Output!A:F,6,0),"-")</f>
        <v>-</v>
      </c>
    </row>
    <row r="1249" spans="1:24" x14ac:dyDescent="0.25">
      <c r="A1249" s="21" t="s">
        <v>1091</v>
      </c>
      <c r="B1249" s="40" t="s">
        <v>1092</v>
      </c>
      <c r="C1249" s="21" t="s">
        <v>248</v>
      </c>
      <c r="D1249" s="21" t="s">
        <v>75</v>
      </c>
      <c r="E1249" s="21" t="s">
        <v>99</v>
      </c>
      <c r="F1249" s="55">
        <v>8.4376540629208725E-5</v>
      </c>
      <c r="G1249" s="21">
        <v>4.08969</v>
      </c>
      <c r="H1249" s="21">
        <v>6.5933679999999999</v>
      </c>
      <c r="I1249" s="21">
        <v>2.3492899999999999</v>
      </c>
      <c r="J1249" s="21">
        <v>4.3441159999999996</v>
      </c>
      <c r="K1249" s="24">
        <v>1.6968160000000001</v>
      </c>
      <c r="L1249" s="24">
        <v>4.6279539999999999</v>
      </c>
      <c r="M1249" s="24">
        <v>17.972200000000001</v>
      </c>
      <c r="N1249" s="24">
        <v>4.1776713191879535</v>
      </c>
      <c r="O1249" s="24">
        <v>4.5555555555555554</v>
      </c>
      <c r="P1249" s="24">
        <v>7.3542600896860977</v>
      </c>
      <c r="Q1249" s="24">
        <v>7.2768130433761939</v>
      </c>
      <c r="R1249" s="24">
        <v>4.76</v>
      </c>
      <c r="S1249" s="24">
        <v>6.7936050881566024</v>
      </c>
      <c r="T1249" s="24">
        <v>0.2311505409623614</v>
      </c>
      <c r="U1249" s="24" t="s">
        <v>3194</v>
      </c>
      <c r="V1249">
        <v>0</v>
      </c>
      <c r="W1249" s="21">
        <v>1</v>
      </c>
      <c r="X1249" s="56" t="str">
        <f>IFERROR(VLOOKUP(A1249,Output!A:F,6,0),"-")</f>
        <v>-</v>
      </c>
    </row>
    <row r="1250" spans="1:24" hidden="1" x14ac:dyDescent="0.25">
      <c r="A1250" s="21" t="s">
        <v>1809</v>
      </c>
      <c r="B1250" s="40" t="s">
        <v>1810</v>
      </c>
      <c r="C1250" s="21" t="s">
        <v>247</v>
      </c>
      <c r="D1250" s="21" t="s">
        <v>74</v>
      </c>
      <c r="E1250" s="21" t="s">
        <v>101</v>
      </c>
      <c r="F1250" s="55">
        <v>8.4232229629879147E-5</v>
      </c>
      <c r="G1250" s="21">
        <v>7.9608379999999999</v>
      </c>
      <c r="H1250" s="21">
        <v>7.3075260000000002</v>
      </c>
      <c r="I1250" s="21">
        <v>5.2391300000000003</v>
      </c>
      <c r="J1250" s="21">
        <v>6.61083</v>
      </c>
      <c r="K1250" s="24">
        <v>2.4224169999999998</v>
      </c>
      <c r="L1250" s="24">
        <v>3.9333749999999998</v>
      </c>
      <c r="M1250" s="24">
        <v>5.8253000000000004</v>
      </c>
      <c r="N1250" s="24">
        <v>2.6457907340617703</v>
      </c>
      <c r="O1250" s="24">
        <v>1.1111111111111112</v>
      </c>
      <c r="P1250" s="24">
        <v>0</v>
      </c>
      <c r="Q1250" s="24">
        <v>4.2220179720799749</v>
      </c>
      <c r="R1250" s="24">
        <v>3.23</v>
      </c>
      <c r="S1250" s="24">
        <v>1.9822395599162885</v>
      </c>
      <c r="T1250" s="24">
        <v>0.382339060895731</v>
      </c>
      <c r="U1250" s="24" t="s">
        <v>3622</v>
      </c>
      <c r="V1250">
        <v>0</v>
      </c>
      <c r="W1250" s="21">
        <v>0</v>
      </c>
      <c r="X1250" s="56" t="str">
        <f>IFERROR(VLOOKUP(A1250,Output!A:F,6,0),"-")</f>
        <v>-</v>
      </c>
    </row>
    <row r="1251" spans="1:24" x14ac:dyDescent="0.25">
      <c r="A1251" s="21" t="s">
        <v>1186</v>
      </c>
      <c r="B1251" s="40" t="s">
        <v>1187</v>
      </c>
      <c r="C1251" s="21" t="s">
        <v>248</v>
      </c>
      <c r="D1251" s="21" t="s">
        <v>75</v>
      </c>
      <c r="E1251" s="21" t="s">
        <v>90</v>
      </c>
      <c r="F1251" s="55">
        <v>8.390948166149564E-5</v>
      </c>
      <c r="G1251" s="21">
        <v>4.3229369999999996</v>
      </c>
      <c r="H1251" s="21">
        <v>6.8460799999999997</v>
      </c>
      <c r="I1251" s="21">
        <v>2.362663</v>
      </c>
      <c r="J1251" s="21">
        <v>4.491797</v>
      </c>
      <c r="K1251" s="24">
        <v>2.811483</v>
      </c>
      <c r="L1251" s="24">
        <v>5.5048389999999996</v>
      </c>
      <c r="M1251" s="24">
        <v>60.748399999999997</v>
      </c>
      <c r="N1251" s="24">
        <v>1.3659301513387656</v>
      </c>
      <c r="O1251" s="24">
        <v>4.2168674698795181</v>
      </c>
      <c r="P1251" s="24">
        <v>5.8461538461538467</v>
      </c>
      <c r="Q1251" s="24">
        <v>6.4327127476472787</v>
      </c>
      <c r="R1251" s="24">
        <v>5.69</v>
      </c>
      <c r="S1251" s="24">
        <v>5.2036423424835103</v>
      </c>
      <c r="T1251" s="24">
        <v>-4.9942027163539231E-2</v>
      </c>
      <c r="U1251" s="24" t="s">
        <v>3228</v>
      </c>
      <c r="V1251">
        <v>0</v>
      </c>
      <c r="W1251" s="21">
        <v>1</v>
      </c>
      <c r="X1251" s="56" t="str">
        <f>IFERROR(VLOOKUP(A1251,Output!A:F,6,0),"-")</f>
        <v>-</v>
      </c>
    </row>
    <row r="1252" spans="1:24" hidden="1" x14ac:dyDescent="0.25">
      <c r="A1252" s="21" t="s">
        <v>2565</v>
      </c>
      <c r="B1252" s="40" t="s">
        <v>2566</v>
      </c>
      <c r="C1252" s="21" t="s">
        <v>246</v>
      </c>
      <c r="D1252" s="21" t="s">
        <v>74</v>
      </c>
      <c r="E1252" s="21" t="s">
        <v>92</v>
      </c>
      <c r="F1252" s="55">
        <v>8.3696103804218672E-5</v>
      </c>
      <c r="G1252" s="21">
        <v>5.4637479999999998</v>
      </c>
      <c r="H1252" s="21">
        <v>6.1992779999999996</v>
      </c>
      <c r="I1252" s="21">
        <v>6.2430260000000004</v>
      </c>
      <c r="J1252" s="21">
        <v>5.9181900000000001</v>
      </c>
      <c r="K1252" s="24">
        <v>5.5834289999999998</v>
      </c>
      <c r="L1252" s="24">
        <v>8.3373849999999994</v>
      </c>
      <c r="M1252" s="24">
        <v>32.866</v>
      </c>
      <c r="N1252" s="24">
        <v>1.3950622222222226</v>
      </c>
      <c r="O1252" s="24">
        <v>8.8775510204081627</v>
      </c>
      <c r="P1252" s="24">
        <v>6.4109589041095898</v>
      </c>
      <c r="Q1252" s="24">
        <v>6.7824827103258141</v>
      </c>
      <c r="R1252" s="24">
        <v>6.27</v>
      </c>
      <c r="S1252" s="24">
        <v>6.6684641642640603</v>
      </c>
      <c r="T1252" s="24">
        <v>0.49674274392226414</v>
      </c>
      <c r="U1252" s="24" t="s">
        <v>3992</v>
      </c>
      <c r="V1252">
        <v>0</v>
      </c>
      <c r="W1252" s="21">
        <v>0</v>
      </c>
      <c r="X1252" s="56" t="str">
        <f>IFERROR(VLOOKUP(A1252,Output!A:F,6,0),"-")</f>
        <v>-</v>
      </c>
    </row>
    <row r="1253" spans="1:24" x14ac:dyDescent="0.25">
      <c r="A1253" s="21" t="s">
        <v>1705</v>
      </c>
      <c r="B1253" s="40" t="s">
        <v>1706</v>
      </c>
      <c r="C1253" s="21" t="s">
        <v>248</v>
      </c>
      <c r="D1253" s="21" t="s">
        <v>75</v>
      </c>
      <c r="E1253" s="21" t="s">
        <v>90</v>
      </c>
      <c r="F1253" s="55">
        <v>8.3690550285560683E-5</v>
      </c>
      <c r="G1253" s="24">
        <v>3.1915969999999998</v>
      </c>
      <c r="H1253" s="24">
        <v>4.6929689999999997</v>
      </c>
      <c r="I1253" s="24">
        <v>2.6484179999999999</v>
      </c>
      <c r="J1253" s="24">
        <v>3.4790549999999998</v>
      </c>
      <c r="K1253" s="24">
        <v>1.936849</v>
      </c>
      <c r="L1253" s="24">
        <v>3.0917520000000001</v>
      </c>
      <c r="M1253" s="24">
        <v>27.901700000000002</v>
      </c>
      <c r="N1253" s="24">
        <v>3.1625913853317797</v>
      </c>
      <c r="O1253" s="24">
        <v>0</v>
      </c>
      <c r="P1253" s="24">
        <v>6.3461538461538458</v>
      </c>
      <c r="Q1253" s="24">
        <v>4.1746235711666131</v>
      </c>
      <c r="R1253" s="24">
        <v>5.3</v>
      </c>
      <c r="S1253" s="24">
        <v>4.430638346422044</v>
      </c>
      <c r="T1253" s="24">
        <v>-1.1083423390432375E-3</v>
      </c>
      <c r="U1253" s="24" t="s">
        <v>3527</v>
      </c>
      <c r="V1253">
        <v>0</v>
      </c>
      <c r="W1253" s="21">
        <v>1</v>
      </c>
      <c r="X1253" s="56" t="str">
        <f>IFERROR(VLOOKUP(A1253,Output!A:F,6,0),"-")</f>
        <v>-</v>
      </c>
    </row>
    <row r="1254" spans="1:24" hidden="1" x14ac:dyDescent="0.25">
      <c r="A1254" s="21" t="s">
        <v>1476</v>
      </c>
      <c r="B1254" s="40" t="s">
        <v>1477</v>
      </c>
      <c r="C1254" s="21" t="s">
        <v>247</v>
      </c>
      <c r="D1254" s="21" t="s">
        <v>74</v>
      </c>
      <c r="E1254" s="21" t="s">
        <v>97</v>
      </c>
      <c r="F1254" s="55">
        <v>8.333780124355751E-5</v>
      </c>
      <c r="G1254" s="21">
        <v>8.501118</v>
      </c>
      <c r="H1254" s="21">
        <v>5.4811439999999996</v>
      </c>
      <c r="I1254" s="21">
        <v>7.4123060000000001</v>
      </c>
      <c r="J1254" s="21">
        <v>7.4615980000000004</v>
      </c>
      <c r="K1254" s="24">
        <v>6.2385580000000003</v>
      </c>
      <c r="L1254" s="24">
        <v>8.4176859999999998</v>
      </c>
      <c r="M1254" s="24">
        <v>34.198300000000003</v>
      </c>
      <c r="N1254" s="24">
        <v>6.2945857966870218</v>
      </c>
      <c r="O1254" s="24">
        <v>0</v>
      </c>
      <c r="P1254" s="24">
        <v>4.7560975609756087</v>
      </c>
      <c r="Q1254" s="24">
        <v>10</v>
      </c>
      <c r="R1254" s="24">
        <v>6.22</v>
      </c>
      <c r="S1254" s="24">
        <v>6.7738606373443178</v>
      </c>
      <c r="T1254" s="24">
        <v>0.43194847596971203</v>
      </c>
      <c r="U1254" s="24" t="s">
        <v>3400</v>
      </c>
      <c r="V1254">
        <v>0</v>
      </c>
      <c r="W1254" s="21">
        <v>0</v>
      </c>
      <c r="X1254" s="56" t="str">
        <f>IFERROR(VLOOKUP(A1254,Output!A:F,6,0),"-")</f>
        <v>-</v>
      </c>
    </row>
    <row r="1255" spans="1:24" hidden="1" x14ac:dyDescent="0.25">
      <c r="A1255" s="21" t="s">
        <v>1955</v>
      </c>
      <c r="B1255" s="40" t="s">
        <v>1956</v>
      </c>
      <c r="C1255" s="21" t="s">
        <v>246</v>
      </c>
      <c r="D1255" s="21" t="s">
        <v>74</v>
      </c>
      <c r="E1255" s="21" t="s">
        <v>89</v>
      </c>
      <c r="F1255" s="55">
        <v>8.3153418387679558E-5</v>
      </c>
      <c r="G1255" s="24">
        <v>6.9053740000000001</v>
      </c>
      <c r="H1255" s="24">
        <v>8.2656379999999992</v>
      </c>
      <c r="I1255" s="24">
        <v>2.8002549999999999</v>
      </c>
      <c r="J1255" s="24">
        <v>5.944674</v>
      </c>
      <c r="K1255" s="24">
        <v>2.2234319999999999</v>
      </c>
      <c r="L1255" s="24">
        <v>18.36337</v>
      </c>
      <c r="M1255" s="24">
        <v>0.33445999999999998</v>
      </c>
      <c r="N1255" s="24">
        <v>0</v>
      </c>
      <c r="O1255" s="24">
        <v>9.0909090909090899</v>
      </c>
      <c r="P1255" s="24">
        <v>9.4210526315789469</v>
      </c>
      <c r="Q1255" s="24">
        <v>7.2491730981256888</v>
      </c>
      <c r="R1255" s="24">
        <v>2.27</v>
      </c>
      <c r="S1255" s="24">
        <v>6.3912550916636892</v>
      </c>
      <c r="T1255" s="24">
        <v>0.54230109426017226</v>
      </c>
      <c r="U1255" s="24" t="s">
        <v>3639</v>
      </c>
      <c r="V1255">
        <v>0</v>
      </c>
      <c r="W1255" s="21">
        <v>0</v>
      </c>
      <c r="X1255" s="56" t="str">
        <f>IFERROR(VLOOKUP(A1255,Output!A:F,6,0),"-")</f>
        <v>-</v>
      </c>
    </row>
    <row r="1256" spans="1:24" hidden="1" x14ac:dyDescent="0.25">
      <c r="A1256" s="21" t="s">
        <v>1951</v>
      </c>
      <c r="B1256" s="40" t="s">
        <v>1952</v>
      </c>
      <c r="C1256" s="21" t="s">
        <v>254</v>
      </c>
      <c r="D1256" s="21" t="s">
        <v>74</v>
      </c>
      <c r="E1256" s="21" t="s">
        <v>90</v>
      </c>
      <c r="F1256" s="55">
        <v>8.3051070660673156E-5</v>
      </c>
      <c r="G1256" s="24">
        <v>6.4160300000000001</v>
      </c>
      <c r="H1256" s="24">
        <v>5.2021769999999998</v>
      </c>
      <c r="I1256" s="24">
        <v>6.368379</v>
      </c>
      <c r="J1256" s="24">
        <v>6.037579</v>
      </c>
      <c r="K1256" s="24">
        <v>2.2550539999999999</v>
      </c>
      <c r="L1256" s="24">
        <v>4.2933349999999999</v>
      </c>
      <c r="M1256" s="24">
        <v>56.080800000000004</v>
      </c>
      <c r="N1256" s="24">
        <v>4.6632127194887358</v>
      </c>
      <c r="O1256" s="24">
        <v>1.263157894736842</v>
      </c>
      <c r="P1256" s="24">
        <v>7.5744680851063828</v>
      </c>
      <c r="Q1256" s="24">
        <v>5.1718123351715963</v>
      </c>
      <c r="R1256" s="24">
        <v>4.07</v>
      </c>
      <c r="S1256" s="24">
        <v>5.0591222166865641</v>
      </c>
      <c r="T1256" s="24">
        <v>0.34749927377237738</v>
      </c>
      <c r="U1256" s="24" t="s">
        <v>3637</v>
      </c>
      <c r="V1256">
        <v>0</v>
      </c>
      <c r="W1256" s="21">
        <v>0</v>
      </c>
      <c r="X1256" s="56" t="str">
        <f>IFERROR(VLOOKUP(A1256,Output!A:F,6,0),"-")</f>
        <v>-</v>
      </c>
    </row>
    <row r="1257" spans="1:24" x14ac:dyDescent="0.25">
      <c r="A1257" s="21" t="s">
        <v>1309</v>
      </c>
      <c r="B1257" s="40" t="s">
        <v>1310</v>
      </c>
      <c r="C1257" s="21" t="s">
        <v>248</v>
      </c>
      <c r="D1257" s="21" t="s">
        <v>75</v>
      </c>
      <c r="E1257" s="21" t="s">
        <v>103</v>
      </c>
      <c r="F1257" s="55">
        <v>8.2687445977964766E-5</v>
      </c>
      <c r="G1257" s="24">
        <v>3.9691719999999999</v>
      </c>
      <c r="H1257" s="24">
        <v>3.8716080000000002</v>
      </c>
      <c r="I1257" s="24">
        <v>3.901939</v>
      </c>
      <c r="J1257" s="24">
        <v>3.9197329999999999</v>
      </c>
      <c r="K1257" s="24">
        <v>2.862968</v>
      </c>
      <c r="L1257" s="24">
        <v>9.489827</v>
      </c>
      <c r="M1257" s="24">
        <v>104.18989999999999</v>
      </c>
      <c r="N1257" s="24">
        <v>8.0099767923327274</v>
      </c>
      <c r="O1257" s="24">
        <v>5.053763440860215</v>
      </c>
      <c r="P1257" s="24">
        <v>2.6515151515151523</v>
      </c>
      <c r="Q1257" s="24">
        <v>7.9338970508840934</v>
      </c>
      <c r="R1257" s="24">
        <v>5.74</v>
      </c>
      <c r="S1257" s="24">
        <v>6.0459689657880737</v>
      </c>
      <c r="T1257" s="24">
        <v>0.40319430996712174</v>
      </c>
      <c r="U1257" s="24" t="s">
        <v>3334</v>
      </c>
      <c r="V1257">
        <v>0</v>
      </c>
      <c r="W1257" s="21">
        <v>1</v>
      </c>
      <c r="X1257" s="56" t="str">
        <f>IFERROR(VLOOKUP(A1257,Output!A:F,6,0),"-")</f>
        <v>-</v>
      </c>
    </row>
    <row r="1258" spans="1:24" hidden="1" x14ac:dyDescent="0.25">
      <c r="A1258" s="21" t="s">
        <v>1907</v>
      </c>
      <c r="B1258" s="40" t="s">
        <v>1908</v>
      </c>
      <c r="C1258" s="21" t="s">
        <v>257</v>
      </c>
      <c r="D1258" s="21" t="s">
        <v>74</v>
      </c>
      <c r="E1258" s="21" t="s">
        <v>92</v>
      </c>
      <c r="F1258" s="55">
        <v>8.2682455859750371E-5</v>
      </c>
      <c r="G1258" s="24">
        <v>6.6554599999999997</v>
      </c>
      <c r="H1258" s="24">
        <v>6.7359689999999999</v>
      </c>
      <c r="I1258" s="24">
        <v>4.7961330000000002</v>
      </c>
      <c r="J1258" s="24">
        <v>6.1218139999999996</v>
      </c>
      <c r="K1258" s="24">
        <v>2.546805</v>
      </c>
      <c r="L1258" s="24">
        <v>6.3696999999999999</v>
      </c>
      <c r="M1258" s="24">
        <v>26.778400000000001</v>
      </c>
      <c r="N1258" s="24">
        <v>1.5037037037037038</v>
      </c>
      <c r="O1258" s="24">
        <v>4.4897959183673466</v>
      </c>
      <c r="P1258" s="24">
        <v>5.9726027397260273</v>
      </c>
      <c r="Q1258" s="24">
        <v>5.7424250332026237</v>
      </c>
      <c r="R1258" s="24">
        <v>5.84</v>
      </c>
      <c r="S1258" s="24">
        <v>5.0255057826230241</v>
      </c>
      <c r="T1258" s="24">
        <v>0.54857776674561576</v>
      </c>
      <c r="U1258" s="24" t="s">
        <v>3618</v>
      </c>
      <c r="V1258">
        <v>0</v>
      </c>
      <c r="W1258" s="21">
        <v>0</v>
      </c>
      <c r="X1258" s="56" t="str">
        <f>IFERROR(VLOOKUP(A1258,Output!A:F,6,0),"-")</f>
        <v>-</v>
      </c>
    </row>
    <row r="1259" spans="1:24" hidden="1" x14ac:dyDescent="0.25">
      <c r="A1259" s="21" t="s">
        <v>2077</v>
      </c>
      <c r="B1259" s="40" t="s">
        <v>2078</v>
      </c>
      <c r="C1259" s="21" t="s">
        <v>1441</v>
      </c>
      <c r="D1259" s="21" t="s">
        <v>74</v>
      </c>
      <c r="E1259" s="21" t="s">
        <v>102</v>
      </c>
      <c r="F1259" s="55">
        <v>8.260273469698632E-5</v>
      </c>
      <c r="G1259" s="21">
        <v>3.947444</v>
      </c>
      <c r="H1259" s="21">
        <v>4.7815839999999996</v>
      </c>
      <c r="I1259" s="21">
        <v>7.6413820000000001</v>
      </c>
      <c r="J1259" s="21">
        <v>4.8530600000000002</v>
      </c>
      <c r="K1259" s="24">
        <v>8.2532289999999993</v>
      </c>
      <c r="L1259" s="24">
        <v>8.4169149999999995</v>
      </c>
      <c r="M1259" s="24">
        <v>1081.336</v>
      </c>
      <c r="N1259" s="24">
        <v>0</v>
      </c>
      <c r="O1259" s="24">
        <v>1.098901098901099</v>
      </c>
      <c r="P1259" s="24">
        <v>7.4390243902439028</v>
      </c>
      <c r="Q1259" s="24">
        <v>7.6354842568952783</v>
      </c>
      <c r="R1259" s="24">
        <v>5.71</v>
      </c>
      <c r="S1259" s="24">
        <v>5.5320911017178043</v>
      </c>
      <c r="T1259" s="24">
        <v>0.3151655639410727</v>
      </c>
      <c r="U1259" s="24" t="s">
        <v>3674</v>
      </c>
      <c r="V1259">
        <v>1</v>
      </c>
      <c r="W1259" s="21">
        <v>0</v>
      </c>
      <c r="X1259" s="56" t="str">
        <f>IFERROR(VLOOKUP(A1259,Output!A:F,6,0),"-")</f>
        <v>-</v>
      </c>
    </row>
    <row r="1260" spans="1:24" x14ac:dyDescent="0.25">
      <c r="A1260" s="21" t="s">
        <v>538</v>
      </c>
      <c r="B1260" s="40" t="s">
        <v>936</v>
      </c>
      <c r="C1260" s="21" t="s">
        <v>248</v>
      </c>
      <c r="D1260" s="21" t="s">
        <v>75</v>
      </c>
      <c r="E1260" s="21" t="s">
        <v>87</v>
      </c>
      <c r="F1260" s="55">
        <v>8.2548678436570957E-5</v>
      </c>
      <c r="G1260" s="24">
        <v>4.0536269999999996</v>
      </c>
      <c r="H1260" s="24">
        <v>5.1723309999999998</v>
      </c>
      <c r="I1260" s="24">
        <v>4.10893</v>
      </c>
      <c r="J1260" s="24">
        <v>4.4449630000000004</v>
      </c>
      <c r="K1260" s="24">
        <v>0.58870199999999995</v>
      </c>
      <c r="L1260" s="24">
        <v>1.409284</v>
      </c>
      <c r="M1260" s="24">
        <v>290.12880000000001</v>
      </c>
      <c r="N1260" s="24">
        <v>0</v>
      </c>
      <c r="O1260" s="24">
        <v>4.1333333333333329</v>
      </c>
      <c r="P1260" s="24">
        <v>0</v>
      </c>
      <c r="Q1260" s="24">
        <v>0</v>
      </c>
      <c r="R1260" s="24">
        <v>3.36</v>
      </c>
      <c r="S1260" s="24">
        <v>1.5</v>
      </c>
      <c r="T1260" s="24">
        <v>0.15387500478152979</v>
      </c>
      <c r="U1260" s="24" t="s">
        <v>3045</v>
      </c>
      <c r="V1260">
        <v>0</v>
      </c>
      <c r="W1260" s="21">
        <v>1</v>
      </c>
      <c r="X1260" s="56" t="str">
        <f>IFERROR(VLOOKUP(A1260,Output!A:F,6,0),"-")</f>
        <v>-</v>
      </c>
    </row>
    <row r="1261" spans="1:24" hidden="1" x14ac:dyDescent="0.25">
      <c r="A1261" s="21" t="s">
        <v>1178</v>
      </c>
      <c r="B1261" s="40" t="s">
        <v>1179</v>
      </c>
      <c r="C1261" s="21" t="s">
        <v>294</v>
      </c>
      <c r="D1261" s="21" t="s">
        <v>77</v>
      </c>
      <c r="E1261" s="21" t="s">
        <v>92</v>
      </c>
      <c r="F1261" s="55">
        <v>8.2477991802348328E-5</v>
      </c>
      <c r="G1261" s="21">
        <v>4.4915719999999997</v>
      </c>
      <c r="H1261" s="21">
        <v>5.3631609999999998</v>
      </c>
      <c r="I1261" s="21">
        <v>3.9844599999999999</v>
      </c>
      <c r="J1261" s="21">
        <v>4.6009149999999996</v>
      </c>
      <c r="K1261" s="24">
        <v>0.96192880000000003</v>
      </c>
      <c r="L1261" s="24">
        <v>3.1222289999999999</v>
      </c>
      <c r="M1261" s="24">
        <v>30.713999999999999</v>
      </c>
      <c r="N1261" s="24" t="e">
        <v>#N/A</v>
      </c>
      <c r="O1261" s="24" t="e">
        <v>#N/A</v>
      </c>
      <c r="P1261" s="24" t="e">
        <v>#N/A</v>
      </c>
      <c r="Q1261" s="24" t="e">
        <v>#N/A</v>
      </c>
      <c r="R1261" s="24" t="e">
        <v>#N/A</v>
      </c>
      <c r="S1261" s="24" t="e">
        <v>#N/A</v>
      </c>
      <c r="T1261" s="24">
        <v>0.28509059672665565</v>
      </c>
      <c r="U1261" s="24" t="s">
        <v>3255</v>
      </c>
      <c r="V1261">
        <v>0</v>
      </c>
      <c r="W1261" s="21">
        <v>1</v>
      </c>
      <c r="X1261" s="56" t="str">
        <f>IFERROR(VLOOKUP(A1261,Output!A:F,6,0),"-")</f>
        <v>-</v>
      </c>
    </row>
    <row r="1262" spans="1:24" x14ac:dyDescent="0.25">
      <c r="A1262" s="21" t="s">
        <v>1452</v>
      </c>
      <c r="B1262" s="40" t="s">
        <v>1453</v>
      </c>
      <c r="C1262" s="21" t="s">
        <v>248</v>
      </c>
      <c r="D1262" s="21" t="s">
        <v>75</v>
      </c>
      <c r="E1262" s="21" t="s">
        <v>90</v>
      </c>
      <c r="F1262" s="55">
        <v>8.2205688295108046E-5</v>
      </c>
      <c r="G1262" s="24">
        <v>6.0125760000000001</v>
      </c>
      <c r="H1262" s="24">
        <v>5.5999179999999997</v>
      </c>
      <c r="I1262" s="24">
        <v>2.5146160000000002</v>
      </c>
      <c r="J1262" s="24">
        <v>4.839391</v>
      </c>
      <c r="K1262" s="24">
        <v>1.655435</v>
      </c>
      <c r="L1262" s="24">
        <v>4.0860469999999998</v>
      </c>
      <c r="M1262" s="24">
        <v>117.13509999999999</v>
      </c>
      <c r="N1262" s="24">
        <v>9.82537834691502</v>
      </c>
      <c r="O1262" s="24">
        <v>5.1807228915662638</v>
      </c>
      <c r="P1262" s="24">
        <v>7.2692307692307692</v>
      </c>
      <c r="Q1262" s="24">
        <v>1.5749839980015596</v>
      </c>
      <c r="R1262" s="24">
        <v>4.84</v>
      </c>
      <c r="S1262" s="24">
        <v>4.9009755227965783</v>
      </c>
      <c r="T1262" s="24">
        <v>1.9502205069240813E-2</v>
      </c>
      <c r="U1262" s="24" t="s">
        <v>3395</v>
      </c>
      <c r="V1262">
        <v>0</v>
      </c>
      <c r="W1262" s="21">
        <v>0</v>
      </c>
      <c r="X1262" s="56" t="str">
        <f>IFERROR(VLOOKUP(A1262,Output!A:F,6,0),"-")</f>
        <v>-</v>
      </c>
    </row>
    <row r="1263" spans="1:24" hidden="1" x14ac:dyDescent="0.25">
      <c r="A1263" s="21" t="s">
        <v>1246</v>
      </c>
      <c r="B1263" s="40" t="s">
        <v>1247</v>
      </c>
      <c r="C1263" s="21" t="s">
        <v>250</v>
      </c>
      <c r="D1263" s="21" t="s">
        <v>76</v>
      </c>
      <c r="E1263" s="21" t="s">
        <v>88</v>
      </c>
      <c r="F1263" s="55">
        <v>8.1968013793702439E-5</v>
      </c>
      <c r="G1263" s="21">
        <v>6.0341300000000002</v>
      </c>
      <c r="H1263" s="21">
        <v>5.5021699999999996</v>
      </c>
      <c r="I1263" s="21">
        <v>2.4570430000000001</v>
      </c>
      <c r="J1263" s="21">
        <v>4.8014159999999997</v>
      </c>
      <c r="K1263" s="24">
        <v>0.93288700000000002</v>
      </c>
      <c r="L1263" s="24">
        <v>3.5372659999999998</v>
      </c>
      <c r="M1263" s="24">
        <v>20.834700000000002</v>
      </c>
      <c r="N1263" s="24">
        <v>2.2904755553903646</v>
      </c>
      <c r="O1263" s="24">
        <v>9.3939393939393963</v>
      </c>
      <c r="P1263" s="24">
        <v>5.4922279792746123</v>
      </c>
      <c r="Q1263" s="24">
        <v>1.3188947192140221</v>
      </c>
      <c r="R1263" s="24">
        <v>3.13</v>
      </c>
      <c r="S1263" s="24">
        <v>3.1639115689782193</v>
      </c>
      <c r="T1263" s="24">
        <v>0.50816663629742009</v>
      </c>
      <c r="U1263" s="24" t="s">
        <v>3268</v>
      </c>
      <c r="V1263">
        <v>0</v>
      </c>
      <c r="W1263" s="21">
        <v>0</v>
      </c>
      <c r="X1263" s="56" t="str">
        <f>IFERROR(VLOOKUP(A1263,Output!A:F,6,0),"-")</f>
        <v>-</v>
      </c>
    </row>
    <row r="1264" spans="1:24" hidden="1" x14ac:dyDescent="0.25">
      <c r="A1264" s="21" t="s">
        <v>1602</v>
      </c>
      <c r="B1264" s="40" t="s">
        <v>1603</v>
      </c>
      <c r="C1264" s="21" t="s">
        <v>249</v>
      </c>
      <c r="D1264" s="21" t="s">
        <v>74</v>
      </c>
      <c r="E1264" s="21" t="s">
        <v>97</v>
      </c>
      <c r="F1264" s="55">
        <v>8.1882336683392157E-5</v>
      </c>
      <c r="G1264" s="24">
        <v>8.5486749999999994</v>
      </c>
      <c r="H1264" s="24">
        <v>5.825698</v>
      </c>
      <c r="I1264" s="24">
        <v>7.0780770000000004</v>
      </c>
      <c r="J1264" s="24">
        <v>7.4158410000000003</v>
      </c>
      <c r="K1264" s="24">
        <v>7.7111280000000004</v>
      </c>
      <c r="L1264" s="24">
        <v>10.04678</v>
      </c>
      <c r="M1264" s="24">
        <v>46.116900000000001</v>
      </c>
      <c r="N1264" s="24">
        <v>6.2910358415565799</v>
      </c>
      <c r="O1264" s="24">
        <v>6.5432098765432114</v>
      </c>
      <c r="P1264" s="24">
        <v>8.5772357723577244</v>
      </c>
      <c r="Q1264" s="24">
        <v>9.8235459422885008</v>
      </c>
      <c r="R1264" s="24">
        <v>6.16</v>
      </c>
      <c r="S1264" s="24">
        <v>8.7380312985367112</v>
      </c>
      <c r="T1264" s="24">
        <v>0.22070301566641781</v>
      </c>
      <c r="U1264" s="24" t="s">
        <v>3462</v>
      </c>
      <c r="V1264">
        <v>0</v>
      </c>
      <c r="W1264" s="21">
        <v>0</v>
      </c>
      <c r="X1264" s="56" t="str">
        <f>IFERROR(VLOOKUP(A1264,Output!A:F,6,0),"-")</f>
        <v>-</v>
      </c>
    </row>
    <row r="1265" spans="1:24" x14ac:dyDescent="0.25">
      <c r="A1265" s="21" t="s">
        <v>505</v>
      </c>
      <c r="B1265" s="40" t="s">
        <v>959</v>
      </c>
      <c r="C1265" s="21" t="s">
        <v>248</v>
      </c>
      <c r="D1265" s="21" t="s">
        <v>75</v>
      </c>
      <c r="E1265" s="21" t="s">
        <v>87</v>
      </c>
      <c r="F1265" s="55">
        <v>8.1826238096368887E-5</v>
      </c>
      <c r="G1265" s="24">
        <v>4.5990919999999997</v>
      </c>
      <c r="H1265" s="24">
        <v>7.2663380000000002</v>
      </c>
      <c r="I1265" s="24">
        <v>2.9658959999999999</v>
      </c>
      <c r="J1265" s="24">
        <v>4.9437749999999996</v>
      </c>
      <c r="K1265" s="24">
        <v>3.348481</v>
      </c>
      <c r="L1265" s="24">
        <v>7.1369540000000002</v>
      </c>
      <c r="M1265" s="24">
        <v>528.14660000000003</v>
      </c>
      <c r="N1265" s="24">
        <v>1.9061388621022179</v>
      </c>
      <c r="O1265" s="24">
        <v>1.7333333333333336</v>
      </c>
      <c r="P1265" s="24">
        <v>3.4634146341463423</v>
      </c>
      <c r="Q1265" s="24">
        <v>5.7100305309405019</v>
      </c>
      <c r="R1265" s="24">
        <v>7.35</v>
      </c>
      <c r="S1265" s="24">
        <v>4.6402178993889773</v>
      </c>
      <c r="T1265" s="24">
        <v>0.44246706794201035</v>
      </c>
      <c r="U1265" s="24" t="s">
        <v>3066</v>
      </c>
      <c r="V1265">
        <v>0</v>
      </c>
      <c r="W1265" s="21">
        <v>0</v>
      </c>
      <c r="X1265" s="56" t="str">
        <f>IFERROR(VLOOKUP(A1265,Output!A:F,6,0),"-")</f>
        <v>-</v>
      </c>
    </row>
    <row r="1266" spans="1:24" hidden="1" x14ac:dyDescent="0.25">
      <c r="A1266" s="21" t="s">
        <v>1668</v>
      </c>
      <c r="B1266" s="40" t="s">
        <v>1669</v>
      </c>
      <c r="C1266" s="21" t="s">
        <v>257</v>
      </c>
      <c r="D1266" s="21" t="s">
        <v>74</v>
      </c>
      <c r="E1266" s="21" t="s">
        <v>99</v>
      </c>
      <c r="F1266" s="55">
        <v>8.1481205628298068E-5</v>
      </c>
      <c r="G1266" s="24">
        <v>3.9396119999999999</v>
      </c>
      <c r="H1266" s="24">
        <v>5.7473749999999999</v>
      </c>
      <c r="I1266" s="24">
        <v>6.3327910000000003</v>
      </c>
      <c r="J1266" s="24">
        <v>5.3399260000000002</v>
      </c>
      <c r="K1266" s="24">
        <v>0.60371830000000004</v>
      </c>
      <c r="L1266" s="24">
        <v>2.0678930000000002</v>
      </c>
      <c r="M1266" s="24">
        <v>0.80561000000000005</v>
      </c>
      <c r="N1266" s="24">
        <v>7.7666847644108792</v>
      </c>
      <c r="O1266" s="24">
        <v>9.0109890109890127</v>
      </c>
      <c r="P1266" s="24">
        <v>7.2268905698749961</v>
      </c>
      <c r="Q1266" s="24">
        <v>0.78406540353458853</v>
      </c>
      <c r="R1266" s="24">
        <v>2.67</v>
      </c>
      <c r="S1266" s="24">
        <v>3.9932444112629071</v>
      </c>
      <c r="T1266" s="24">
        <v>1.0908522374126604</v>
      </c>
      <c r="U1266" s="24" t="s">
        <v>3507</v>
      </c>
      <c r="V1266">
        <v>0</v>
      </c>
      <c r="W1266" s="21">
        <v>0</v>
      </c>
      <c r="X1266" s="56" t="str">
        <f>IFERROR(VLOOKUP(A1266,Output!A:F,6,0),"-")</f>
        <v>-</v>
      </c>
    </row>
    <row r="1267" spans="1:24" hidden="1" x14ac:dyDescent="0.25">
      <c r="A1267" s="21" t="s">
        <v>1620</v>
      </c>
      <c r="B1267" s="40" t="s">
        <v>1621</v>
      </c>
      <c r="C1267" s="21" t="s">
        <v>251</v>
      </c>
      <c r="D1267" s="21" t="s">
        <v>74</v>
      </c>
      <c r="E1267" s="21" t="s">
        <v>90</v>
      </c>
      <c r="F1267" s="55">
        <v>8.1342196629571303E-5</v>
      </c>
      <c r="G1267" s="24">
        <v>7.464296</v>
      </c>
      <c r="H1267" s="24">
        <v>5.691662</v>
      </c>
      <c r="I1267" s="24">
        <v>3.8773059999999999</v>
      </c>
      <c r="J1267" s="24">
        <v>5.8564090000000002</v>
      </c>
      <c r="K1267" s="24">
        <v>4.7858900000000002</v>
      </c>
      <c r="L1267" s="24">
        <v>7.2364850000000001</v>
      </c>
      <c r="M1267" s="24">
        <v>35.887999999999998</v>
      </c>
      <c r="N1267" s="24">
        <v>3.0508986925265886</v>
      </c>
      <c r="O1267" s="24">
        <v>5.7894736842105265</v>
      </c>
      <c r="P1267" s="24">
        <v>6.2978723404255321</v>
      </c>
      <c r="Q1267" s="24">
        <v>6.4246832810348407</v>
      </c>
      <c r="R1267" s="24">
        <v>6.06</v>
      </c>
      <c r="S1267" s="24">
        <v>6.2279391803140447</v>
      </c>
      <c r="T1267" s="24">
        <v>0.13382707940085542</v>
      </c>
      <c r="U1267" s="24" t="s">
        <v>3447</v>
      </c>
      <c r="V1267">
        <v>0</v>
      </c>
      <c r="W1267" s="21">
        <v>0</v>
      </c>
      <c r="X1267" s="56" t="str">
        <f>IFERROR(VLOOKUP(A1267,Output!A:F,6,0),"-")</f>
        <v>-</v>
      </c>
    </row>
    <row r="1268" spans="1:24" hidden="1" x14ac:dyDescent="0.25">
      <c r="A1268" s="21" t="s">
        <v>1381</v>
      </c>
      <c r="B1268" s="40" t="s">
        <v>1382</v>
      </c>
      <c r="C1268" s="21" t="s">
        <v>254</v>
      </c>
      <c r="D1268" s="21" t="s">
        <v>74</v>
      </c>
      <c r="E1268" s="21" t="s">
        <v>99</v>
      </c>
      <c r="F1268" s="55">
        <v>8.1269085361296899E-5</v>
      </c>
      <c r="G1268" s="24">
        <v>7.5128149999999998</v>
      </c>
      <c r="H1268" s="24">
        <v>6.2518649999999996</v>
      </c>
      <c r="I1268" s="24">
        <v>7.2014180000000003</v>
      </c>
      <c r="J1268" s="24">
        <v>6.9886990000000004</v>
      </c>
      <c r="K1268" s="24">
        <v>1.8750329999999999</v>
      </c>
      <c r="L1268" s="24">
        <v>3.7733050000000001</v>
      </c>
      <c r="M1268" s="24">
        <v>6.2243000000000004</v>
      </c>
      <c r="N1268" s="24">
        <v>1.5895936079019659</v>
      </c>
      <c r="O1268" s="24">
        <v>5.0549450549450556</v>
      </c>
      <c r="P1268" s="24">
        <v>2.3361339385636262</v>
      </c>
      <c r="Q1268" s="24">
        <v>4.8660441892750157</v>
      </c>
      <c r="R1268" s="24">
        <v>7.24</v>
      </c>
      <c r="S1268" s="24">
        <v>3.2956813636812048</v>
      </c>
      <c r="T1268" s="24">
        <v>0.59835913064259616</v>
      </c>
      <c r="U1268" s="24" t="s">
        <v>3401</v>
      </c>
      <c r="V1268">
        <v>0</v>
      </c>
      <c r="W1268" s="21">
        <v>0</v>
      </c>
      <c r="X1268" s="56" t="str">
        <f>IFERROR(VLOOKUP(A1268,Output!A:F,6,0),"-")</f>
        <v>-</v>
      </c>
    </row>
    <row r="1269" spans="1:24" x14ac:dyDescent="0.25">
      <c r="A1269" s="21" t="s">
        <v>1884</v>
      </c>
      <c r="B1269" s="40" t="s">
        <v>1885</v>
      </c>
      <c r="C1269" s="21" t="s">
        <v>255</v>
      </c>
      <c r="D1269" s="21" t="s">
        <v>75</v>
      </c>
      <c r="E1269" s="21" t="s">
        <v>97</v>
      </c>
      <c r="F1269" s="55">
        <v>8.1192553447472291E-5</v>
      </c>
      <c r="G1269" s="24">
        <v>6.9672840000000003</v>
      </c>
      <c r="H1269" s="24">
        <v>7.7418529999999999</v>
      </c>
      <c r="I1269" s="24">
        <v>7.1081399999999997</v>
      </c>
      <c r="J1269" s="24">
        <v>7.1785399999999999</v>
      </c>
      <c r="K1269" s="24">
        <v>4.4961589999999996</v>
      </c>
      <c r="L1269" s="24">
        <v>5.4045969999999999</v>
      </c>
      <c r="M1269" s="24">
        <v>51.453299999999999</v>
      </c>
      <c r="N1269" s="24">
        <v>10</v>
      </c>
      <c r="O1269" s="24">
        <v>2.6373626373626373</v>
      </c>
      <c r="P1269" s="24">
        <v>2.5</v>
      </c>
      <c r="Q1269" s="24">
        <v>5.2429801777526786</v>
      </c>
      <c r="R1269" s="24">
        <v>6.19</v>
      </c>
      <c r="S1269" s="24">
        <v>4.8131082498945421</v>
      </c>
      <c r="T1269" s="24">
        <v>0.31947724946069178</v>
      </c>
      <c r="U1269" s="24" t="s">
        <v>3602</v>
      </c>
      <c r="V1269">
        <v>0</v>
      </c>
      <c r="W1269" s="21">
        <v>0</v>
      </c>
      <c r="X1269" s="56" t="str">
        <f>IFERROR(VLOOKUP(A1269,Output!A:F,6,0),"-")</f>
        <v>-</v>
      </c>
    </row>
    <row r="1270" spans="1:24" hidden="1" x14ac:dyDescent="0.25">
      <c r="A1270" s="21" t="s">
        <v>2298</v>
      </c>
      <c r="B1270" s="40" t="s">
        <v>2299</v>
      </c>
      <c r="C1270" s="21" t="s">
        <v>254</v>
      </c>
      <c r="D1270" s="21" t="s">
        <v>74</v>
      </c>
      <c r="E1270" s="21" t="s">
        <v>92</v>
      </c>
      <c r="F1270" s="55">
        <v>8.106501367206089E-5</v>
      </c>
      <c r="G1270" s="21">
        <v>7.0936529999999998</v>
      </c>
      <c r="H1270" s="21">
        <v>4.995584</v>
      </c>
      <c r="I1270" s="21">
        <v>5.3835709999999999</v>
      </c>
      <c r="J1270" s="21">
        <v>5.9512080000000003</v>
      </c>
      <c r="K1270" s="24">
        <v>2.3204549999999999</v>
      </c>
      <c r="L1270" s="24">
        <v>4.2460389999999997</v>
      </c>
      <c r="M1270" s="24">
        <v>17.260300000000001</v>
      </c>
      <c r="N1270" s="24">
        <v>3.039506666666667</v>
      </c>
      <c r="O1270" s="24">
        <v>6.1224489795918355</v>
      </c>
      <c r="P1270" s="24">
        <v>6.8493150684931505</v>
      </c>
      <c r="Q1270" s="24">
        <v>3.919902701833327</v>
      </c>
      <c r="R1270" s="24">
        <v>5.95</v>
      </c>
      <c r="S1270" s="24">
        <v>5.0788270424397401</v>
      </c>
      <c r="T1270" s="24">
        <v>0.55084097843384738</v>
      </c>
      <c r="U1270" s="24" t="s">
        <v>3826</v>
      </c>
      <c r="V1270">
        <v>0</v>
      </c>
      <c r="W1270" s="21">
        <v>0</v>
      </c>
      <c r="X1270" s="56" t="str">
        <f>IFERROR(VLOOKUP(A1270,Output!A:F,6,0),"-")</f>
        <v>-</v>
      </c>
    </row>
    <row r="1271" spans="1:24" hidden="1" x14ac:dyDescent="0.25">
      <c r="A1271" s="21" t="s">
        <v>2140</v>
      </c>
      <c r="B1271" s="40" t="s">
        <v>2141</v>
      </c>
      <c r="C1271" s="21" t="s">
        <v>249</v>
      </c>
      <c r="D1271" s="21" t="s">
        <v>74</v>
      </c>
      <c r="E1271" s="21" t="s">
        <v>92</v>
      </c>
      <c r="F1271" s="55">
        <v>8.096007027872522E-5</v>
      </c>
      <c r="G1271" s="24">
        <v>5.1652810000000002</v>
      </c>
      <c r="H1271" s="24">
        <v>5.3338320000000001</v>
      </c>
      <c r="I1271" s="24">
        <v>3.1247240000000001</v>
      </c>
      <c r="J1271" s="24">
        <v>4.6036789999999996</v>
      </c>
      <c r="K1271" s="24">
        <v>1.7910330000000001</v>
      </c>
      <c r="L1271" s="24">
        <v>6.7691780000000001</v>
      </c>
      <c r="M1271" s="24">
        <v>36.9422</v>
      </c>
      <c r="N1271" s="24">
        <v>5.7086429629629629</v>
      </c>
      <c r="O1271" s="24">
        <v>3.5714285714285712</v>
      </c>
      <c r="P1271" s="24">
        <v>3.506849315068493</v>
      </c>
      <c r="Q1271" s="24">
        <v>5.2504994044189415</v>
      </c>
      <c r="R1271" s="24">
        <v>4.3099999999999996</v>
      </c>
      <c r="S1271" s="24">
        <v>4.733993205782852</v>
      </c>
      <c r="T1271" s="24">
        <v>0.21943929251154884</v>
      </c>
      <c r="U1271" s="24" t="s">
        <v>3734</v>
      </c>
      <c r="V1271">
        <v>1</v>
      </c>
      <c r="W1271" s="21">
        <v>1</v>
      </c>
      <c r="X1271" s="56" t="str">
        <f>IFERROR(VLOOKUP(A1271,Output!A:F,6,0),"-")</f>
        <v>-</v>
      </c>
    </row>
    <row r="1272" spans="1:24" hidden="1" x14ac:dyDescent="0.25">
      <c r="A1272" s="21" t="s">
        <v>598</v>
      </c>
      <c r="B1272" s="40" t="s">
        <v>1021</v>
      </c>
      <c r="C1272" s="21" t="s">
        <v>968</v>
      </c>
      <c r="D1272" s="21" t="s">
        <v>76</v>
      </c>
      <c r="E1272" s="21" t="s">
        <v>100</v>
      </c>
      <c r="F1272" s="55">
        <v>8.0632714499571145E-5</v>
      </c>
      <c r="G1272" s="21">
        <v>7.2277529999999999</v>
      </c>
      <c r="H1272" s="21">
        <v>3.9900009999999999</v>
      </c>
      <c r="I1272" s="21">
        <v>4.3330330000000004</v>
      </c>
      <c r="J1272" s="21">
        <v>5.1835959999999996</v>
      </c>
      <c r="K1272" s="24">
        <v>5.8067529999999996</v>
      </c>
      <c r="L1272" s="24">
        <v>4.7441019999999998</v>
      </c>
      <c r="M1272" s="24">
        <v>115.50490000000001</v>
      </c>
      <c r="N1272" s="24">
        <v>0</v>
      </c>
      <c r="O1272" s="24">
        <v>10</v>
      </c>
      <c r="P1272" s="24">
        <v>10</v>
      </c>
      <c r="Q1272" s="24">
        <v>0</v>
      </c>
      <c r="R1272" s="24">
        <v>6.65</v>
      </c>
      <c r="S1272" s="24">
        <v>6.5</v>
      </c>
      <c r="T1272" s="24">
        <v>0.24620205704909298</v>
      </c>
      <c r="U1272" s="24" t="s">
        <v>3123</v>
      </c>
      <c r="V1272">
        <v>0</v>
      </c>
      <c r="W1272" s="21">
        <v>0</v>
      </c>
      <c r="X1272" s="56" t="str">
        <f>IFERROR(VLOOKUP(A1272,Output!A:F,6,0),"-")</f>
        <v>-</v>
      </c>
    </row>
    <row r="1273" spans="1:24" x14ac:dyDescent="0.25">
      <c r="A1273" s="21" t="s">
        <v>530</v>
      </c>
      <c r="B1273" s="40" t="s">
        <v>1014</v>
      </c>
      <c r="C1273" s="21" t="s">
        <v>248</v>
      </c>
      <c r="D1273" s="21" t="s">
        <v>75</v>
      </c>
      <c r="E1273" s="21" t="s">
        <v>97</v>
      </c>
      <c r="F1273" s="55">
        <v>8.0217498433388009E-5</v>
      </c>
      <c r="G1273" s="24">
        <v>7.9884019999999998</v>
      </c>
      <c r="H1273" s="24">
        <v>6.7128439999999996</v>
      </c>
      <c r="I1273" s="24">
        <v>5.9771239999999999</v>
      </c>
      <c r="J1273" s="24">
        <v>6.9287789999999996</v>
      </c>
      <c r="K1273" s="24">
        <v>3.7111529999999999</v>
      </c>
      <c r="L1273" s="24">
        <v>2.860179</v>
      </c>
      <c r="M1273" s="24">
        <v>1.2806999999999999</v>
      </c>
      <c r="N1273" s="24">
        <v>4.3610290290290301</v>
      </c>
      <c r="O1273" s="24">
        <v>6.3736263736263723</v>
      </c>
      <c r="P1273" s="24">
        <v>5</v>
      </c>
      <c r="Q1273" s="24">
        <v>0</v>
      </c>
      <c r="R1273" s="24">
        <v>4.6399999999999997</v>
      </c>
      <c r="S1273" s="24">
        <v>3.0660277344090572</v>
      </c>
      <c r="T1273" s="24">
        <v>0.21307284551784411</v>
      </c>
      <c r="U1273" s="24" t="s">
        <v>3172</v>
      </c>
      <c r="V1273">
        <v>0</v>
      </c>
      <c r="W1273" s="21">
        <v>0</v>
      </c>
      <c r="X1273" s="56" t="str">
        <f>IFERROR(VLOOKUP(A1273,Output!A:F,6,0),"-")</f>
        <v>-</v>
      </c>
    </row>
    <row r="1274" spans="1:24" hidden="1" x14ac:dyDescent="0.25">
      <c r="A1274" s="21" t="s">
        <v>1684</v>
      </c>
      <c r="B1274" s="40" t="s">
        <v>1685</v>
      </c>
      <c r="C1274" s="21" t="s">
        <v>305</v>
      </c>
      <c r="D1274" s="21" t="s">
        <v>74</v>
      </c>
      <c r="E1274" s="21" t="s">
        <v>91</v>
      </c>
      <c r="F1274" s="55">
        <v>8.0131086890356654E-5</v>
      </c>
      <c r="G1274" s="24">
        <v>6.724971</v>
      </c>
      <c r="H1274" s="24">
        <v>3.2386759999999999</v>
      </c>
      <c r="I1274" s="24">
        <v>5.3028630000000003</v>
      </c>
      <c r="J1274" s="24">
        <v>4.7616100000000001</v>
      </c>
      <c r="K1274" s="24">
        <v>0</v>
      </c>
      <c r="L1274" s="24">
        <v>4.8126790000000002</v>
      </c>
      <c r="M1274" s="24">
        <v>34.244399999999999</v>
      </c>
      <c r="N1274" s="24">
        <v>5.3538116040955641</v>
      </c>
      <c r="O1274" s="24">
        <v>9.7938144329896897</v>
      </c>
      <c r="P1274" s="24">
        <v>7.236467236467238</v>
      </c>
      <c r="Q1274" s="24">
        <v>3.9240214652079812</v>
      </c>
      <c r="R1274" s="24" t="e">
        <v>#N/A</v>
      </c>
      <c r="S1274" s="24">
        <v>4.7021276309627273</v>
      </c>
      <c r="T1274" s="24">
        <v>0.54040876568724838</v>
      </c>
      <c r="U1274" s="24" t="s">
        <v>3548</v>
      </c>
      <c r="V1274">
        <v>0</v>
      </c>
      <c r="W1274" s="21">
        <v>0</v>
      </c>
      <c r="X1274" s="56" t="str">
        <f>IFERROR(VLOOKUP(A1274,Output!A:F,6,0),"-")</f>
        <v>-</v>
      </c>
    </row>
    <row r="1275" spans="1:24" hidden="1" x14ac:dyDescent="0.25">
      <c r="A1275" s="21" t="s">
        <v>1901</v>
      </c>
      <c r="B1275" s="40" t="s">
        <v>1902</v>
      </c>
      <c r="C1275" s="21" t="s">
        <v>251</v>
      </c>
      <c r="D1275" s="21" t="s">
        <v>74</v>
      </c>
      <c r="E1275" s="21" t="s">
        <v>87</v>
      </c>
      <c r="F1275" s="55">
        <v>7.9693737235319285E-5</v>
      </c>
      <c r="G1275" s="21">
        <v>5.0560309999999999</v>
      </c>
      <c r="H1275" s="21">
        <v>6.5915879999999998</v>
      </c>
      <c r="I1275" s="21">
        <v>5.9566670000000004</v>
      </c>
      <c r="J1275" s="21">
        <v>5.8680950000000003</v>
      </c>
      <c r="K1275" s="24">
        <v>4.5856779999999997</v>
      </c>
      <c r="L1275" s="24">
        <v>8.1770589999999999</v>
      </c>
      <c r="M1275" s="24">
        <v>1182.2080000000001</v>
      </c>
      <c r="N1275" s="24">
        <v>8.559704527402701</v>
      </c>
      <c r="O1275" s="24">
        <v>1.0309278350515463</v>
      </c>
      <c r="P1275" s="24">
        <v>2.6557377049180326</v>
      </c>
      <c r="Q1275" s="24">
        <v>6.9841051913061625</v>
      </c>
      <c r="R1275" s="24">
        <v>8.5400010000000002</v>
      </c>
      <c r="S1275" s="24">
        <v>6.9654007987735591</v>
      </c>
      <c r="T1275" s="24">
        <v>0.36203958948490217</v>
      </c>
      <c r="U1275" s="24" t="s">
        <v>3571</v>
      </c>
      <c r="V1275">
        <v>0</v>
      </c>
      <c r="W1275" s="21">
        <v>0</v>
      </c>
      <c r="X1275" s="56" t="str">
        <f>IFERROR(VLOOKUP(A1275,Output!A:F,6,0),"-")</f>
        <v>-</v>
      </c>
    </row>
    <row r="1276" spans="1:24" hidden="1" x14ac:dyDescent="0.25">
      <c r="A1276" s="21" t="s">
        <v>588</v>
      </c>
      <c r="B1276" s="40" t="s">
        <v>1005</v>
      </c>
      <c r="C1276" s="21" t="s">
        <v>250</v>
      </c>
      <c r="D1276" s="21" t="s">
        <v>76</v>
      </c>
      <c r="E1276" s="21" t="s">
        <v>92</v>
      </c>
      <c r="F1276" s="55">
        <v>7.9534103756069235E-5</v>
      </c>
      <c r="G1276" s="24">
        <v>6.7861880000000001</v>
      </c>
      <c r="H1276" s="24">
        <v>5.3600050000000001</v>
      </c>
      <c r="I1276" s="24">
        <v>7.5213469999999996</v>
      </c>
      <c r="J1276" s="24">
        <v>6.5097779999999998</v>
      </c>
      <c r="K1276" s="24">
        <v>1.6218649999999999</v>
      </c>
      <c r="L1276" s="24">
        <v>2.6686190000000001</v>
      </c>
      <c r="M1276" s="24">
        <v>30.003699999999998</v>
      </c>
      <c r="N1276" s="24">
        <v>0</v>
      </c>
      <c r="O1276" s="24">
        <v>0</v>
      </c>
      <c r="P1276" s="24">
        <v>2.2279792746113989</v>
      </c>
      <c r="Q1276" s="24">
        <v>1.0405269621525057</v>
      </c>
      <c r="R1276" s="24">
        <v>4.25</v>
      </c>
      <c r="S1276" s="24">
        <v>2.1214536799945698</v>
      </c>
      <c r="T1276" s="24">
        <v>0.46311748401280622</v>
      </c>
      <c r="U1276" s="24" t="s">
        <v>3097</v>
      </c>
      <c r="V1276">
        <v>0</v>
      </c>
      <c r="W1276" s="21">
        <v>0</v>
      </c>
      <c r="X1276" s="56" t="str">
        <f>IFERROR(VLOOKUP(A1276,Output!A:F,6,0),"-")</f>
        <v>-</v>
      </c>
    </row>
    <row r="1277" spans="1:24" hidden="1" x14ac:dyDescent="0.25">
      <c r="A1277" s="21" t="s">
        <v>574</v>
      </c>
      <c r="B1277" s="40" t="s">
        <v>964</v>
      </c>
      <c r="C1277" s="21" t="s">
        <v>250</v>
      </c>
      <c r="D1277" s="21" t="s">
        <v>76</v>
      </c>
      <c r="E1277" s="21" t="s">
        <v>97</v>
      </c>
      <c r="F1277" s="55">
        <v>7.9352879966964132E-5</v>
      </c>
      <c r="G1277" s="24">
        <v>5.8060309999999999</v>
      </c>
      <c r="H1277" s="24">
        <v>7.7409189999999999</v>
      </c>
      <c r="I1277" s="24">
        <v>7.9020679999999999</v>
      </c>
      <c r="J1277" s="24">
        <v>7.0314230000000002</v>
      </c>
      <c r="K1277" s="24">
        <v>5.3574780000000004</v>
      </c>
      <c r="L1277" s="24">
        <v>6.6889099999999999</v>
      </c>
      <c r="M1277" s="24">
        <v>54.845199999999998</v>
      </c>
      <c r="N1277" s="24">
        <v>4.4998816821097662</v>
      </c>
      <c r="O1277" s="24">
        <v>3.6986301369863019</v>
      </c>
      <c r="P1277" s="24">
        <v>4.870967741935484</v>
      </c>
      <c r="Q1277" s="24">
        <v>8.6320029604958801</v>
      </c>
      <c r="R1277" s="24">
        <v>4.41</v>
      </c>
      <c r="S1277" s="24">
        <v>5.043431816146847</v>
      </c>
      <c r="T1277" s="24">
        <v>0.42997294700386046</v>
      </c>
      <c r="U1277" s="24" t="s">
        <v>3080</v>
      </c>
      <c r="V1277">
        <v>0</v>
      </c>
      <c r="W1277" s="21">
        <v>0</v>
      </c>
      <c r="X1277" s="56" t="str">
        <f>IFERROR(VLOOKUP(A1277,Output!A:F,6,0),"-")</f>
        <v>-</v>
      </c>
    </row>
    <row r="1278" spans="1:24" hidden="1" x14ac:dyDescent="0.25">
      <c r="A1278" s="21" t="s">
        <v>4415</v>
      </c>
      <c r="B1278" s="40" t="s">
        <v>4502</v>
      </c>
      <c r="C1278" s="21" t="s">
        <v>254</v>
      </c>
      <c r="D1278" s="21" t="s">
        <v>74</v>
      </c>
      <c r="E1278" s="21" t="s">
        <v>93</v>
      </c>
      <c r="F1278" s="55">
        <v>7.91147024294482E-5</v>
      </c>
      <c r="G1278" s="24">
        <v>4.1528840000000002</v>
      </c>
      <c r="H1278" s="24">
        <v>4.6177539999999997</v>
      </c>
      <c r="I1278" s="24">
        <v>3.1688499999999999</v>
      </c>
      <c r="J1278" s="24">
        <v>3.971177</v>
      </c>
      <c r="K1278" s="24">
        <v>5.0514869999999998</v>
      </c>
      <c r="L1278" s="24">
        <v>5.1742410000000003</v>
      </c>
      <c r="M1278" s="24">
        <v>1.4787999999999999</v>
      </c>
      <c r="N1278" s="24">
        <v>2.7197278331328221</v>
      </c>
      <c r="O1278" s="24">
        <v>3.0303030303030303</v>
      </c>
      <c r="P1278" s="24">
        <v>2.7192978947368425</v>
      </c>
      <c r="Q1278" s="24">
        <v>2.5964718853362734</v>
      </c>
      <c r="R1278" s="24">
        <v>5.35</v>
      </c>
      <c r="S1278" s="24">
        <v>3.1570960850677174</v>
      </c>
      <c r="T1278" s="24">
        <v>0.32582369375161407</v>
      </c>
      <c r="U1278" s="24" t="s">
        <v>4503</v>
      </c>
      <c r="V1278">
        <v>0</v>
      </c>
      <c r="W1278" s="21">
        <v>1</v>
      </c>
      <c r="X1278" s="56" t="str">
        <f>IFERROR(VLOOKUP(A1278,Output!A:F,6,0),"-")</f>
        <v>-</v>
      </c>
    </row>
    <row r="1279" spans="1:24" x14ac:dyDescent="0.25">
      <c r="A1279" s="21" t="s">
        <v>1458</v>
      </c>
      <c r="B1279" s="40" t="s">
        <v>1459</v>
      </c>
      <c r="C1279" s="21" t="s">
        <v>248</v>
      </c>
      <c r="D1279" s="21" t="s">
        <v>75</v>
      </c>
      <c r="E1279" s="21" t="s">
        <v>94</v>
      </c>
      <c r="F1279" s="55">
        <v>7.8912944706319675E-5</v>
      </c>
      <c r="G1279" s="24">
        <v>8.0652989999999996</v>
      </c>
      <c r="H1279" s="24">
        <v>4.239719</v>
      </c>
      <c r="I1279" s="24">
        <v>3.7339169999999999</v>
      </c>
      <c r="J1279" s="24">
        <v>4.8025140000000004</v>
      </c>
      <c r="K1279" s="24">
        <v>3.4275389999999999</v>
      </c>
      <c r="L1279" s="24">
        <v>7.2907510000000002</v>
      </c>
      <c r="M1279" s="24">
        <v>6.6772</v>
      </c>
      <c r="N1279" s="24">
        <v>5.0656337655885419</v>
      </c>
      <c r="O1279" s="24">
        <v>3.5483870967741931</v>
      </c>
      <c r="P1279" s="24">
        <v>0.71969696969696995</v>
      </c>
      <c r="Q1279" s="24">
        <v>6.4385678922630785</v>
      </c>
      <c r="R1279" s="24">
        <v>5.61</v>
      </c>
      <c r="S1279" s="24">
        <v>4.8261398065654948</v>
      </c>
      <c r="T1279" s="24">
        <v>0.4245351276392369</v>
      </c>
      <c r="U1279" s="24" t="s">
        <v>3376</v>
      </c>
      <c r="V1279">
        <v>0</v>
      </c>
      <c r="W1279" s="21">
        <v>0</v>
      </c>
      <c r="X1279" s="56" t="str">
        <f>IFERROR(VLOOKUP(A1279,Output!A:F,6,0),"-")</f>
        <v>-</v>
      </c>
    </row>
    <row r="1280" spans="1:24" hidden="1" x14ac:dyDescent="0.25">
      <c r="A1280" s="21" t="s">
        <v>1361</v>
      </c>
      <c r="B1280" s="40" t="s">
        <v>1362</v>
      </c>
      <c r="C1280" s="21" t="s">
        <v>246</v>
      </c>
      <c r="D1280" s="21" t="s">
        <v>74</v>
      </c>
      <c r="E1280" s="21" t="s">
        <v>92</v>
      </c>
      <c r="F1280" s="55">
        <v>7.8485253344600511E-5</v>
      </c>
      <c r="G1280" s="24">
        <v>4.9124939999999997</v>
      </c>
      <c r="H1280" s="24">
        <v>4.8959000000000001</v>
      </c>
      <c r="I1280" s="24">
        <v>4.8412790000000001</v>
      </c>
      <c r="J1280" s="24">
        <v>4.8861509999999999</v>
      </c>
      <c r="K1280" s="24">
        <v>3.7466870000000001</v>
      </c>
      <c r="L1280" s="24">
        <v>9.4061450000000004</v>
      </c>
      <c r="M1280" s="24">
        <v>12.7498</v>
      </c>
      <c r="N1280" s="24">
        <v>5.0148162962962974</v>
      </c>
      <c r="O1280" s="24">
        <v>3.2653061224489792</v>
      </c>
      <c r="P1280" s="24">
        <v>3.1780821917808222</v>
      </c>
      <c r="Q1280" s="24">
        <v>7.6866958734679809</v>
      </c>
      <c r="R1280" s="24">
        <v>5.71</v>
      </c>
      <c r="S1280" s="24">
        <v>6.3917053056698805</v>
      </c>
      <c r="T1280" s="24">
        <v>0.50516837847780838</v>
      </c>
      <c r="U1280" s="24" t="s">
        <v>3305</v>
      </c>
      <c r="V1280">
        <v>0</v>
      </c>
      <c r="W1280" s="21">
        <v>0</v>
      </c>
      <c r="X1280" s="56" t="str">
        <f>IFERROR(VLOOKUP(A1280,Output!A:F,6,0),"-")</f>
        <v>-</v>
      </c>
    </row>
    <row r="1281" spans="1:24" hidden="1" x14ac:dyDescent="0.25">
      <c r="A1281" s="21" t="s">
        <v>428</v>
      </c>
      <c r="B1281" s="40" t="s">
        <v>684</v>
      </c>
      <c r="C1281" s="21" t="s">
        <v>245</v>
      </c>
      <c r="D1281" s="21" t="s">
        <v>73</v>
      </c>
      <c r="E1281" s="21" t="s">
        <v>86</v>
      </c>
      <c r="F1281" s="55">
        <v>7.8470604933067898E-5</v>
      </c>
      <c r="G1281" s="21">
        <v>6.3677999999999999</v>
      </c>
      <c r="H1281" s="21">
        <v>4.0238209999999999</v>
      </c>
      <c r="I1281" s="21">
        <v>4.2747190000000002</v>
      </c>
      <c r="J1281" s="21">
        <v>4.8887799999999997</v>
      </c>
      <c r="K1281" s="24">
        <v>1.413832</v>
      </c>
      <c r="L1281" s="24">
        <v>3.5397859999999999</v>
      </c>
      <c r="M1281" s="24">
        <v>247.19159999999999</v>
      </c>
      <c r="N1281" s="24">
        <v>6.1479858547513357</v>
      </c>
      <c r="O1281" s="24">
        <v>6.3917525773195871</v>
      </c>
      <c r="P1281" s="24">
        <v>5.518518518518519</v>
      </c>
      <c r="Q1281" s="24">
        <v>4.938608743997416</v>
      </c>
      <c r="R1281" s="24">
        <v>5.6399990000000004</v>
      </c>
      <c r="S1281" s="24">
        <v>5.1866615027913516</v>
      </c>
      <c r="T1281" s="24">
        <v>0.97272712179254317</v>
      </c>
      <c r="U1281" s="24" t="s">
        <v>2913</v>
      </c>
      <c r="V1281">
        <v>0</v>
      </c>
      <c r="W1281" s="21">
        <v>0</v>
      </c>
      <c r="X1281" s="56" t="str">
        <f>IFERROR(VLOOKUP(A1281,Output!A:F,6,0),"-")</f>
        <v>-</v>
      </c>
    </row>
    <row r="1282" spans="1:24" x14ac:dyDescent="0.25">
      <c r="A1282" s="21" t="s">
        <v>4402</v>
      </c>
      <c r="B1282" s="40" t="s">
        <v>4507</v>
      </c>
      <c r="C1282" s="21" t="s">
        <v>248</v>
      </c>
      <c r="D1282" s="21" t="s">
        <v>75</v>
      </c>
      <c r="E1282" s="21" t="s">
        <v>92</v>
      </c>
      <c r="F1282" s="55">
        <v>7.7786053272695395E-5</v>
      </c>
      <c r="G1282" s="24">
        <v>3.3940860000000002</v>
      </c>
      <c r="H1282" s="24">
        <v>5.775728</v>
      </c>
      <c r="I1282" s="24">
        <v>5.1276390000000003</v>
      </c>
      <c r="J1282" s="24">
        <v>4.6286440000000004</v>
      </c>
      <c r="K1282" s="24">
        <v>4.1404449999999997</v>
      </c>
      <c r="L1282" s="24">
        <v>14.61482</v>
      </c>
      <c r="M1282" s="24">
        <v>1700.604</v>
      </c>
      <c r="N1282" s="24">
        <v>6.3074908076205833</v>
      </c>
      <c r="O1282" s="24">
        <v>9.2631578947368425</v>
      </c>
      <c r="P1282" s="24">
        <v>5.0628573685550915</v>
      </c>
      <c r="Q1282" s="24">
        <v>6.3773861749843697</v>
      </c>
      <c r="R1282" s="24">
        <v>6.81</v>
      </c>
      <c r="S1282" s="24">
        <v>5.7839253677702605</v>
      </c>
      <c r="T1282" s="24">
        <v>0.17674760043526219</v>
      </c>
      <c r="U1282" s="24" t="s">
        <v>4508</v>
      </c>
      <c r="V1282">
        <v>0</v>
      </c>
      <c r="W1282" s="21">
        <v>0</v>
      </c>
      <c r="X1282" s="56" t="str">
        <f>IFERROR(VLOOKUP(A1282,Output!A:F,6,0),"-")</f>
        <v>-</v>
      </c>
    </row>
    <row r="1283" spans="1:24" x14ac:dyDescent="0.25">
      <c r="A1283" s="21" t="s">
        <v>528</v>
      </c>
      <c r="B1283" s="40" t="s">
        <v>974</v>
      </c>
      <c r="C1283" s="21" t="s">
        <v>248</v>
      </c>
      <c r="D1283" s="21" t="s">
        <v>75</v>
      </c>
      <c r="E1283" s="21" t="s">
        <v>92</v>
      </c>
      <c r="F1283" s="55">
        <v>7.775088098786158E-5</v>
      </c>
      <c r="G1283" s="21">
        <v>4.238073</v>
      </c>
      <c r="H1283" s="21">
        <v>3.615459</v>
      </c>
      <c r="I1283" s="21">
        <v>2.5328300000000001</v>
      </c>
      <c r="J1283" s="21">
        <v>3.5397159999999999</v>
      </c>
      <c r="K1283" s="24">
        <v>0.48302339999999999</v>
      </c>
      <c r="L1283" s="24">
        <v>11.68756</v>
      </c>
      <c r="M1283" s="24">
        <v>109.4592</v>
      </c>
      <c r="N1283" s="24">
        <v>7.9632071446209878</v>
      </c>
      <c r="O1283" s="24">
        <v>9.5789473684210531</v>
      </c>
      <c r="P1283" s="24">
        <v>2.5600003401142701</v>
      </c>
      <c r="Q1283" s="24">
        <v>1.5383499914331433</v>
      </c>
      <c r="R1283" s="24">
        <v>3.27</v>
      </c>
      <c r="S1283" s="24">
        <v>3.992052207269059</v>
      </c>
      <c r="T1283" s="24">
        <v>0.59699927502653971</v>
      </c>
      <c r="U1283" s="24" t="s">
        <v>3159</v>
      </c>
      <c r="V1283">
        <v>0</v>
      </c>
      <c r="W1283" s="21">
        <v>1</v>
      </c>
      <c r="X1283" s="56" t="str">
        <f>IFERROR(VLOOKUP(A1283,Output!A:F,6,0),"-")</f>
        <v>-</v>
      </c>
    </row>
    <row r="1284" spans="1:24" hidden="1" x14ac:dyDescent="0.25">
      <c r="A1284" s="21" t="s">
        <v>603</v>
      </c>
      <c r="B1284" s="40" t="s">
        <v>955</v>
      </c>
      <c r="C1284" s="21" t="s">
        <v>250</v>
      </c>
      <c r="D1284" s="21" t="s">
        <v>76</v>
      </c>
      <c r="E1284" s="21" t="s">
        <v>97</v>
      </c>
      <c r="F1284" s="55">
        <v>7.7675546299979542E-5</v>
      </c>
      <c r="G1284" s="21">
        <v>6.915133</v>
      </c>
      <c r="H1284" s="21">
        <v>6.989776</v>
      </c>
      <c r="I1284" s="21">
        <v>8.3625349999999994</v>
      </c>
      <c r="J1284" s="21">
        <v>7.5090219999999999</v>
      </c>
      <c r="K1284" s="24">
        <v>6.134525</v>
      </c>
      <c r="L1284" s="24">
        <v>8.3414280000000005</v>
      </c>
      <c r="M1284" s="24">
        <v>113.43340000000001</v>
      </c>
      <c r="N1284" s="24">
        <v>0</v>
      </c>
      <c r="O1284" s="24">
        <v>5.0684931506849313</v>
      </c>
      <c r="P1284" s="24">
        <v>0</v>
      </c>
      <c r="Q1284" s="24">
        <v>9.2533999444907007</v>
      </c>
      <c r="R1284" s="24">
        <v>5.77</v>
      </c>
      <c r="S1284" s="24">
        <v>4.9626204366593338</v>
      </c>
      <c r="T1284" s="24">
        <v>0.45998742868388137</v>
      </c>
      <c r="U1284" s="24" t="s">
        <v>3073</v>
      </c>
      <c r="V1284">
        <v>0</v>
      </c>
      <c r="W1284" s="21">
        <v>0</v>
      </c>
      <c r="X1284" s="56" t="str">
        <f>IFERROR(VLOOKUP(A1284,Output!A:F,6,0),"-")</f>
        <v>-</v>
      </c>
    </row>
    <row r="1285" spans="1:24" hidden="1" x14ac:dyDescent="0.25">
      <c r="A1285" s="21" t="s">
        <v>734</v>
      </c>
      <c r="B1285" s="40" t="s">
        <v>735</v>
      </c>
      <c r="C1285" s="21" t="s">
        <v>294</v>
      </c>
      <c r="D1285" s="21" t="s">
        <v>77</v>
      </c>
      <c r="E1285" s="21" t="s">
        <v>85</v>
      </c>
      <c r="F1285" s="55">
        <v>7.7410124326728497E-5</v>
      </c>
      <c r="G1285" s="24">
        <v>3.6923870000000001</v>
      </c>
      <c r="H1285" s="24">
        <v>3.6553089999999999</v>
      </c>
      <c r="I1285" s="24">
        <v>5.2178319999999996</v>
      </c>
      <c r="J1285" s="24">
        <v>4.2133149999999997</v>
      </c>
      <c r="K1285" s="24">
        <v>3.886917</v>
      </c>
      <c r="L1285" s="24">
        <v>10.45773</v>
      </c>
      <c r="M1285" s="24">
        <v>9.4913000000000007</v>
      </c>
      <c r="N1285" s="24">
        <v>2.2954303931987265</v>
      </c>
      <c r="O1285" s="24">
        <v>7.3333333333333339</v>
      </c>
      <c r="P1285" s="24">
        <v>10</v>
      </c>
      <c r="Q1285" s="24">
        <v>0</v>
      </c>
      <c r="R1285" s="24" t="e">
        <v>#N/A</v>
      </c>
      <c r="S1285" s="24">
        <v>4.4209277847862607</v>
      </c>
      <c r="T1285" s="24">
        <v>0.34616838323575722</v>
      </c>
      <c r="U1285" s="24" t="s">
        <v>3269</v>
      </c>
      <c r="V1285">
        <v>0</v>
      </c>
      <c r="W1285" s="21">
        <v>1</v>
      </c>
      <c r="X1285" s="56" t="str">
        <f>IFERROR(VLOOKUP(A1285,Output!A:F,6,0),"-")</f>
        <v>-</v>
      </c>
    </row>
    <row r="1286" spans="1:24" hidden="1" x14ac:dyDescent="0.25">
      <c r="A1286" s="21" t="s">
        <v>4422</v>
      </c>
      <c r="B1286" s="40" t="s">
        <v>4532</v>
      </c>
      <c r="C1286" s="21" t="s">
        <v>257</v>
      </c>
      <c r="D1286" s="21" t="s">
        <v>74</v>
      </c>
      <c r="E1286" s="21" t="s">
        <v>93</v>
      </c>
      <c r="F1286" s="55">
        <v>7.7400918765909582E-5</v>
      </c>
      <c r="G1286" s="24">
        <v>3.8559540000000001</v>
      </c>
      <c r="H1286" s="24">
        <v>7.7525089999999999</v>
      </c>
      <c r="I1286" s="24">
        <v>4.7511369999999999</v>
      </c>
      <c r="J1286" s="24">
        <v>5.5330620000000001</v>
      </c>
      <c r="K1286" s="24">
        <v>3.415022</v>
      </c>
      <c r="L1286" s="24">
        <v>10.87909</v>
      </c>
      <c r="M1286" s="24">
        <v>0.49184</v>
      </c>
      <c r="N1286" s="24">
        <v>10</v>
      </c>
      <c r="O1286" s="24">
        <v>9.2929292929292924</v>
      </c>
      <c r="P1286" s="24">
        <v>4.2982452631578942</v>
      </c>
      <c r="Q1286" s="24">
        <v>6.3602535832414553</v>
      </c>
      <c r="R1286" s="24">
        <v>4.08</v>
      </c>
      <c r="S1286" s="24">
        <v>5.7693770270890532</v>
      </c>
      <c r="T1286" s="24">
        <v>0.43322113972433685</v>
      </c>
      <c r="U1286" s="24" t="s">
        <v>4533</v>
      </c>
      <c r="V1286">
        <v>0</v>
      </c>
      <c r="W1286" s="21">
        <v>0</v>
      </c>
      <c r="X1286" s="56" t="str">
        <f>IFERROR(VLOOKUP(A1286,Output!A:F,6,0),"-")</f>
        <v>-</v>
      </c>
    </row>
    <row r="1287" spans="1:24" x14ac:dyDescent="0.25">
      <c r="A1287" s="21" t="s">
        <v>593</v>
      </c>
      <c r="B1287" s="40" t="s">
        <v>915</v>
      </c>
      <c r="C1287" s="21" t="s">
        <v>248</v>
      </c>
      <c r="D1287" s="21" t="s">
        <v>75</v>
      </c>
      <c r="E1287" s="21" t="s">
        <v>99</v>
      </c>
      <c r="F1287" s="55">
        <v>7.7147408687750998E-5</v>
      </c>
      <c r="G1287" s="21">
        <v>5.6235280000000003</v>
      </c>
      <c r="H1287" s="21">
        <v>4.4119169999999999</v>
      </c>
      <c r="I1287" s="21">
        <v>6.1857559999999996</v>
      </c>
      <c r="J1287" s="21">
        <v>5.4287130000000001</v>
      </c>
      <c r="K1287" s="21">
        <v>2.7433510000000001</v>
      </c>
      <c r="L1287" s="21">
        <v>6.9673040000000004</v>
      </c>
      <c r="M1287" s="21">
        <v>24.046500000000002</v>
      </c>
      <c r="N1287" s="21">
        <v>2.0708284556319598</v>
      </c>
      <c r="O1287" s="21">
        <v>4.8888888888888884</v>
      </c>
      <c r="P1287" s="21">
        <v>1.569506726457399</v>
      </c>
      <c r="Q1287" s="21">
        <v>9.0224355753445895</v>
      </c>
      <c r="R1287" s="21">
        <v>6.01</v>
      </c>
      <c r="S1287" s="21">
        <v>5.7720043089539415</v>
      </c>
      <c r="T1287" s="21">
        <v>0.20105105801704176</v>
      </c>
      <c r="U1287" s="21" t="s">
        <v>3069</v>
      </c>
      <c r="V1287">
        <v>0</v>
      </c>
      <c r="W1287" s="21">
        <v>0</v>
      </c>
      <c r="X1287" s="56" t="str">
        <f>IFERROR(VLOOKUP(A1287,Output!A:F,6,0),"-")</f>
        <v>-</v>
      </c>
    </row>
    <row r="1288" spans="1:24" hidden="1" x14ac:dyDescent="0.25">
      <c r="A1288" s="21" t="s">
        <v>597</v>
      </c>
      <c r="B1288" s="40" t="s">
        <v>1006</v>
      </c>
      <c r="C1288" s="21" t="s">
        <v>250</v>
      </c>
      <c r="D1288" s="21" t="s">
        <v>76</v>
      </c>
      <c r="E1288" s="21" t="s">
        <v>97</v>
      </c>
      <c r="F1288" s="55">
        <v>7.7001206272646604E-5</v>
      </c>
      <c r="G1288" s="24">
        <v>5.4277179999999996</v>
      </c>
      <c r="H1288" s="24">
        <v>6.1425049999999999</v>
      </c>
      <c r="I1288" s="24">
        <v>7.9671479999999999</v>
      </c>
      <c r="J1288" s="24">
        <v>6.5864469999999997</v>
      </c>
      <c r="K1288" s="24">
        <v>5.582802</v>
      </c>
      <c r="L1288" s="24">
        <v>7.5283519999999999</v>
      </c>
      <c r="M1288" s="24">
        <v>135.9847</v>
      </c>
      <c r="N1288" s="24">
        <v>3.8488952245188885</v>
      </c>
      <c r="O1288" s="24">
        <v>2.4657534246575343</v>
      </c>
      <c r="P1288" s="24">
        <v>9.064516129032258</v>
      </c>
      <c r="Q1288" s="24">
        <v>10</v>
      </c>
      <c r="R1288" s="24">
        <v>5.6</v>
      </c>
      <c r="S1288" s="24">
        <v>7.7272586997312072</v>
      </c>
      <c r="T1288" s="24">
        <v>0.40881409185305673</v>
      </c>
      <c r="U1288" s="24" t="s">
        <v>3163</v>
      </c>
      <c r="V1288">
        <v>0</v>
      </c>
      <c r="W1288" s="21">
        <v>0</v>
      </c>
      <c r="X1288" s="56" t="str">
        <f>IFERROR(VLOOKUP(A1288,Output!A:F,6,0),"-")</f>
        <v>-</v>
      </c>
    </row>
    <row r="1289" spans="1:24" hidden="1" x14ac:dyDescent="0.25">
      <c r="A1289" s="21" t="s">
        <v>4181</v>
      </c>
      <c r="B1289" s="40" t="s">
        <v>4182</v>
      </c>
      <c r="C1289" s="21" t="s">
        <v>252</v>
      </c>
      <c r="D1289" s="21" t="s">
        <v>74</v>
      </c>
      <c r="E1289" s="21" t="s">
        <v>103</v>
      </c>
      <c r="F1289" s="55">
        <v>7.6734637377064025E-5</v>
      </c>
      <c r="G1289" s="21">
        <v>9.2139880000000005</v>
      </c>
      <c r="H1289" s="21">
        <v>2.0168400000000002</v>
      </c>
      <c r="I1289" s="21">
        <v>7.9957219999999998</v>
      </c>
      <c r="J1289" s="21">
        <v>5.8478219999999999</v>
      </c>
      <c r="K1289" s="21">
        <v>2.1783250000000001</v>
      </c>
      <c r="L1289" s="21">
        <v>8.3102680000000007</v>
      </c>
      <c r="M1289" s="21">
        <v>3.1280999999999999</v>
      </c>
      <c r="N1289" s="21">
        <v>8.1245732811668745</v>
      </c>
      <c r="O1289" s="21">
        <v>3.5353535353535355</v>
      </c>
      <c r="P1289" s="21">
        <v>4.3323442136498516</v>
      </c>
      <c r="Q1289" s="21">
        <v>4.1839093289333338</v>
      </c>
      <c r="R1289" s="21">
        <v>5.04</v>
      </c>
      <c r="S1289" s="21">
        <v>5.2867400663806086</v>
      </c>
      <c r="T1289" s="21">
        <v>0.73616081629437591</v>
      </c>
      <c r="U1289" s="21" t="s">
        <v>4183</v>
      </c>
      <c r="V1289">
        <v>0</v>
      </c>
      <c r="W1289" s="21">
        <v>0</v>
      </c>
      <c r="X1289" s="56" t="str">
        <f>IFERROR(VLOOKUP(A1289,Output!A:F,6,0),"-")</f>
        <v>-</v>
      </c>
    </row>
    <row r="1290" spans="1:24" x14ac:dyDescent="0.25">
      <c r="A1290" s="21" t="s">
        <v>1199</v>
      </c>
      <c r="B1290" s="40" t="s">
        <v>4496</v>
      </c>
      <c r="C1290" s="21" t="s">
        <v>248</v>
      </c>
      <c r="D1290" s="21" t="s">
        <v>75</v>
      </c>
      <c r="E1290" s="21" t="s">
        <v>92</v>
      </c>
      <c r="F1290" s="55">
        <v>7.6274047453729702E-5</v>
      </c>
      <c r="G1290" s="24">
        <v>4.9776829999999999</v>
      </c>
      <c r="H1290" s="24">
        <v>2.3152080000000002</v>
      </c>
      <c r="I1290" s="24">
        <v>2.1937820000000001</v>
      </c>
      <c r="J1290" s="24">
        <v>3.3437700000000001</v>
      </c>
      <c r="K1290" s="24">
        <v>1.314149</v>
      </c>
      <c r="L1290" s="24">
        <v>2.8789690000000001</v>
      </c>
      <c r="M1290" s="24">
        <v>29.663399999999999</v>
      </c>
      <c r="N1290" s="24">
        <v>3.4848886712103728</v>
      </c>
      <c r="O1290" s="24">
        <v>2.3157894736842106</v>
      </c>
      <c r="P1290" s="24">
        <v>8.0114286623346889</v>
      </c>
      <c r="Q1290" s="24">
        <v>4.9670314198553847</v>
      </c>
      <c r="R1290" s="24">
        <v>3.05</v>
      </c>
      <c r="S1290" s="24">
        <v>4.3623097993490259</v>
      </c>
      <c r="T1290" s="24">
        <v>0.53906651104912617</v>
      </c>
      <c r="U1290" s="24" t="s">
        <v>3232</v>
      </c>
      <c r="V1290">
        <v>0</v>
      </c>
      <c r="W1290" s="21">
        <v>1</v>
      </c>
      <c r="X1290" s="56" t="str">
        <f>IFERROR(VLOOKUP(A1290,Output!A:F,6,0),"-")</f>
        <v>-</v>
      </c>
    </row>
    <row r="1291" spans="1:24" x14ac:dyDescent="0.25">
      <c r="A1291" s="21" t="s">
        <v>1099</v>
      </c>
      <c r="B1291" s="40" t="s">
        <v>1100</v>
      </c>
      <c r="C1291" s="21" t="s">
        <v>248</v>
      </c>
      <c r="D1291" s="21" t="s">
        <v>75</v>
      </c>
      <c r="E1291" s="21" t="s">
        <v>92</v>
      </c>
      <c r="F1291" s="55">
        <v>7.6247587754326685E-5</v>
      </c>
      <c r="G1291" s="21">
        <v>5.4117810000000004</v>
      </c>
      <c r="H1291" s="21">
        <v>3.8397079999999999</v>
      </c>
      <c r="I1291" s="21">
        <v>2.6312220000000002</v>
      </c>
      <c r="J1291" s="21">
        <v>4.1059910000000004</v>
      </c>
      <c r="K1291" s="21">
        <v>2.1061559999999999</v>
      </c>
      <c r="L1291" s="21">
        <v>4.1755519999999997</v>
      </c>
      <c r="M1291" s="21">
        <v>71.092500000000001</v>
      </c>
      <c r="N1291" s="21">
        <v>2.1760843286291016</v>
      </c>
      <c r="O1291" s="21">
        <v>1.1578947368421053</v>
      </c>
      <c r="P1291" s="21">
        <v>6.5714287281632586</v>
      </c>
      <c r="Q1291" s="21">
        <v>6.7293705294899118</v>
      </c>
      <c r="R1291" s="21">
        <v>4.26</v>
      </c>
      <c r="S1291" s="21">
        <v>5.4829962260351985</v>
      </c>
      <c r="T1291" s="21">
        <v>0.28340312502357451</v>
      </c>
      <c r="U1291" s="21" t="s">
        <v>3178</v>
      </c>
      <c r="V1291">
        <v>0</v>
      </c>
      <c r="W1291" s="21">
        <v>1</v>
      </c>
      <c r="X1291" s="56" t="str">
        <f>IFERROR(VLOOKUP(A1291,Output!A:F,6,0),"-")</f>
        <v>-</v>
      </c>
    </row>
    <row r="1292" spans="1:24" hidden="1" x14ac:dyDescent="0.25">
      <c r="A1292" s="21" t="s">
        <v>1357</v>
      </c>
      <c r="B1292" s="40" t="s">
        <v>1358</v>
      </c>
      <c r="C1292" s="21" t="s">
        <v>247</v>
      </c>
      <c r="D1292" s="21" t="s">
        <v>74</v>
      </c>
      <c r="E1292" s="21" t="s">
        <v>96</v>
      </c>
      <c r="F1292" s="55">
        <v>7.6021654115736032E-5</v>
      </c>
      <c r="G1292" s="24">
        <v>5.1810590000000003</v>
      </c>
      <c r="H1292" s="24">
        <v>6.5967229999999999</v>
      </c>
      <c r="I1292" s="24">
        <v>5.3878069999999996</v>
      </c>
      <c r="J1292" s="24">
        <v>5.7218629999999999</v>
      </c>
      <c r="K1292" s="24">
        <v>4.8388450000000001</v>
      </c>
      <c r="L1292" s="24">
        <v>5.957198</v>
      </c>
      <c r="M1292" s="24">
        <v>6.4386000000000001</v>
      </c>
      <c r="N1292" s="24">
        <v>1.84479281988875</v>
      </c>
      <c r="O1292" s="24">
        <v>8.0808080808080813</v>
      </c>
      <c r="P1292" s="24">
        <v>4.6587537091988143</v>
      </c>
      <c r="Q1292" s="24">
        <v>5.392327274877907</v>
      </c>
      <c r="R1292" s="24">
        <v>6.21</v>
      </c>
      <c r="S1292" s="24">
        <v>4.6262379489579351</v>
      </c>
      <c r="T1292" s="24">
        <v>0.69512695272698488</v>
      </c>
      <c r="U1292" s="24" t="s">
        <v>3344</v>
      </c>
      <c r="V1292">
        <v>0</v>
      </c>
      <c r="W1292" s="21">
        <v>0</v>
      </c>
      <c r="X1292" s="56" t="str">
        <f>IFERROR(VLOOKUP(A1292,Output!A:F,6,0),"-")</f>
        <v>-</v>
      </c>
    </row>
    <row r="1293" spans="1:24" hidden="1" x14ac:dyDescent="0.25">
      <c r="A1293" s="21" t="s">
        <v>4518</v>
      </c>
      <c r="B1293" s="40" t="s">
        <v>1396</v>
      </c>
      <c r="C1293" s="21" t="s">
        <v>244</v>
      </c>
      <c r="D1293" s="21" t="s">
        <v>73</v>
      </c>
      <c r="E1293" s="21" t="s">
        <v>94</v>
      </c>
      <c r="F1293" s="55">
        <v>7.5901981825090078E-5</v>
      </c>
      <c r="G1293" s="24">
        <v>2.9046970000000001</v>
      </c>
      <c r="H1293" s="24">
        <v>3.4425590000000001</v>
      </c>
      <c r="I1293" s="24">
        <v>5.1817849999999996</v>
      </c>
      <c r="J1293" s="24">
        <v>4.0306769999999998</v>
      </c>
      <c r="K1293" s="24">
        <v>0</v>
      </c>
      <c r="L1293" s="24">
        <v>7.9394559999999998</v>
      </c>
      <c r="M1293" s="24">
        <v>13.6523</v>
      </c>
      <c r="N1293" s="24">
        <v>2.4672723762284425</v>
      </c>
      <c r="O1293" s="24">
        <v>3.9795918367346932</v>
      </c>
      <c r="P1293" s="24">
        <v>3.5899903506833124</v>
      </c>
      <c r="Q1293" s="24">
        <v>7.2768573940942991</v>
      </c>
      <c r="R1293" s="24" t="e">
        <v>#N/A</v>
      </c>
      <c r="S1293" s="24">
        <v>4.6619880094060715</v>
      </c>
      <c r="T1293" s="24">
        <v>1.059255445499512</v>
      </c>
      <c r="U1293" s="24" t="s">
        <v>3321</v>
      </c>
      <c r="V1293">
        <v>0</v>
      </c>
      <c r="W1293" s="21">
        <v>1</v>
      </c>
      <c r="X1293" s="56" t="str">
        <f>IFERROR(VLOOKUP(A1293,Output!A:F,6,0),"-")</f>
        <v>-</v>
      </c>
    </row>
    <row r="1294" spans="1:24" hidden="1" x14ac:dyDescent="0.25">
      <c r="A1294" s="21" t="s">
        <v>2066</v>
      </c>
      <c r="B1294" s="40" t="s">
        <v>2067</v>
      </c>
      <c r="C1294" s="21" t="s">
        <v>257</v>
      </c>
      <c r="D1294" s="21" t="s">
        <v>74</v>
      </c>
      <c r="E1294" s="21" t="s">
        <v>101</v>
      </c>
      <c r="F1294" s="55">
        <v>7.568429797870874E-5</v>
      </c>
      <c r="G1294" s="24">
        <v>4.4727889999999997</v>
      </c>
      <c r="H1294" s="24">
        <v>6.0165740000000003</v>
      </c>
      <c r="I1294" s="24">
        <v>6.2598479999999999</v>
      </c>
      <c r="J1294" s="24">
        <v>5.4720420000000001</v>
      </c>
      <c r="K1294" s="24">
        <v>4.6037179999999998</v>
      </c>
      <c r="L1294" s="24">
        <v>18.108239999999999</v>
      </c>
      <c r="M1294" s="24">
        <v>832.90459999999996</v>
      </c>
      <c r="N1294" s="24">
        <v>7.0456094188912495</v>
      </c>
      <c r="O1294" s="24">
        <v>1.9191919191919191</v>
      </c>
      <c r="P1294" s="24">
        <v>3.8872403560830864</v>
      </c>
      <c r="Q1294" s="24">
        <v>7.8640889622202774</v>
      </c>
      <c r="R1294" s="24">
        <v>6.3</v>
      </c>
      <c r="S1294" s="24">
        <v>6.1817912360818594</v>
      </c>
      <c r="T1294" s="24">
        <v>0.50139620154322739</v>
      </c>
      <c r="U1294" s="24" t="s">
        <v>3666</v>
      </c>
      <c r="V1294">
        <v>0</v>
      </c>
      <c r="W1294" s="21">
        <v>0</v>
      </c>
      <c r="X1294" s="56" t="str">
        <f>IFERROR(VLOOKUP(A1294,Output!A:F,6,0),"-")</f>
        <v>-</v>
      </c>
    </row>
    <row r="1295" spans="1:24" hidden="1" x14ac:dyDescent="0.25">
      <c r="A1295" s="21" t="s">
        <v>4405</v>
      </c>
      <c r="B1295" s="40" t="s">
        <v>4504</v>
      </c>
      <c r="C1295" s="21" t="s">
        <v>246</v>
      </c>
      <c r="D1295" s="21" t="s">
        <v>74</v>
      </c>
      <c r="E1295" s="21" t="s">
        <v>92</v>
      </c>
      <c r="F1295" s="55">
        <v>7.5255791698490833E-5</v>
      </c>
      <c r="G1295" s="21">
        <v>2.846463</v>
      </c>
      <c r="H1295" s="21">
        <v>4.3026679999999997</v>
      </c>
      <c r="I1295" s="21">
        <v>3.505277</v>
      </c>
      <c r="J1295" s="21">
        <v>3.480969</v>
      </c>
      <c r="K1295" s="24">
        <v>0.93723509999999999</v>
      </c>
      <c r="L1295" s="24">
        <v>3.3160080000000001</v>
      </c>
      <c r="M1295" s="24">
        <v>0.57323000000000002</v>
      </c>
      <c r="N1295" s="24">
        <v>5.0790133333333332</v>
      </c>
      <c r="O1295" s="24">
        <v>2.5510204081632653</v>
      </c>
      <c r="P1295" s="24">
        <v>5.1506849315068495</v>
      </c>
      <c r="Q1295" s="24">
        <v>2.4411298593992732</v>
      </c>
      <c r="R1295" s="24">
        <v>2.87</v>
      </c>
      <c r="S1295" s="24">
        <v>2.9850999627385022</v>
      </c>
      <c r="T1295" s="24">
        <v>0.64824996710825811</v>
      </c>
      <c r="U1295" s="24" t="s">
        <v>4505</v>
      </c>
      <c r="V1295">
        <v>0</v>
      </c>
      <c r="W1295" s="21">
        <v>1</v>
      </c>
      <c r="X1295" s="56" t="str">
        <f>IFERROR(VLOOKUP(A1295,Output!A:F,6,0),"-")</f>
        <v>-</v>
      </c>
    </row>
    <row r="1296" spans="1:24" hidden="1" x14ac:dyDescent="0.25">
      <c r="A1296" s="21" t="s">
        <v>2686</v>
      </c>
      <c r="B1296" s="40" t="s">
        <v>2687</v>
      </c>
      <c r="C1296" s="21" t="s">
        <v>257</v>
      </c>
      <c r="D1296" s="21" t="s">
        <v>74</v>
      </c>
      <c r="E1296" s="21" t="s">
        <v>103</v>
      </c>
      <c r="F1296" s="55">
        <v>7.4845585871966507E-5</v>
      </c>
      <c r="G1296" s="24">
        <v>5.536079</v>
      </c>
      <c r="H1296" s="24">
        <v>6.1352820000000001</v>
      </c>
      <c r="I1296" s="24">
        <v>4.4482150000000003</v>
      </c>
      <c r="J1296" s="24">
        <v>5.389481</v>
      </c>
      <c r="K1296" s="24">
        <v>6.2678399999999996</v>
      </c>
      <c r="L1296" s="24">
        <v>25.994769999999999</v>
      </c>
      <c r="M1296" s="24">
        <v>39.715600000000002</v>
      </c>
      <c r="N1296" s="24">
        <v>5.6364862825603126</v>
      </c>
      <c r="O1296" s="24">
        <v>5.6565656565656566</v>
      </c>
      <c r="P1296" s="24">
        <v>2.5222551928783385</v>
      </c>
      <c r="Q1296" s="24">
        <v>9.7774718436620489</v>
      </c>
      <c r="R1296" s="24">
        <v>6.11</v>
      </c>
      <c r="S1296" s="24">
        <v>6.2915209766904994</v>
      </c>
      <c r="T1296" s="24">
        <v>0.57272806627034356</v>
      </c>
      <c r="U1296" s="24" t="s">
        <v>4066</v>
      </c>
      <c r="V1296">
        <v>0</v>
      </c>
      <c r="W1296" s="21">
        <v>0</v>
      </c>
      <c r="X1296" s="56" t="str">
        <f>IFERROR(VLOOKUP(A1296,Output!A:F,6,0),"-")</f>
        <v>-</v>
      </c>
    </row>
    <row r="1297" spans="1:24" hidden="1" x14ac:dyDescent="0.25">
      <c r="A1297" s="21" t="s">
        <v>4407</v>
      </c>
      <c r="B1297" s="40" t="s">
        <v>4499</v>
      </c>
      <c r="C1297" s="21" t="s">
        <v>244</v>
      </c>
      <c r="D1297" s="21" t="s">
        <v>73</v>
      </c>
      <c r="E1297" s="21" t="s">
        <v>99</v>
      </c>
      <c r="F1297" s="55">
        <v>7.4597418037299564E-5</v>
      </c>
      <c r="G1297" s="21">
        <v>0</v>
      </c>
      <c r="H1297" s="21">
        <v>2.6260880000000002</v>
      </c>
      <c r="I1297" s="21">
        <v>0</v>
      </c>
      <c r="J1297" s="21">
        <v>0.8753628</v>
      </c>
      <c r="K1297" s="24">
        <v>0</v>
      </c>
      <c r="L1297" s="24">
        <v>0.76644670000000004</v>
      </c>
      <c r="M1297" s="24">
        <v>20.2332</v>
      </c>
      <c r="N1297" s="24">
        <v>6.9672460116216257</v>
      </c>
      <c r="O1297" s="24">
        <v>9.1666666666666661</v>
      </c>
      <c r="P1297" s="24">
        <v>1.7910447761194028</v>
      </c>
      <c r="Q1297" s="24">
        <v>1.4046419131672752</v>
      </c>
      <c r="R1297" s="24" t="e">
        <v>#N/A</v>
      </c>
      <c r="S1297" s="24">
        <v>2.1294491604636976</v>
      </c>
      <c r="T1297" s="24">
        <v>0.81988611921279619</v>
      </c>
      <c r="U1297" s="24" t="s">
        <v>4500</v>
      </c>
      <c r="V1297">
        <v>0</v>
      </c>
      <c r="W1297" s="21">
        <v>1</v>
      </c>
      <c r="X1297" s="56" t="str">
        <f>IFERROR(VLOOKUP(A1297,Output!A:F,6,0),"-")</f>
        <v>-</v>
      </c>
    </row>
    <row r="1298" spans="1:24" hidden="1" x14ac:dyDescent="0.25">
      <c r="A1298" s="21" t="s">
        <v>2025</v>
      </c>
      <c r="B1298" s="40" t="s">
        <v>2026</v>
      </c>
      <c r="C1298" s="21" t="s">
        <v>257</v>
      </c>
      <c r="D1298" s="21" t="s">
        <v>74</v>
      </c>
      <c r="E1298" s="21" t="s">
        <v>91</v>
      </c>
      <c r="F1298" s="55">
        <v>7.4540021617111666E-5</v>
      </c>
      <c r="G1298" s="24">
        <v>4.9237929999999999</v>
      </c>
      <c r="H1298" s="24">
        <v>4.4096200000000003</v>
      </c>
      <c r="I1298" s="24">
        <v>4.7719769999999997</v>
      </c>
      <c r="J1298" s="24">
        <v>4.6573979999999997</v>
      </c>
      <c r="K1298" s="24">
        <v>0.92112609999999995</v>
      </c>
      <c r="L1298" s="24">
        <v>3.503482</v>
      </c>
      <c r="M1298" s="24">
        <v>170.05260000000001</v>
      </c>
      <c r="N1298" s="24">
        <v>4.254834129692834</v>
      </c>
      <c r="O1298" s="24">
        <v>6.7010309278350508</v>
      </c>
      <c r="P1298" s="24">
        <v>7.3219373219373232</v>
      </c>
      <c r="Q1298" s="24">
        <v>2.7359245752912926</v>
      </c>
      <c r="R1298" s="24">
        <v>3.64</v>
      </c>
      <c r="S1298" s="24">
        <v>4.0592109641538832</v>
      </c>
      <c r="T1298" s="24">
        <v>0.67840270479375986</v>
      </c>
      <c r="U1298" s="24" t="s">
        <v>3646</v>
      </c>
      <c r="V1298">
        <v>0</v>
      </c>
      <c r="W1298" s="21">
        <v>0</v>
      </c>
      <c r="X1298" s="56" t="str">
        <f>IFERROR(VLOOKUP(A1298,Output!A:F,6,0),"-")</f>
        <v>-</v>
      </c>
    </row>
    <row r="1299" spans="1:24" x14ac:dyDescent="0.25">
      <c r="A1299" s="21" t="s">
        <v>1843</v>
      </c>
      <c r="B1299" s="40" t="s">
        <v>1844</v>
      </c>
      <c r="C1299" s="21" t="s">
        <v>253</v>
      </c>
      <c r="D1299" s="21" t="s">
        <v>75</v>
      </c>
      <c r="E1299" s="21" t="s">
        <v>102</v>
      </c>
      <c r="F1299" s="55">
        <v>7.4345930164304474E-5</v>
      </c>
      <c r="G1299" s="21">
        <v>6</v>
      </c>
      <c r="H1299" s="21">
        <v>6</v>
      </c>
      <c r="I1299" s="21">
        <v>4.5</v>
      </c>
      <c r="J1299" s="21">
        <v>5.55</v>
      </c>
      <c r="K1299" s="24">
        <v>5.5719070000000004</v>
      </c>
      <c r="L1299" s="24">
        <v>7.8889990000000001</v>
      </c>
      <c r="M1299" s="24">
        <v>25.781300000000002</v>
      </c>
      <c r="N1299" s="24">
        <v>2.6000006500001622</v>
      </c>
      <c r="O1299" s="24">
        <v>6.8749999999999982</v>
      </c>
      <c r="P1299" s="24">
        <v>0</v>
      </c>
      <c r="Q1299" s="24">
        <v>0.75936802051451746</v>
      </c>
      <c r="R1299" s="24">
        <v>6.79</v>
      </c>
      <c r="S1299" s="24">
        <v>3.2981238266029278</v>
      </c>
      <c r="T1299" s="24">
        <v>0.32040318051002392</v>
      </c>
      <c r="U1299" s="24" t="s">
        <v>3608</v>
      </c>
      <c r="V1299">
        <v>1</v>
      </c>
      <c r="W1299" s="21">
        <v>0</v>
      </c>
      <c r="X1299" s="56" t="str">
        <f>IFERROR(VLOOKUP(A1299,Output!A:F,6,0),"-")</f>
        <v>-</v>
      </c>
    </row>
    <row r="1300" spans="1:24" x14ac:dyDescent="0.25">
      <c r="A1300" s="21" t="s">
        <v>1126</v>
      </c>
      <c r="B1300" s="40" t="s">
        <v>1127</v>
      </c>
      <c r="C1300" s="21" t="s">
        <v>248</v>
      </c>
      <c r="D1300" s="21" t="s">
        <v>75</v>
      </c>
      <c r="E1300" s="21" t="s">
        <v>99</v>
      </c>
      <c r="F1300" s="55">
        <v>7.404007414850563E-5</v>
      </c>
      <c r="G1300" s="24">
        <v>5.2141929999999999</v>
      </c>
      <c r="H1300" s="24">
        <v>6.4313539999999998</v>
      </c>
      <c r="I1300" s="24">
        <v>1.719152</v>
      </c>
      <c r="J1300" s="24">
        <v>4.4549000000000003</v>
      </c>
      <c r="K1300" s="24">
        <v>2.3065709999999999</v>
      </c>
      <c r="L1300" s="24">
        <v>4.3598660000000002</v>
      </c>
      <c r="M1300" s="24">
        <v>3.1825000000000001</v>
      </c>
      <c r="N1300" s="24">
        <v>1.410565510838266</v>
      </c>
      <c r="O1300" s="24">
        <v>6.333333333333333</v>
      </c>
      <c r="P1300" s="24">
        <v>8.1614349775784749</v>
      </c>
      <c r="Q1300" s="24">
        <v>5.6611553240275345</v>
      </c>
      <c r="R1300" s="24">
        <v>6.05</v>
      </c>
      <c r="S1300" s="24">
        <v>6.1467004836478303</v>
      </c>
      <c r="T1300" s="24">
        <v>6.3359524330819705E-2</v>
      </c>
      <c r="U1300" s="24" t="s">
        <v>3208</v>
      </c>
      <c r="V1300">
        <v>0</v>
      </c>
      <c r="W1300" s="21">
        <v>1</v>
      </c>
      <c r="X1300" s="56" t="str">
        <f>IFERROR(VLOOKUP(A1300,Output!A:F,6,0),"-")</f>
        <v>-</v>
      </c>
    </row>
    <row r="1301" spans="1:24" x14ac:dyDescent="0.25">
      <c r="A1301" s="21" t="s">
        <v>1709</v>
      </c>
      <c r="B1301" s="40" t="s">
        <v>1710</v>
      </c>
      <c r="C1301" s="21" t="s">
        <v>248</v>
      </c>
      <c r="D1301" s="21" t="s">
        <v>75</v>
      </c>
      <c r="E1301" s="21" t="s">
        <v>92</v>
      </c>
      <c r="F1301" s="55">
        <v>7.3853487994464485E-5</v>
      </c>
      <c r="G1301" s="21">
        <v>5.4427450000000004</v>
      </c>
      <c r="H1301" s="21">
        <v>6.9247949999999996</v>
      </c>
      <c r="I1301" s="21">
        <v>2.7144159999999999</v>
      </c>
      <c r="J1301" s="21">
        <v>5.0688610000000001</v>
      </c>
      <c r="K1301" s="24">
        <v>1.9117649999999999</v>
      </c>
      <c r="L1301" s="24">
        <v>0.38127220000000001</v>
      </c>
      <c r="M1301" s="24">
        <v>31.508099999999999</v>
      </c>
      <c r="N1301" s="24">
        <v>0</v>
      </c>
      <c r="O1301" s="24">
        <v>0</v>
      </c>
      <c r="P1301" s="24">
        <v>5.3371430703020302</v>
      </c>
      <c r="Q1301" s="24">
        <v>1.4379912306805749</v>
      </c>
      <c r="R1301" s="24">
        <v>5.16</v>
      </c>
      <c r="S1301" s="24">
        <v>2.3214386174979782</v>
      </c>
      <c r="T1301" s="24">
        <v>0.35463394100068135</v>
      </c>
      <c r="U1301" s="24" t="s">
        <v>3497</v>
      </c>
      <c r="V1301">
        <v>0</v>
      </c>
      <c r="W1301" s="21">
        <v>0</v>
      </c>
      <c r="X1301" s="56" t="str">
        <f>IFERROR(VLOOKUP(A1301,Output!A:F,6,0),"-")</f>
        <v>-</v>
      </c>
    </row>
    <row r="1302" spans="1:24" x14ac:dyDescent="0.25">
      <c r="A1302" s="21" t="s">
        <v>1379</v>
      </c>
      <c r="B1302" s="40" t="s">
        <v>1380</v>
      </c>
      <c r="C1302" s="21" t="s">
        <v>248</v>
      </c>
      <c r="D1302" s="21" t="s">
        <v>75</v>
      </c>
      <c r="E1302" s="21" t="s">
        <v>99</v>
      </c>
      <c r="F1302" s="55">
        <v>7.3832712603108121E-5</v>
      </c>
      <c r="G1302" s="24">
        <v>5.0550300000000004</v>
      </c>
      <c r="H1302" s="24">
        <v>5.3624970000000003</v>
      </c>
      <c r="I1302" s="24">
        <v>3.5587979999999999</v>
      </c>
      <c r="J1302" s="24">
        <v>4.6984000000000004</v>
      </c>
      <c r="K1302" s="24">
        <v>1.4615659999999999</v>
      </c>
      <c r="L1302" s="24">
        <v>3.5207470000000001</v>
      </c>
      <c r="M1302" s="24">
        <v>46.961300000000001</v>
      </c>
      <c r="N1302" s="24">
        <v>3.7905164340045876</v>
      </c>
      <c r="O1302" s="24">
        <v>0.1111111111111112</v>
      </c>
      <c r="P1302" s="24">
        <v>7.174887892376681</v>
      </c>
      <c r="Q1302" s="24">
        <v>4.4285487034323161</v>
      </c>
      <c r="R1302" s="24">
        <v>4.28</v>
      </c>
      <c r="S1302" s="24">
        <v>5.4519902774721443</v>
      </c>
      <c r="T1302" s="24">
        <v>0.37092948077695292</v>
      </c>
      <c r="U1302" s="24" t="s">
        <v>3333</v>
      </c>
      <c r="V1302">
        <v>0</v>
      </c>
      <c r="W1302" s="21">
        <v>0</v>
      </c>
      <c r="X1302" s="56" t="str">
        <f>IFERROR(VLOOKUP(A1302,Output!A:F,6,0),"-")</f>
        <v>-</v>
      </c>
    </row>
    <row r="1303" spans="1:24" x14ac:dyDescent="0.25">
      <c r="A1303" s="21" t="s">
        <v>620</v>
      </c>
      <c r="B1303" s="40" t="s">
        <v>722</v>
      </c>
      <c r="C1303" s="21" t="s">
        <v>248</v>
      </c>
      <c r="D1303" s="21" t="s">
        <v>75</v>
      </c>
      <c r="E1303" s="21" t="s">
        <v>85</v>
      </c>
      <c r="F1303" s="55">
        <v>7.348861578220249E-5</v>
      </c>
      <c r="G1303" s="21">
        <v>3.8943310000000002</v>
      </c>
      <c r="H1303" s="21">
        <v>3.8613040000000001</v>
      </c>
      <c r="I1303" s="21">
        <v>3.1028349999999998</v>
      </c>
      <c r="J1303" s="21">
        <v>3.605747</v>
      </c>
      <c r="K1303" s="21">
        <v>3.018513</v>
      </c>
      <c r="L1303" s="21">
        <v>10.0564</v>
      </c>
      <c r="M1303" s="21">
        <v>10.1622</v>
      </c>
      <c r="N1303" s="21">
        <v>1.8624397518543554</v>
      </c>
      <c r="O1303" s="21">
        <v>7.741935483870968</v>
      </c>
      <c r="P1303" s="21">
        <v>3.2044198895027618</v>
      </c>
      <c r="Q1303" s="21">
        <v>8.7400094029149038</v>
      </c>
      <c r="R1303" s="21">
        <v>5.24</v>
      </c>
      <c r="S1303" s="21">
        <v>4.6725069601936271</v>
      </c>
      <c r="T1303" s="21">
        <v>0.22937170761335174</v>
      </c>
      <c r="U1303" s="21" t="s">
        <v>3008</v>
      </c>
      <c r="V1303">
        <v>0</v>
      </c>
      <c r="W1303" s="21">
        <v>1</v>
      </c>
      <c r="X1303" s="56" t="str">
        <f>IFERROR(VLOOKUP(A1303,Output!A:F,6,0),"-")</f>
        <v>-</v>
      </c>
    </row>
    <row r="1304" spans="1:24" x14ac:dyDescent="0.25">
      <c r="A1304" s="21" t="s">
        <v>2258</v>
      </c>
      <c r="B1304" s="40" t="s">
        <v>2259</v>
      </c>
      <c r="C1304" s="21" t="s">
        <v>255</v>
      </c>
      <c r="D1304" s="21" t="s">
        <v>75</v>
      </c>
      <c r="E1304" s="21" t="s">
        <v>90</v>
      </c>
      <c r="F1304" s="55">
        <v>7.3366921286393056E-5</v>
      </c>
      <c r="G1304" s="24">
        <v>5.5278879999999999</v>
      </c>
      <c r="H1304" s="24">
        <v>6.1337039999999998</v>
      </c>
      <c r="I1304" s="24">
        <v>6.1233420000000001</v>
      </c>
      <c r="J1304" s="24">
        <v>5.8882690000000002</v>
      </c>
      <c r="K1304" s="24">
        <v>4.9224569999999996</v>
      </c>
      <c r="L1304" s="24">
        <v>10.197480000000001</v>
      </c>
      <c r="M1304" s="24">
        <v>210.11240000000001</v>
      </c>
      <c r="N1304" s="24">
        <v>10</v>
      </c>
      <c r="O1304" s="24">
        <v>4.0963855421686732</v>
      </c>
      <c r="P1304" s="24">
        <v>1.6538461538461542</v>
      </c>
      <c r="Q1304" s="24">
        <v>7.4288636439711384</v>
      </c>
      <c r="R1304" s="24">
        <v>7.19</v>
      </c>
      <c r="S1304" s="24">
        <v>6.3969948287310441</v>
      </c>
      <c r="T1304" s="24">
        <v>0.37290658752923267</v>
      </c>
      <c r="U1304" s="24" t="s">
        <v>3771</v>
      </c>
      <c r="V1304">
        <v>0</v>
      </c>
      <c r="W1304" s="21">
        <v>0</v>
      </c>
      <c r="X1304" s="56" t="str">
        <f>IFERROR(VLOOKUP(A1304,Output!A:F,6,0),"-")</f>
        <v>-</v>
      </c>
    </row>
    <row r="1305" spans="1:24" hidden="1" x14ac:dyDescent="0.25">
      <c r="A1305" s="21" t="s">
        <v>489</v>
      </c>
      <c r="B1305" s="40" t="s">
        <v>878</v>
      </c>
      <c r="C1305" s="21" t="s">
        <v>245</v>
      </c>
      <c r="D1305" s="21" t="s">
        <v>73</v>
      </c>
      <c r="E1305" s="21" t="s">
        <v>90</v>
      </c>
      <c r="F1305" s="55">
        <v>7.3123341141052254E-5</v>
      </c>
      <c r="G1305" s="24">
        <v>4.567958</v>
      </c>
      <c r="H1305" s="24">
        <v>3.5243820000000001</v>
      </c>
      <c r="I1305" s="24">
        <v>6.9967410000000001</v>
      </c>
      <c r="J1305" s="24">
        <v>4.9835200000000004</v>
      </c>
      <c r="K1305" s="24">
        <v>2.8339690000000002</v>
      </c>
      <c r="L1305" s="24">
        <v>4.4404500000000002</v>
      </c>
      <c r="M1305" s="24">
        <v>104.46729999999999</v>
      </c>
      <c r="N1305" s="24">
        <v>0</v>
      </c>
      <c r="O1305" s="24">
        <v>0.82474226804123707</v>
      </c>
      <c r="P1305" s="24">
        <v>1.5352697095435683</v>
      </c>
      <c r="Q1305" s="24">
        <v>6.0689004247286444</v>
      </c>
      <c r="R1305" s="24">
        <v>5.22</v>
      </c>
      <c r="S1305" s="24">
        <v>3.1241252010676659</v>
      </c>
      <c r="T1305" s="24">
        <v>0.60983635308677209</v>
      </c>
      <c r="U1305" s="24" t="s">
        <v>2985</v>
      </c>
      <c r="V1305">
        <v>0</v>
      </c>
      <c r="W1305" s="21">
        <v>0</v>
      </c>
      <c r="X1305" s="56" t="str">
        <f>IFERROR(VLOOKUP(A1305,Output!A:F,6,0),"-")</f>
        <v>-</v>
      </c>
    </row>
    <row r="1306" spans="1:24" hidden="1" x14ac:dyDescent="0.25">
      <c r="A1306" s="21" t="s">
        <v>1729</v>
      </c>
      <c r="B1306" s="40" t="s">
        <v>1730</v>
      </c>
      <c r="C1306" s="21" t="s">
        <v>1441</v>
      </c>
      <c r="D1306" s="21" t="s">
        <v>74</v>
      </c>
      <c r="E1306" s="21" t="s">
        <v>98</v>
      </c>
      <c r="F1306" s="55">
        <v>7.3113723090622863E-5</v>
      </c>
      <c r="G1306" s="21">
        <v>7.0792539999999997</v>
      </c>
      <c r="H1306" s="21">
        <v>7.3937949999999999</v>
      </c>
      <c r="I1306" s="21">
        <v>2.76993</v>
      </c>
      <c r="J1306" s="21">
        <v>5.4813409999999996</v>
      </c>
      <c r="K1306" s="24">
        <v>5.7635350000000001</v>
      </c>
      <c r="L1306" s="24">
        <v>6.5209710000000003</v>
      </c>
      <c r="M1306" s="24">
        <v>14.715199999999999</v>
      </c>
      <c r="N1306" s="24">
        <v>2.7948791706723046</v>
      </c>
      <c r="O1306" s="24">
        <v>4.7368421052631575</v>
      </c>
      <c r="P1306" s="24">
        <v>7.4893617021276579</v>
      </c>
      <c r="Q1306" s="24">
        <v>6.6318421271718542</v>
      </c>
      <c r="R1306" s="24">
        <v>5.84</v>
      </c>
      <c r="S1306" s="24">
        <v>6.1317816297531582</v>
      </c>
      <c r="T1306" s="24">
        <v>0.3184480642325484</v>
      </c>
      <c r="U1306" s="24" t="s">
        <v>3481</v>
      </c>
      <c r="V1306">
        <v>0</v>
      </c>
      <c r="W1306" s="21">
        <v>0</v>
      </c>
      <c r="X1306" s="56" t="str">
        <f>IFERROR(VLOOKUP(A1306,Output!A:F,6,0),"-")</f>
        <v>-</v>
      </c>
    </row>
    <row r="1307" spans="1:24" hidden="1" x14ac:dyDescent="0.25">
      <c r="A1307" s="21" t="s">
        <v>1796</v>
      </c>
      <c r="B1307" s="40" t="s">
        <v>1797</v>
      </c>
      <c r="C1307" s="21" t="s">
        <v>257</v>
      </c>
      <c r="D1307" s="21" t="s">
        <v>74</v>
      </c>
      <c r="E1307" s="21" t="s">
        <v>99</v>
      </c>
      <c r="F1307" s="55">
        <v>7.2542324372906503E-5</v>
      </c>
      <c r="G1307" s="21">
        <v>4.4051619999999998</v>
      </c>
      <c r="H1307" s="21">
        <v>4.5177779999999998</v>
      </c>
      <c r="I1307" s="21">
        <v>5.3203940000000003</v>
      </c>
      <c r="J1307" s="21">
        <v>4.8163010000000002</v>
      </c>
      <c r="K1307" s="24">
        <v>0</v>
      </c>
      <c r="L1307" s="24">
        <v>-2.0171420000000002</v>
      </c>
      <c r="M1307" s="24">
        <v>8.9794</v>
      </c>
      <c r="N1307" s="24">
        <v>7.7887448447245831</v>
      </c>
      <c r="O1307" s="24">
        <v>2.2222222222222223</v>
      </c>
      <c r="P1307" s="24">
        <v>1.1374872403560832</v>
      </c>
      <c r="Q1307" s="24">
        <v>4.2899182526286772</v>
      </c>
      <c r="R1307" s="24" t="e">
        <v>#N/A</v>
      </c>
      <c r="S1307" s="24">
        <v>2.3106671873234434</v>
      </c>
      <c r="T1307" s="24">
        <v>1.045364165087131</v>
      </c>
      <c r="U1307" s="24" t="s">
        <v>3613</v>
      </c>
      <c r="V1307">
        <v>0</v>
      </c>
      <c r="W1307" s="21">
        <v>0</v>
      </c>
      <c r="X1307" s="56" t="str">
        <f>IFERROR(VLOOKUP(A1307,Output!A:F,6,0),"-")</f>
        <v>-</v>
      </c>
    </row>
    <row r="1308" spans="1:24" hidden="1" x14ac:dyDescent="0.25">
      <c r="A1308" s="21" t="s">
        <v>1220</v>
      </c>
      <c r="B1308" s="40" t="s">
        <v>1221</v>
      </c>
      <c r="C1308" s="21" t="s">
        <v>250</v>
      </c>
      <c r="D1308" s="21" t="s">
        <v>76</v>
      </c>
      <c r="E1308" s="21" t="s">
        <v>95</v>
      </c>
      <c r="F1308" s="55">
        <v>7.2457321330984052E-5</v>
      </c>
      <c r="G1308" s="24">
        <v>3.0284789999999999</v>
      </c>
      <c r="H1308" s="24">
        <v>3.6574390000000001</v>
      </c>
      <c r="I1308" s="24">
        <v>4.685333</v>
      </c>
      <c r="J1308" s="24">
        <v>3.8285140000000002</v>
      </c>
      <c r="K1308" s="24">
        <v>2.7790900000000001</v>
      </c>
      <c r="L1308" s="24">
        <v>3.939209</v>
      </c>
      <c r="M1308" s="24">
        <v>1806.271</v>
      </c>
      <c r="N1308" s="24">
        <v>0</v>
      </c>
      <c r="O1308" s="24">
        <v>3.7078651685393256</v>
      </c>
      <c r="P1308" s="24">
        <v>0</v>
      </c>
      <c r="Q1308" s="24">
        <v>1.4354583758611603</v>
      </c>
      <c r="R1308" s="24">
        <v>4.51</v>
      </c>
      <c r="S1308" s="24">
        <v>2.1620916751722321</v>
      </c>
      <c r="T1308" s="24">
        <v>0.25444604027397005</v>
      </c>
      <c r="U1308" s="24" t="s">
        <v>3256</v>
      </c>
      <c r="V1308">
        <v>1</v>
      </c>
      <c r="W1308" s="21">
        <v>1</v>
      </c>
      <c r="X1308" s="56" t="str">
        <f>IFERROR(VLOOKUP(A1308,Output!A:F,6,0),"-")</f>
        <v>-</v>
      </c>
    </row>
    <row r="1309" spans="1:24" hidden="1" x14ac:dyDescent="0.25">
      <c r="A1309" s="21" t="s">
        <v>400</v>
      </c>
      <c r="B1309" s="40" t="s">
        <v>401</v>
      </c>
      <c r="C1309" s="21" t="s">
        <v>245</v>
      </c>
      <c r="D1309" s="21" t="s">
        <v>73</v>
      </c>
      <c r="E1309" s="21" t="s">
        <v>92</v>
      </c>
      <c r="F1309" s="55">
        <v>7.2403033673957954E-5</v>
      </c>
      <c r="G1309" s="21">
        <v>6.4030389999999997</v>
      </c>
      <c r="H1309" s="21">
        <v>4.6419810000000004</v>
      </c>
      <c r="I1309" s="21">
        <v>5.8860190000000001</v>
      </c>
      <c r="J1309" s="21">
        <v>5.895721</v>
      </c>
      <c r="K1309" s="21">
        <v>3.335458</v>
      </c>
      <c r="L1309" s="21">
        <v>7.3696900000000003</v>
      </c>
      <c r="M1309" s="21">
        <v>40.0642</v>
      </c>
      <c r="N1309" s="21">
        <v>4.6022727272727275</v>
      </c>
      <c r="O1309" s="21">
        <v>5.8585858585858581</v>
      </c>
      <c r="P1309" s="21">
        <v>7.0957775608824827</v>
      </c>
      <c r="Q1309" s="21">
        <v>6.7749753119192988</v>
      </c>
      <c r="R1309" s="21">
        <v>7.49</v>
      </c>
      <c r="S1309" s="21">
        <v>7.302770024668706</v>
      </c>
      <c r="T1309" s="21">
        <v>0.53302630638811799</v>
      </c>
      <c r="U1309" s="21" t="s">
        <v>2898</v>
      </c>
      <c r="V1309">
        <v>0</v>
      </c>
      <c r="W1309" s="21">
        <v>0</v>
      </c>
      <c r="X1309" s="56" t="str">
        <f>IFERROR(VLOOKUP(A1309,Output!A:F,6,0),"-")</f>
        <v>-</v>
      </c>
    </row>
    <row r="1310" spans="1:24" hidden="1" x14ac:dyDescent="0.25">
      <c r="A1310" s="21" t="s">
        <v>600</v>
      </c>
      <c r="B1310" s="40" t="s">
        <v>891</v>
      </c>
      <c r="C1310" s="21" t="s">
        <v>250</v>
      </c>
      <c r="D1310" s="21" t="s">
        <v>76</v>
      </c>
      <c r="E1310" s="21" t="s">
        <v>92</v>
      </c>
      <c r="F1310" s="55">
        <v>7.2299287506564854E-5</v>
      </c>
      <c r="G1310" s="24">
        <v>2.664479</v>
      </c>
      <c r="H1310" s="24">
        <v>5.5371379999999997</v>
      </c>
      <c r="I1310" s="24">
        <v>5.5793910000000002</v>
      </c>
      <c r="J1310" s="24">
        <v>4.4007509999999996</v>
      </c>
      <c r="K1310" s="24">
        <v>4.7522260000000003</v>
      </c>
      <c r="L1310" s="24">
        <v>6.3667590000000001</v>
      </c>
      <c r="M1310" s="24">
        <v>91.511899999999997</v>
      </c>
      <c r="N1310" s="24">
        <v>1.1660613049389581</v>
      </c>
      <c r="O1310" s="24">
        <v>4.2424242424242431</v>
      </c>
      <c r="P1310" s="24">
        <v>2.6943005181347157</v>
      </c>
      <c r="Q1310" s="24">
        <v>10</v>
      </c>
      <c r="R1310" s="24">
        <v>6.9</v>
      </c>
      <c r="S1310" s="24">
        <v>6.1361714600210115</v>
      </c>
      <c r="T1310" s="24">
        <v>0.4196755333281369</v>
      </c>
      <c r="U1310" s="24" t="s">
        <v>2984</v>
      </c>
      <c r="V1310">
        <v>1</v>
      </c>
      <c r="W1310" s="21">
        <v>1</v>
      </c>
      <c r="X1310" s="56" t="str">
        <f>IFERROR(VLOOKUP(A1310,Output!A:F,6,0),"-")</f>
        <v>-</v>
      </c>
    </row>
    <row r="1311" spans="1:24" x14ac:dyDescent="0.25">
      <c r="A1311" s="21" t="s">
        <v>2089</v>
      </c>
      <c r="B1311" s="40" t="s">
        <v>2090</v>
      </c>
      <c r="C1311" s="21" t="s">
        <v>253</v>
      </c>
      <c r="D1311" s="21" t="s">
        <v>75</v>
      </c>
      <c r="E1311" s="21" t="s">
        <v>97</v>
      </c>
      <c r="F1311" s="55">
        <v>7.2080939652517878E-5</v>
      </c>
      <c r="G1311" s="21">
        <v>5.4351529999999997</v>
      </c>
      <c r="H1311" s="21">
        <v>4.9902610000000003</v>
      </c>
      <c r="I1311" s="21">
        <v>5.0579409999999996</v>
      </c>
      <c r="J1311" s="21">
        <v>5.19529</v>
      </c>
      <c r="K1311" s="24">
        <v>5.594805</v>
      </c>
      <c r="L1311" s="24">
        <v>8.7592339999999993</v>
      </c>
      <c r="M1311" s="24">
        <v>71.781999999999996</v>
      </c>
      <c r="N1311" s="24">
        <v>4.7347347347347348</v>
      </c>
      <c r="O1311" s="69">
        <v>1.8681318681318679</v>
      </c>
      <c r="P1311" s="24">
        <v>6.2711864406779663</v>
      </c>
      <c r="Q1311" s="24">
        <v>9.1019880285285932</v>
      </c>
      <c r="R1311" s="24">
        <v>6.14</v>
      </c>
      <c r="S1311" s="24">
        <v>6.1200879152117889</v>
      </c>
      <c r="T1311" s="24">
        <v>0.51096947039251395</v>
      </c>
      <c r="U1311" s="24" t="s">
        <v>3712</v>
      </c>
      <c r="V1311">
        <v>0</v>
      </c>
      <c r="W1311" s="21">
        <v>0</v>
      </c>
      <c r="X1311" s="56" t="str">
        <f>IFERROR(VLOOKUP(A1311,Output!A:F,6,0),"-")</f>
        <v>-</v>
      </c>
    </row>
    <row r="1312" spans="1:24" hidden="1" x14ac:dyDescent="0.25">
      <c r="A1312" s="21" t="s">
        <v>2154</v>
      </c>
      <c r="B1312" s="40" t="s">
        <v>2155</v>
      </c>
      <c r="C1312" s="21" t="s">
        <v>669</v>
      </c>
      <c r="D1312" s="21" t="s">
        <v>74</v>
      </c>
      <c r="E1312" s="21" t="s">
        <v>102</v>
      </c>
      <c r="F1312" s="55">
        <v>7.20383626761401E-5</v>
      </c>
      <c r="G1312" s="24">
        <v>7.8854899999999999</v>
      </c>
      <c r="H1312" s="24">
        <v>5.3807479999999996</v>
      </c>
      <c r="I1312" s="24">
        <v>5.556667</v>
      </c>
      <c r="J1312" s="24">
        <v>6.9187770000000004</v>
      </c>
      <c r="K1312" s="24">
        <v>3.6730420000000001</v>
      </c>
      <c r="L1312" s="24">
        <v>5.6444910000000004</v>
      </c>
      <c r="M1312" s="24">
        <v>125.34269999999999</v>
      </c>
      <c r="N1312" s="24">
        <v>4.3373830257393555</v>
      </c>
      <c r="O1312" s="24">
        <v>0.43956043956043961</v>
      </c>
      <c r="P1312" s="24">
        <v>8.4756097560975601</v>
      </c>
      <c r="Q1312" s="24">
        <v>4.7325339374656821</v>
      </c>
      <c r="R1312" s="24">
        <v>3.27</v>
      </c>
      <c r="S1312" s="24">
        <v>4.4779214368268434</v>
      </c>
      <c r="T1312" s="24">
        <v>0.16041587225307496</v>
      </c>
      <c r="U1312" s="24" t="s">
        <v>3714</v>
      </c>
      <c r="V1312">
        <v>0</v>
      </c>
      <c r="W1312" s="21">
        <v>0</v>
      </c>
      <c r="X1312" s="56" t="str">
        <f>IFERROR(VLOOKUP(A1312,Output!A:F,6,0),"-")</f>
        <v>-</v>
      </c>
    </row>
    <row r="1313" spans="1:24" hidden="1" x14ac:dyDescent="0.25">
      <c r="A1313" s="21" t="s">
        <v>4169</v>
      </c>
      <c r="B1313" s="40" t="s">
        <v>4170</v>
      </c>
      <c r="C1313" s="21" t="s">
        <v>246</v>
      </c>
      <c r="D1313" s="21" t="s">
        <v>74</v>
      </c>
      <c r="E1313" s="21" t="s">
        <v>91</v>
      </c>
      <c r="F1313" s="55">
        <v>7.1975674316071596E-5</v>
      </c>
      <c r="G1313" s="24">
        <v>6.4550840000000003</v>
      </c>
      <c r="H1313" s="24">
        <v>5.0493579999999998</v>
      </c>
      <c r="I1313" s="24">
        <v>7.8121489999999998</v>
      </c>
      <c r="J1313" s="24">
        <v>6.4356200000000001</v>
      </c>
      <c r="K1313" s="24">
        <v>0</v>
      </c>
      <c r="L1313" s="24">
        <v>3.800357</v>
      </c>
      <c r="M1313" s="24">
        <v>4.8944999999999999</v>
      </c>
      <c r="N1313" s="24">
        <v>5.1922634812286699</v>
      </c>
      <c r="O1313" s="24">
        <v>5.0515463917525771</v>
      </c>
      <c r="P1313" s="24" t="e">
        <v>#N/A</v>
      </c>
      <c r="Q1313" s="24">
        <v>5.0887959915799454</v>
      </c>
      <c r="R1313" s="24" t="e">
        <v>#N/A</v>
      </c>
      <c r="S1313" s="24" t="e">
        <v>#N/A</v>
      </c>
      <c r="T1313" s="24">
        <v>0.21690311605851287</v>
      </c>
      <c r="U1313" s="24" t="s">
        <v>4171</v>
      </c>
      <c r="V1313">
        <v>0</v>
      </c>
      <c r="W1313" s="21">
        <v>0</v>
      </c>
      <c r="X1313" s="56" t="str">
        <f>IFERROR(VLOOKUP(A1313,Output!A:F,6,0),"-")</f>
        <v>-</v>
      </c>
    </row>
    <row r="1314" spans="1:24" x14ac:dyDescent="0.25">
      <c r="A1314" s="21" t="s">
        <v>510</v>
      </c>
      <c r="B1314" s="40" t="s">
        <v>960</v>
      </c>
      <c r="C1314" s="21" t="s">
        <v>248</v>
      </c>
      <c r="D1314" s="21" t="s">
        <v>75</v>
      </c>
      <c r="E1314" s="21" t="s">
        <v>97</v>
      </c>
      <c r="F1314" s="55">
        <v>7.1922141213210986E-5</v>
      </c>
      <c r="G1314" s="21">
        <v>3.9773839999999998</v>
      </c>
      <c r="H1314" s="21">
        <v>3.9693000000000001</v>
      </c>
      <c r="I1314" s="21">
        <v>3.391232</v>
      </c>
      <c r="J1314" s="21">
        <v>3.7413059999999998</v>
      </c>
      <c r="K1314" s="24">
        <v>4.9750439999999996</v>
      </c>
      <c r="L1314" s="24">
        <v>4.4674259999999997</v>
      </c>
      <c r="M1314" s="24">
        <v>60.159100000000002</v>
      </c>
      <c r="N1314" s="24">
        <v>2.0520520520520522</v>
      </c>
      <c r="O1314" s="24">
        <v>5.4945054945054936</v>
      </c>
      <c r="P1314" s="24">
        <v>3.7288135593220337</v>
      </c>
      <c r="Q1314" s="24">
        <v>3.664869228727619</v>
      </c>
      <c r="R1314" s="24">
        <v>5.43</v>
      </c>
      <c r="S1314" s="24">
        <v>4.1571441825806703</v>
      </c>
      <c r="T1314" s="24">
        <v>-8.6225533355116915E-2</v>
      </c>
      <c r="U1314" s="24" t="s">
        <v>3070</v>
      </c>
      <c r="V1314">
        <v>0</v>
      </c>
      <c r="W1314" s="21">
        <v>1</v>
      </c>
      <c r="X1314" s="56" t="str">
        <f>IFERROR(VLOOKUP(A1314,Output!A:F,6,0),"-")</f>
        <v>-</v>
      </c>
    </row>
    <row r="1315" spans="1:24" x14ac:dyDescent="0.25">
      <c r="A1315" s="21" t="s">
        <v>2051</v>
      </c>
      <c r="B1315" s="40" t="s">
        <v>2052</v>
      </c>
      <c r="C1315" s="21" t="s">
        <v>253</v>
      </c>
      <c r="D1315" s="21" t="s">
        <v>75</v>
      </c>
      <c r="E1315" s="21" t="s">
        <v>97</v>
      </c>
      <c r="F1315" s="55">
        <v>7.1887200324987919E-5</v>
      </c>
      <c r="G1315" s="24">
        <v>5.3214129999999997</v>
      </c>
      <c r="H1315" s="24">
        <v>5.1177720000000004</v>
      </c>
      <c r="I1315" s="24">
        <v>5.4290779999999996</v>
      </c>
      <c r="J1315" s="24">
        <v>5.3237500000000004</v>
      </c>
      <c r="K1315" s="24">
        <v>7.8276260000000004</v>
      </c>
      <c r="L1315" s="24">
        <v>9.5058910000000001</v>
      </c>
      <c r="M1315" s="24">
        <v>35.655299999999997</v>
      </c>
      <c r="N1315" s="24">
        <v>7.681013013013013</v>
      </c>
      <c r="O1315" s="24">
        <v>3.1868131868131866</v>
      </c>
      <c r="P1315" s="24">
        <v>0</v>
      </c>
      <c r="Q1315" s="24">
        <v>6.715122932886592</v>
      </c>
      <c r="R1315" s="24">
        <v>7.29</v>
      </c>
      <c r="S1315" s="24">
        <v>5.0420069132591019</v>
      </c>
      <c r="T1315" s="24">
        <v>0.64277314523533624</v>
      </c>
      <c r="U1315" s="24" t="s">
        <v>3692</v>
      </c>
      <c r="V1315">
        <v>0</v>
      </c>
      <c r="W1315" s="21">
        <v>0</v>
      </c>
      <c r="X1315" s="56" t="str">
        <f>IFERROR(VLOOKUP(A1315,Output!A:F,6,0),"-")</f>
        <v>-</v>
      </c>
    </row>
    <row r="1316" spans="1:24" hidden="1" x14ac:dyDescent="0.25">
      <c r="A1316" s="21" t="s">
        <v>1594</v>
      </c>
      <c r="B1316" s="40" t="s">
        <v>1595</v>
      </c>
      <c r="C1316" s="21" t="s">
        <v>247</v>
      </c>
      <c r="D1316" s="21" t="s">
        <v>74</v>
      </c>
      <c r="E1316" s="21" t="s">
        <v>93</v>
      </c>
      <c r="F1316" s="55">
        <v>7.1731359738009721E-5</v>
      </c>
      <c r="G1316" s="21">
        <v>5.4671240000000001</v>
      </c>
      <c r="H1316" s="21">
        <v>6.2712729999999999</v>
      </c>
      <c r="I1316" s="21">
        <v>4.2491690000000002</v>
      </c>
      <c r="J1316" s="21">
        <v>5.322292</v>
      </c>
      <c r="K1316" s="24">
        <v>9.8769989999999996</v>
      </c>
      <c r="L1316" s="24">
        <v>8.6684009999999994</v>
      </c>
      <c r="M1316" s="24">
        <v>0.4758</v>
      </c>
      <c r="N1316" s="24">
        <v>4.4360510266908726</v>
      </c>
      <c r="O1316" s="24">
        <v>5.0505050505050511</v>
      </c>
      <c r="P1316" s="24">
        <v>3.4210526315789473</v>
      </c>
      <c r="Q1316" s="24">
        <v>5.5016538037486216</v>
      </c>
      <c r="R1316" s="24">
        <v>5.83</v>
      </c>
      <c r="S1316" s="24">
        <v>4.819811928906919</v>
      </c>
      <c r="T1316" s="24">
        <v>0.52465940871691708</v>
      </c>
      <c r="U1316" s="24" t="s">
        <v>3460</v>
      </c>
      <c r="V1316">
        <v>0</v>
      </c>
      <c r="W1316" s="21">
        <v>0</v>
      </c>
      <c r="X1316" s="56" t="str">
        <f>IFERROR(VLOOKUP(A1316,Output!A:F,6,0),"-")</f>
        <v>-</v>
      </c>
    </row>
    <row r="1317" spans="1:24" hidden="1" x14ac:dyDescent="0.25">
      <c r="A1317" s="21" t="s">
        <v>1855</v>
      </c>
      <c r="B1317" s="40" t="s">
        <v>1856</v>
      </c>
      <c r="C1317" s="21" t="s">
        <v>249</v>
      </c>
      <c r="D1317" s="21" t="s">
        <v>74</v>
      </c>
      <c r="E1317" s="21" t="s">
        <v>92</v>
      </c>
      <c r="F1317" s="55">
        <v>7.1555830317673465E-5</v>
      </c>
      <c r="G1317" s="24">
        <v>7.324878</v>
      </c>
      <c r="H1317" s="24">
        <v>6.4798879999999999</v>
      </c>
      <c r="I1317" s="24">
        <v>6.3137189999999999</v>
      </c>
      <c r="J1317" s="24">
        <v>6.7680340000000001</v>
      </c>
      <c r="K1317" s="24">
        <v>0.38725920000000003</v>
      </c>
      <c r="L1317" s="24">
        <v>4.9918149999999999</v>
      </c>
      <c r="M1317" s="24">
        <v>28.651700000000002</v>
      </c>
      <c r="N1317" s="24">
        <v>3.5382725925925924</v>
      </c>
      <c r="O1317" s="24">
        <v>0.1020408163265306</v>
      </c>
      <c r="P1317" s="24">
        <v>0.65753424657534221</v>
      </c>
      <c r="Q1317" s="24">
        <v>8.6116999569645802</v>
      </c>
      <c r="R1317" s="24">
        <v>0.7</v>
      </c>
      <c r="S1317" s="24">
        <v>3.1973332864920514</v>
      </c>
      <c r="T1317" s="24">
        <v>0.76748073991410393</v>
      </c>
      <c r="U1317" s="24" t="s">
        <v>3550</v>
      </c>
      <c r="V1317">
        <v>0</v>
      </c>
      <c r="W1317" s="21">
        <v>0</v>
      </c>
      <c r="X1317" s="56" t="str">
        <f>IFERROR(VLOOKUP(A1317,Output!A:F,6,0),"-")</f>
        <v>-</v>
      </c>
    </row>
    <row r="1318" spans="1:24" x14ac:dyDescent="0.25">
      <c r="A1318" s="21" t="s">
        <v>1034</v>
      </c>
      <c r="B1318" s="40" t="s">
        <v>1035</v>
      </c>
      <c r="C1318" s="21" t="s">
        <v>248</v>
      </c>
      <c r="D1318" s="21" t="s">
        <v>75</v>
      </c>
      <c r="E1318" s="21" t="s">
        <v>92</v>
      </c>
      <c r="F1318" s="55">
        <v>7.1436057419805467E-5</v>
      </c>
      <c r="G1318" s="21">
        <v>5.6594340000000001</v>
      </c>
      <c r="H1318" s="21">
        <v>5.8258520000000003</v>
      </c>
      <c r="I1318" s="21">
        <v>4.0101180000000003</v>
      </c>
      <c r="J1318" s="21">
        <v>5.2145650000000003</v>
      </c>
      <c r="K1318" s="24">
        <v>1.145213</v>
      </c>
      <c r="L1318" s="24">
        <v>4.910215</v>
      </c>
      <c r="M1318" s="24">
        <v>32.618000000000002</v>
      </c>
      <c r="N1318" s="24">
        <v>6.0157693577681313</v>
      </c>
      <c r="O1318" s="24">
        <v>3.5789473684210527</v>
      </c>
      <c r="P1318" s="24">
        <v>2.8685717545795764</v>
      </c>
      <c r="Q1318" s="24">
        <v>4.4298458809419294</v>
      </c>
      <c r="R1318" s="24">
        <v>2.6</v>
      </c>
      <c r="S1318" s="24">
        <v>4.5266330339020993</v>
      </c>
      <c r="T1318" s="24">
        <v>0.21665524947254147</v>
      </c>
      <c r="U1318" s="24" t="s">
        <v>3177</v>
      </c>
      <c r="V1318">
        <v>0</v>
      </c>
      <c r="W1318" s="21">
        <v>0</v>
      </c>
      <c r="X1318" s="56" t="str">
        <f>IFERROR(VLOOKUP(A1318,Output!A:F,6,0),"-")</f>
        <v>-</v>
      </c>
    </row>
    <row r="1319" spans="1:24" x14ac:dyDescent="0.25">
      <c r="A1319" s="21" t="s">
        <v>1548</v>
      </c>
      <c r="B1319" s="40" t="s">
        <v>1549</v>
      </c>
      <c r="C1319" s="21" t="s">
        <v>253</v>
      </c>
      <c r="D1319" s="21" t="s">
        <v>75</v>
      </c>
      <c r="E1319" s="21" t="s">
        <v>100</v>
      </c>
      <c r="F1319" s="55">
        <v>7.1163542637398865E-5</v>
      </c>
      <c r="G1319" s="24">
        <v>3.9481109999999999</v>
      </c>
      <c r="H1319" s="24">
        <v>3.436315</v>
      </c>
      <c r="I1319" s="24">
        <v>4.0622449999999999</v>
      </c>
      <c r="J1319" s="24">
        <v>3.8155570000000001</v>
      </c>
      <c r="K1319" s="24">
        <v>8.5242290000000001</v>
      </c>
      <c r="L1319" s="24">
        <v>7.5992360000000003</v>
      </c>
      <c r="M1319" s="24">
        <v>92.339799999999997</v>
      </c>
      <c r="N1319" s="24">
        <v>8.8432607802874728</v>
      </c>
      <c r="O1319" s="24">
        <v>6.5151515151515138</v>
      </c>
      <c r="P1319" s="24">
        <v>8.9743589743589745</v>
      </c>
      <c r="Q1319" s="24">
        <v>6.7038893507616217</v>
      </c>
      <c r="R1319" s="24">
        <v>8.23</v>
      </c>
      <c r="S1319" s="24">
        <v>8.4108567307851878</v>
      </c>
      <c r="T1319" s="24">
        <v>0.17069064080524246</v>
      </c>
      <c r="U1319" s="24" t="s">
        <v>3414</v>
      </c>
      <c r="V1319">
        <v>0</v>
      </c>
      <c r="W1319" s="21">
        <v>1</v>
      </c>
      <c r="X1319" s="56" t="str">
        <f>IFERROR(VLOOKUP(A1319,Output!A:F,6,0),"-")</f>
        <v>-</v>
      </c>
    </row>
    <row r="1320" spans="1:24" hidden="1" x14ac:dyDescent="0.25">
      <c r="A1320" s="21" t="s">
        <v>2513</v>
      </c>
      <c r="B1320" s="40" t="s">
        <v>2514</v>
      </c>
      <c r="C1320" s="21" t="s">
        <v>305</v>
      </c>
      <c r="D1320" s="21" t="s">
        <v>74</v>
      </c>
      <c r="E1320" s="21" t="s">
        <v>92</v>
      </c>
      <c r="F1320" s="55">
        <v>7.105710019645444E-5</v>
      </c>
      <c r="G1320" s="24">
        <v>3.1492179999999999</v>
      </c>
      <c r="H1320" s="24">
        <v>4.7170909999999999</v>
      </c>
      <c r="I1320" s="24">
        <v>3.416493</v>
      </c>
      <c r="J1320" s="24">
        <v>3.6997620000000002</v>
      </c>
      <c r="K1320" s="24">
        <v>1.19214</v>
      </c>
      <c r="L1320" s="24">
        <v>-2.330381</v>
      </c>
      <c r="M1320" s="24">
        <v>376.24799999999999</v>
      </c>
      <c r="N1320" s="24">
        <v>4.007407407407408</v>
      </c>
      <c r="O1320" s="24">
        <v>1.2244897959183672</v>
      </c>
      <c r="P1320" s="24">
        <v>2.8493150684931501</v>
      </c>
      <c r="Q1320" s="24">
        <v>10</v>
      </c>
      <c r="R1320" s="24">
        <v>2.8</v>
      </c>
      <c r="S1320" s="24">
        <v>3.5830561480701606</v>
      </c>
      <c r="T1320" s="24">
        <v>0.31395036122805714</v>
      </c>
      <c r="U1320" s="24" t="s">
        <v>3937</v>
      </c>
      <c r="V1320">
        <v>0</v>
      </c>
      <c r="W1320" s="21">
        <v>1</v>
      </c>
      <c r="X1320" s="56" t="str">
        <f>IFERROR(VLOOKUP(A1320,Output!A:F,6,0),"-")</f>
        <v>-</v>
      </c>
    </row>
    <row r="1321" spans="1:24" x14ac:dyDescent="0.25">
      <c r="A1321" s="21" t="s">
        <v>1466</v>
      </c>
      <c r="B1321" s="40" t="s">
        <v>1467</v>
      </c>
      <c r="C1321" s="21" t="s">
        <v>248</v>
      </c>
      <c r="D1321" s="21" t="s">
        <v>75</v>
      </c>
      <c r="E1321" s="21" t="s">
        <v>92</v>
      </c>
      <c r="F1321" s="55">
        <v>7.0680295967655583E-5</v>
      </c>
      <c r="G1321" s="21">
        <v>7.0968280000000004</v>
      </c>
      <c r="H1321" s="21">
        <v>5.894514</v>
      </c>
      <c r="I1321" s="21">
        <v>2.8717860000000002</v>
      </c>
      <c r="J1321" s="21">
        <v>5.4686209999999997</v>
      </c>
      <c r="K1321" s="24">
        <v>2.7380469999999999</v>
      </c>
      <c r="L1321" s="24">
        <v>4.4128970000000001</v>
      </c>
      <c r="M1321" s="24">
        <v>35.755899999999997</v>
      </c>
      <c r="N1321" s="24">
        <v>3.0696460519995847</v>
      </c>
      <c r="O1321" s="24">
        <v>1.4736842105263157</v>
      </c>
      <c r="P1321" s="24">
        <v>7.9428572368979555</v>
      </c>
      <c r="Q1321" s="24">
        <v>5.8561998587995854</v>
      </c>
      <c r="R1321" s="24">
        <v>6.02</v>
      </c>
      <c r="S1321" s="24">
        <v>5.973797336983095</v>
      </c>
      <c r="T1321" s="24">
        <v>0.11083839266619078</v>
      </c>
      <c r="U1321" s="24" t="s">
        <v>3356</v>
      </c>
      <c r="V1321">
        <v>0</v>
      </c>
      <c r="W1321" s="21">
        <v>0</v>
      </c>
      <c r="X1321" s="56" t="str">
        <f>IFERROR(VLOOKUP(A1321,Output!A:F,6,0),"-")</f>
        <v>-</v>
      </c>
    </row>
    <row r="1322" spans="1:24" hidden="1" x14ac:dyDescent="0.25">
      <c r="A1322" s="21" t="s">
        <v>1786</v>
      </c>
      <c r="B1322" s="40" t="s">
        <v>1787</v>
      </c>
      <c r="C1322" s="21" t="s">
        <v>257</v>
      </c>
      <c r="D1322" s="21" t="s">
        <v>74</v>
      </c>
      <c r="E1322" s="21" t="s">
        <v>96</v>
      </c>
      <c r="F1322" s="55">
        <v>7.0567676243276373E-5</v>
      </c>
      <c r="G1322" s="24">
        <v>6.2993980000000001</v>
      </c>
      <c r="H1322" s="24">
        <v>7.7925389999999997</v>
      </c>
      <c r="I1322" s="24">
        <v>4.8115889999999997</v>
      </c>
      <c r="J1322" s="24">
        <v>6.3011759999999999</v>
      </c>
      <c r="K1322" s="24">
        <v>2.0325009999999999</v>
      </c>
      <c r="L1322" s="24">
        <v>4.6521270000000001</v>
      </c>
      <c r="M1322" s="24">
        <v>5.3768000000000002</v>
      </c>
      <c r="N1322" s="24">
        <v>6.4874065902025002</v>
      </c>
      <c r="O1322" s="24">
        <v>0.80808080808080818</v>
      </c>
      <c r="P1322" s="24">
        <v>5.3115727002967361</v>
      </c>
      <c r="Q1322" s="24">
        <v>4.99159213667025</v>
      </c>
      <c r="R1322" s="24">
        <v>3.13</v>
      </c>
      <c r="S1322" s="24">
        <v>4.1203524361854775</v>
      </c>
      <c r="T1322" s="24">
        <v>0.44344553948121151</v>
      </c>
      <c r="U1322" s="24" t="s">
        <v>3512</v>
      </c>
      <c r="V1322">
        <v>0</v>
      </c>
      <c r="W1322" s="21">
        <v>0</v>
      </c>
      <c r="X1322" s="56" t="str">
        <f>IFERROR(VLOOKUP(A1322,Output!A:F,6,0),"-")</f>
        <v>-</v>
      </c>
    </row>
    <row r="1323" spans="1:24" hidden="1" x14ac:dyDescent="0.25">
      <c r="A1323" s="21" t="s">
        <v>1888</v>
      </c>
      <c r="B1323" s="40" t="s">
        <v>1889</v>
      </c>
      <c r="C1323" s="21" t="s">
        <v>258</v>
      </c>
      <c r="D1323" s="21" t="s">
        <v>74</v>
      </c>
      <c r="E1323" s="21" t="s">
        <v>92</v>
      </c>
      <c r="F1323" s="55">
        <v>7.027476837695726E-5</v>
      </c>
      <c r="G1323" s="24">
        <v>7.7690060000000001</v>
      </c>
      <c r="H1323" s="24">
        <v>6.5727169999999999</v>
      </c>
      <c r="I1323" s="24">
        <v>6.4556019999999998</v>
      </c>
      <c r="J1323" s="24">
        <v>6.8906140000000002</v>
      </c>
      <c r="K1323" s="24">
        <v>0</v>
      </c>
      <c r="L1323" s="24">
        <v>8.1049880000000005</v>
      </c>
      <c r="M1323" s="24">
        <v>2.1583000000000001</v>
      </c>
      <c r="N1323" s="24">
        <v>5.8851851851851862</v>
      </c>
      <c r="O1323" s="24">
        <v>2.1428571428571428</v>
      </c>
      <c r="P1323" s="24">
        <v>0.10958904109589039</v>
      </c>
      <c r="Q1323" s="24">
        <v>6.7305059380134979</v>
      </c>
      <c r="R1323" s="24" t="e">
        <v>#N/A</v>
      </c>
      <c r="S1323" s="24">
        <v>3.9314455054241924</v>
      </c>
      <c r="T1323" s="24">
        <v>0.61176826409620255</v>
      </c>
      <c r="U1323" s="24" t="s">
        <v>3604</v>
      </c>
      <c r="V1323">
        <v>0</v>
      </c>
      <c r="W1323" s="21">
        <v>0</v>
      </c>
      <c r="X1323" s="56" t="str">
        <f>IFERROR(VLOOKUP(A1323,Output!A:F,6,0),"-")</f>
        <v>-</v>
      </c>
    </row>
    <row r="1324" spans="1:24" x14ac:dyDescent="0.25">
      <c r="A1324" s="21" t="s">
        <v>1607</v>
      </c>
      <c r="B1324" s="40" t="s">
        <v>1608</v>
      </c>
      <c r="C1324" s="21" t="s">
        <v>248</v>
      </c>
      <c r="D1324" s="21" t="s">
        <v>75</v>
      </c>
      <c r="E1324" s="21" t="s">
        <v>90</v>
      </c>
      <c r="F1324" s="55">
        <v>6.9863777814100825E-5</v>
      </c>
      <c r="G1324" s="24">
        <v>5.6056080000000001</v>
      </c>
      <c r="H1324" s="24">
        <v>5.7932930000000002</v>
      </c>
      <c r="I1324" s="24">
        <v>1.8999200000000001</v>
      </c>
      <c r="J1324" s="24">
        <v>4.5502070000000003</v>
      </c>
      <c r="K1324" s="24">
        <v>2.0708549999999999</v>
      </c>
      <c r="L1324" s="24">
        <v>5.9477169999999999</v>
      </c>
      <c r="M1324" s="24">
        <v>109.626</v>
      </c>
      <c r="N1324" s="24">
        <v>2.2894831199068686</v>
      </c>
      <c r="O1324" s="24">
        <v>4.5783132530120474</v>
      </c>
      <c r="P1324" s="24">
        <v>5.384615384615385</v>
      </c>
      <c r="Q1324" s="24">
        <v>6.5177341901059336</v>
      </c>
      <c r="R1324" s="24">
        <v>4.6900000000000004</v>
      </c>
      <c r="S1324" s="24">
        <v>4.7672348133736691</v>
      </c>
      <c r="T1324" s="24">
        <v>0.44972896832554099</v>
      </c>
      <c r="U1324" s="24" t="s">
        <v>3466</v>
      </c>
      <c r="V1324">
        <v>0</v>
      </c>
      <c r="W1324" s="21">
        <v>1</v>
      </c>
      <c r="X1324" s="56" t="str">
        <f>IFERROR(VLOOKUP(A1324,Output!A:F,6,0),"-")</f>
        <v>-</v>
      </c>
    </row>
    <row r="1325" spans="1:24" hidden="1" x14ac:dyDescent="0.25">
      <c r="A1325" s="21" t="s">
        <v>1040</v>
      </c>
      <c r="B1325" s="40" t="s">
        <v>1041</v>
      </c>
      <c r="C1325" s="21" t="s">
        <v>244</v>
      </c>
      <c r="D1325" s="21" t="s">
        <v>73</v>
      </c>
      <c r="E1325" s="21" t="s">
        <v>94</v>
      </c>
      <c r="F1325" s="55">
        <v>6.9746912464950487E-5</v>
      </c>
      <c r="G1325" s="21">
        <v>5.7251719999999997</v>
      </c>
      <c r="H1325" s="21">
        <v>5.9698729999999998</v>
      </c>
      <c r="I1325" s="21">
        <v>4.9752510000000001</v>
      </c>
      <c r="J1325" s="21">
        <v>5.5230839999999999</v>
      </c>
      <c r="K1325" s="24">
        <v>1.850981</v>
      </c>
      <c r="L1325" s="24">
        <v>10.21683</v>
      </c>
      <c r="M1325" s="24">
        <v>5.8365</v>
      </c>
      <c r="N1325" s="24">
        <v>0.42863140686341339</v>
      </c>
      <c r="O1325" s="24">
        <v>4.0816326530612237</v>
      </c>
      <c r="P1325" s="24">
        <v>4.6294513748968296</v>
      </c>
      <c r="Q1325" s="24">
        <v>9.0781549084363</v>
      </c>
      <c r="R1325" s="24">
        <v>6.12</v>
      </c>
      <c r="S1325" s="24">
        <v>6.1069320836555026</v>
      </c>
      <c r="T1325" s="24">
        <v>0.69714920956738502</v>
      </c>
      <c r="U1325" s="24" t="s">
        <v>3146</v>
      </c>
      <c r="V1325">
        <v>0</v>
      </c>
      <c r="W1325" s="21">
        <v>0</v>
      </c>
      <c r="X1325" s="56" t="str">
        <f>IFERROR(VLOOKUP(A1325,Output!A:F,6,0),"-")</f>
        <v>-</v>
      </c>
    </row>
    <row r="1326" spans="1:24" hidden="1" x14ac:dyDescent="0.25">
      <c r="A1326" s="21" t="s">
        <v>1437</v>
      </c>
      <c r="B1326" s="40" t="s">
        <v>1438</v>
      </c>
      <c r="C1326" s="21" t="s">
        <v>968</v>
      </c>
      <c r="D1326" s="21" t="s">
        <v>76</v>
      </c>
      <c r="E1326" s="21" t="s">
        <v>102</v>
      </c>
      <c r="F1326" s="55">
        <v>6.9598818634071278E-5</v>
      </c>
      <c r="G1326" s="24">
        <v>5.4810840000000001</v>
      </c>
      <c r="H1326" s="24">
        <v>8.4234799999999996</v>
      </c>
      <c r="I1326" s="24">
        <v>9.6510850000000001</v>
      </c>
      <c r="J1326" s="24">
        <v>7.6148030000000002</v>
      </c>
      <c r="K1326" s="24">
        <v>3.2261299999999999</v>
      </c>
      <c r="L1326" s="24">
        <v>2.5794649999999999</v>
      </c>
      <c r="M1326" s="24">
        <v>413.47179999999997</v>
      </c>
      <c r="N1326" s="24">
        <v>4.9999918478216552</v>
      </c>
      <c r="O1326" s="24">
        <v>10</v>
      </c>
      <c r="P1326" s="24">
        <v>2.1052631578947358</v>
      </c>
      <c r="Q1326" s="24">
        <v>0</v>
      </c>
      <c r="R1326" s="24">
        <v>5.81</v>
      </c>
      <c r="S1326" s="24">
        <v>1.2763145666469322</v>
      </c>
      <c r="T1326" s="24">
        <v>0.45439769365476823</v>
      </c>
      <c r="U1326" s="24" t="s">
        <v>3366</v>
      </c>
      <c r="V1326">
        <v>0</v>
      </c>
      <c r="W1326" s="21">
        <v>0</v>
      </c>
      <c r="X1326" s="56" t="str">
        <f>IFERROR(VLOOKUP(A1326,Output!A:F,6,0),"-")</f>
        <v>-</v>
      </c>
    </row>
    <row r="1327" spans="1:24" x14ac:dyDescent="0.25">
      <c r="A1327" s="21" t="s">
        <v>1598</v>
      </c>
      <c r="B1327" s="40" t="s">
        <v>1599</v>
      </c>
      <c r="C1327" s="21" t="s">
        <v>253</v>
      </c>
      <c r="D1327" s="21" t="s">
        <v>75</v>
      </c>
      <c r="E1327" s="21" t="s">
        <v>90</v>
      </c>
      <c r="F1327" s="55">
        <v>6.9559531513855026E-5</v>
      </c>
      <c r="G1327" s="24">
        <v>4.6410590000000003</v>
      </c>
      <c r="H1327" s="24">
        <v>4.8024820000000004</v>
      </c>
      <c r="I1327" s="24">
        <v>5.7698109999999998</v>
      </c>
      <c r="J1327" s="24">
        <v>5.1248449999999997</v>
      </c>
      <c r="K1327" s="24">
        <v>5.1157370000000002</v>
      </c>
      <c r="L1327" s="24">
        <v>10.87116</v>
      </c>
      <c r="M1327" s="53">
        <v>66.743799999999993</v>
      </c>
      <c r="N1327" s="24">
        <v>2.9879720605355073</v>
      </c>
      <c r="O1327" s="24">
        <v>6.7469879518072284</v>
      </c>
      <c r="P1327" s="24">
        <v>2.6923076923076921</v>
      </c>
      <c r="Q1327" s="24">
        <v>5.8285424784906681</v>
      </c>
      <c r="R1327" s="24">
        <v>5.23</v>
      </c>
      <c r="S1327" s="24">
        <v>4.875963153765527</v>
      </c>
      <c r="T1327" s="24">
        <v>0.33262583442497928</v>
      </c>
      <c r="U1327" s="24" t="s">
        <v>3438</v>
      </c>
      <c r="V1327">
        <v>0</v>
      </c>
      <c r="W1327" s="21">
        <v>0</v>
      </c>
      <c r="X1327" s="56" t="str">
        <f>IFERROR(VLOOKUP(A1327,Output!A:F,6,0),"-")</f>
        <v>-</v>
      </c>
    </row>
    <row r="1328" spans="1:24" hidden="1" x14ac:dyDescent="0.25">
      <c r="A1328" s="21" t="s">
        <v>1392</v>
      </c>
      <c r="B1328" s="40" t="s">
        <v>1393</v>
      </c>
      <c r="C1328" s="21" t="s">
        <v>250</v>
      </c>
      <c r="D1328" s="21" t="s">
        <v>76</v>
      </c>
      <c r="E1328" s="21" t="s">
        <v>98</v>
      </c>
      <c r="F1328" s="55">
        <v>6.9547891258262142E-5</v>
      </c>
      <c r="G1328" s="24">
        <v>0</v>
      </c>
      <c r="H1328" s="24">
        <v>5.3811090000000004</v>
      </c>
      <c r="I1328" s="24">
        <v>0</v>
      </c>
      <c r="J1328" s="24">
        <v>2.152444</v>
      </c>
      <c r="K1328" s="24">
        <v>3.9617230000000001</v>
      </c>
      <c r="L1328" s="24">
        <v>4.562392</v>
      </c>
      <c r="M1328" s="24">
        <v>82.563699999999997</v>
      </c>
      <c r="N1328" s="24">
        <v>6.343486253170366</v>
      </c>
      <c r="O1328" s="24">
        <v>2.5373134328358211</v>
      </c>
      <c r="P1328" s="24">
        <v>4.7260273972602738</v>
      </c>
      <c r="Q1328" s="24">
        <v>10</v>
      </c>
      <c r="R1328" s="24">
        <v>4.75</v>
      </c>
      <c r="S1328" s="24">
        <v>7.2996964539572904</v>
      </c>
      <c r="T1328" s="24">
        <v>0.37629835831739628</v>
      </c>
      <c r="U1328" s="24" t="s">
        <v>3301</v>
      </c>
      <c r="V1328">
        <v>0</v>
      </c>
      <c r="W1328" s="21">
        <v>1</v>
      </c>
      <c r="X1328" s="56" t="str">
        <f>IFERROR(VLOOKUP(A1328,Output!A:F,6,0),"-")</f>
        <v>-</v>
      </c>
    </row>
    <row r="1329" spans="1:24" hidden="1" x14ac:dyDescent="0.25">
      <c r="A1329" s="21" t="s">
        <v>1686</v>
      </c>
      <c r="B1329" s="40" t="s">
        <v>1687</v>
      </c>
      <c r="C1329" s="21" t="s">
        <v>249</v>
      </c>
      <c r="D1329" s="21" t="s">
        <v>74</v>
      </c>
      <c r="E1329" s="21" t="s">
        <v>97</v>
      </c>
      <c r="F1329" s="55">
        <v>6.8904940684213375E-5</v>
      </c>
      <c r="G1329" s="24">
        <v>8.2740349999999996</v>
      </c>
      <c r="H1329" s="24">
        <v>5.2580119999999999</v>
      </c>
      <c r="I1329" s="24">
        <v>7.1059369999999999</v>
      </c>
      <c r="J1329" s="24">
        <v>7.2035920000000004</v>
      </c>
      <c r="K1329" s="24">
        <v>5.8620570000000001</v>
      </c>
      <c r="L1329" s="24">
        <v>5.6908110000000001</v>
      </c>
      <c r="M1329" s="24">
        <v>14.0091</v>
      </c>
      <c r="N1329" s="24">
        <v>2.6424124021419839</v>
      </c>
      <c r="O1329" s="24">
        <v>5.3086419753086433</v>
      </c>
      <c r="P1329" s="24">
        <v>2.0731707317073171</v>
      </c>
      <c r="Q1329" s="24">
        <v>5.8194687428087057</v>
      </c>
      <c r="R1329" s="24">
        <v>5.79</v>
      </c>
      <c r="S1329" s="24">
        <v>4.5450162319408189</v>
      </c>
      <c r="T1329" s="24">
        <v>0.38562464047708234</v>
      </c>
      <c r="U1329" s="24" t="s">
        <v>3518</v>
      </c>
      <c r="V1329">
        <v>0</v>
      </c>
      <c r="W1329" s="21">
        <v>0</v>
      </c>
      <c r="X1329" s="56" t="str">
        <f>IFERROR(VLOOKUP(A1329,Output!A:F,6,0),"-")</f>
        <v>-</v>
      </c>
    </row>
    <row r="1330" spans="1:24" hidden="1" x14ac:dyDescent="0.25">
      <c r="A1330" s="21" t="s">
        <v>1296</v>
      </c>
      <c r="B1330" s="40" t="s">
        <v>1297</v>
      </c>
      <c r="C1330" s="21" t="s">
        <v>246</v>
      </c>
      <c r="D1330" s="21" t="s">
        <v>74</v>
      </c>
      <c r="E1330" s="21" t="s">
        <v>97</v>
      </c>
      <c r="F1330" s="55">
        <v>6.8332747169442699E-5</v>
      </c>
      <c r="G1330" s="21">
        <v>5.0395919999999998</v>
      </c>
      <c r="H1330" s="21">
        <v>6.3684419999999999</v>
      </c>
      <c r="I1330" s="21">
        <v>4.9147239999999996</v>
      </c>
      <c r="J1330" s="21">
        <v>5.255414</v>
      </c>
      <c r="K1330" s="24">
        <v>0</v>
      </c>
      <c r="L1330" s="24">
        <v>6.017881</v>
      </c>
      <c r="M1330" s="24">
        <v>82.724599999999995</v>
      </c>
      <c r="N1330" s="24">
        <v>6.2200516457779385</v>
      </c>
      <c r="O1330" s="24">
        <v>9.3827160493827151</v>
      </c>
      <c r="P1330" s="24">
        <v>1.8699186991869921</v>
      </c>
      <c r="Q1330" s="24">
        <v>4.3530019524254833</v>
      </c>
      <c r="R1330" s="24" t="e">
        <v>#N/A</v>
      </c>
      <c r="S1330" s="24">
        <v>3.089269630330354</v>
      </c>
      <c r="T1330" s="24">
        <v>1.1869182929980904</v>
      </c>
      <c r="U1330" s="24" t="s">
        <v>3325</v>
      </c>
      <c r="V1330">
        <v>0</v>
      </c>
      <c r="W1330" s="21">
        <v>0</v>
      </c>
      <c r="X1330" s="56" t="str">
        <f>IFERROR(VLOOKUP(A1330,Output!A:F,6,0),"-")</f>
        <v>-</v>
      </c>
    </row>
    <row r="1331" spans="1:24" hidden="1" x14ac:dyDescent="0.25">
      <c r="A1331" s="21" t="s">
        <v>1694</v>
      </c>
      <c r="B1331" s="40" t="s">
        <v>1695</v>
      </c>
      <c r="C1331" s="21" t="s">
        <v>258</v>
      </c>
      <c r="D1331" s="21" t="s">
        <v>74</v>
      </c>
      <c r="E1331" s="21" t="s">
        <v>91</v>
      </c>
      <c r="F1331" s="55">
        <v>6.807303968640493E-5</v>
      </c>
      <c r="G1331" s="24">
        <v>4.7435970000000003</v>
      </c>
      <c r="H1331" s="24">
        <v>6.9939200000000001</v>
      </c>
      <c r="I1331" s="24">
        <v>3.6177350000000001</v>
      </c>
      <c r="J1331" s="24">
        <v>5.1933809999999996</v>
      </c>
      <c r="K1331" s="24">
        <v>0.97747139999999999</v>
      </c>
      <c r="L1331" s="24">
        <v>3.2525680000000001</v>
      </c>
      <c r="M1331" s="24">
        <v>6.9926000000000004</v>
      </c>
      <c r="N1331" s="24">
        <v>4.9055740614334482</v>
      </c>
      <c r="O1331" s="24">
        <v>6.0824742268041234</v>
      </c>
      <c r="P1331" s="24">
        <v>5.0712250712250722</v>
      </c>
      <c r="Q1331" s="24">
        <v>3.7530516765987718</v>
      </c>
      <c r="R1331" s="24">
        <v>3.88</v>
      </c>
      <c r="S1331" s="24">
        <v>3.6402835078711409</v>
      </c>
      <c r="T1331" s="24">
        <v>0.42366229516909615</v>
      </c>
      <c r="U1331" s="24" t="s">
        <v>3493</v>
      </c>
      <c r="V1331">
        <v>0</v>
      </c>
      <c r="W1331" s="21">
        <v>0</v>
      </c>
      <c r="X1331" s="56" t="str">
        <f>IFERROR(VLOOKUP(A1331,Output!A:F,6,0),"-")</f>
        <v>-</v>
      </c>
    </row>
    <row r="1332" spans="1:24" hidden="1" x14ac:dyDescent="0.25">
      <c r="A1332" s="21" t="s">
        <v>2017</v>
      </c>
      <c r="B1332" s="40" t="s">
        <v>2018</v>
      </c>
      <c r="C1332" s="21" t="s">
        <v>249</v>
      </c>
      <c r="D1332" s="21" t="s">
        <v>74</v>
      </c>
      <c r="E1332" s="21" t="s">
        <v>91</v>
      </c>
      <c r="F1332" s="55">
        <v>6.7852237016139571E-5</v>
      </c>
      <c r="G1332" s="24">
        <v>5.037801</v>
      </c>
      <c r="H1332" s="24">
        <v>5.8241180000000004</v>
      </c>
      <c r="I1332" s="24">
        <v>4.3333919999999999</v>
      </c>
      <c r="J1332" s="24">
        <v>5.0705640000000001</v>
      </c>
      <c r="K1332" s="24">
        <v>0.80588230000000005</v>
      </c>
      <c r="L1332" s="24">
        <v>4.0877590000000001</v>
      </c>
      <c r="M1332" s="24">
        <v>22.520900000000001</v>
      </c>
      <c r="N1332" s="24">
        <v>4.4186566552901025</v>
      </c>
      <c r="O1332" s="24">
        <v>3.4020618556701026</v>
      </c>
      <c r="P1332" s="24">
        <v>5.669515669515671</v>
      </c>
      <c r="Q1332" s="24">
        <v>4.7577253995078426</v>
      </c>
      <c r="R1332" s="24">
        <v>3.1</v>
      </c>
      <c r="S1332" s="24">
        <v>5.027897631415482</v>
      </c>
      <c r="T1332" s="24">
        <v>0.54864565399793819</v>
      </c>
      <c r="U1332" s="24" t="s">
        <v>3641</v>
      </c>
      <c r="V1332">
        <v>0</v>
      </c>
      <c r="W1332" s="21">
        <v>0</v>
      </c>
      <c r="X1332" s="56" t="str">
        <f>IFERROR(VLOOKUP(A1332,Output!A:F,6,0),"-")</f>
        <v>-</v>
      </c>
    </row>
    <row r="1333" spans="1:24" x14ac:dyDescent="0.25">
      <c r="A1333" s="21" t="s">
        <v>556</v>
      </c>
      <c r="B1333" s="40" t="s">
        <v>938</v>
      </c>
      <c r="C1333" s="21" t="s">
        <v>248</v>
      </c>
      <c r="D1333" s="21" t="s">
        <v>75</v>
      </c>
      <c r="E1333" s="21" t="s">
        <v>101</v>
      </c>
      <c r="F1333" s="55">
        <v>6.7681748017628759E-5</v>
      </c>
      <c r="G1333" s="24">
        <v>3.7709999999999999</v>
      </c>
      <c r="H1333" s="24">
        <v>4.8010739999999998</v>
      </c>
      <c r="I1333" s="24">
        <v>2.1212469999999999</v>
      </c>
      <c r="J1333" s="24">
        <v>3.5850960000000001</v>
      </c>
      <c r="K1333" s="24">
        <v>1.118827</v>
      </c>
      <c r="L1333" s="24">
        <v>9.3693989999999996</v>
      </c>
      <c r="M1333" s="24">
        <v>58.918799999999997</v>
      </c>
      <c r="N1333" s="24">
        <v>4.0010503544788838</v>
      </c>
      <c r="O1333" s="24">
        <v>6.021505376344086</v>
      </c>
      <c r="P1333" s="24">
        <v>2.3863636363636367</v>
      </c>
      <c r="Q1333" s="24">
        <v>3.4028732868249789</v>
      </c>
      <c r="R1333" s="24">
        <v>2.85</v>
      </c>
      <c r="S1333" s="24">
        <v>4.1074824580166309</v>
      </c>
      <c r="T1333" s="24">
        <v>0.26570692224142434</v>
      </c>
      <c r="U1333" s="24" t="s">
        <v>3078</v>
      </c>
      <c r="V1333">
        <v>0</v>
      </c>
      <c r="W1333" s="21">
        <v>1</v>
      </c>
      <c r="X1333" s="56" t="str">
        <f>IFERROR(VLOOKUP(A1333,Output!A:F,6,0),"-")</f>
        <v>-</v>
      </c>
    </row>
    <row r="1334" spans="1:24" hidden="1" x14ac:dyDescent="0.25">
      <c r="A1334" s="21" t="s">
        <v>1138</v>
      </c>
      <c r="B1334" s="40" t="s">
        <v>1139</v>
      </c>
      <c r="C1334" s="21" t="s">
        <v>244</v>
      </c>
      <c r="D1334" s="21" t="s">
        <v>73</v>
      </c>
      <c r="E1334" s="21" t="s">
        <v>101</v>
      </c>
      <c r="F1334" s="55">
        <v>6.7057711601328161E-5</v>
      </c>
      <c r="G1334" s="24">
        <v>5.4123039999999998</v>
      </c>
      <c r="H1334" s="24">
        <v>4.6723059999999998</v>
      </c>
      <c r="I1334" s="24">
        <v>4.9226650000000003</v>
      </c>
      <c r="J1334" s="24">
        <v>5.0434130000000001</v>
      </c>
      <c r="K1334" s="24">
        <v>2.604228</v>
      </c>
      <c r="L1334" s="24">
        <v>5.7426199999999996</v>
      </c>
      <c r="M1334" s="24">
        <v>1180.1969999999999</v>
      </c>
      <c r="N1334" s="24">
        <v>3.8978051347643818</v>
      </c>
      <c r="O1334" s="24">
        <v>6.5306122448979584</v>
      </c>
      <c r="P1334" s="24">
        <v>4.3118382841649217</v>
      </c>
      <c r="Q1334" s="24">
        <v>7.7435869219557238</v>
      </c>
      <c r="R1334" s="24">
        <v>8.08</v>
      </c>
      <c r="S1334" s="24">
        <v>5.1898742557359752</v>
      </c>
      <c r="T1334" s="24">
        <v>0.69539773768033397</v>
      </c>
      <c r="U1334" s="24" t="s">
        <v>3164</v>
      </c>
      <c r="V1334">
        <v>0</v>
      </c>
      <c r="W1334" s="21">
        <v>0</v>
      </c>
      <c r="X1334" s="56" t="str">
        <f>IFERROR(VLOOKUP(A1334,Output!A:F,6,0),"-")</f>
        <v>-</v>
      </c>
    </row>
    <row r="1335" spans="1:24" hidden="1" x14ac:dyDescent="0.25">
      <c r="A1335" s="21" t="s">
        <v>1532</v>
      </c>
      <c r="B1335" s="40" t="s">
        <v>1533</v>
      </c>
      <c r="C1335" s="21" t="s">
        <v>246</v>
      </c>
      <c r="D1335" s="21" t="s">
        <v>74</v>
      </c>
      <c r="E1335" s="21" t="s">
        <v>91</v>
      </c>
      <c r="F1335" s="55">
        <v>6.6986149684273547E-5</v>
      </c>
      <c r="G1335" s="24">
        <v>7.1270619999999996</v>
      </c>
      <c r="H1335" s="24">
        <v>4.531847</v>
      </c>
      <c r="I1335" s="24">
        <v>4.6797250000000004</v>
      </c>
      <c r="J1335" s="24">
        <v>5.1100409999999998</v>
      </c>
      <c r="K1335" s="24">
        <v>2.2468659999999998</v>
      </c>
      <c r="L1335" s="24">
        <v>4.5213409999999996</v>
      </c>
      <c r="M1335" s="24">
        <v>14.2799</v>
      </c>
      <c r="N1335" s="24">
        <v>3.6359494880546075</v>
      </c>
      <c r="O1335" s="24">
        <v>0.61855670103092775</v>
      </c>
      <c r="P1335" s="24">
        <v>4.6438746438746445</v>
      </c>
      <c r="Q1335" s="24">
        <v>7.2485588069613698</v>
      </c>
      <c r="R1335" s="24">
        <v>6.39</v>
      </c>
      <c r="S1335" s="24">
        <v>4.8968088318763581</v>
      </c>
      <c r="T1335" s="24">
        <v>0.5496667734190217</v>
      </c>
      <c r="U1335" s="24" t="s">
        <v>3433</v>
      </c>
      <c r="V1335">
        <v>0</v>
      </c>
      <c r="W1335" s="21">
        <v>0</v>
      </c>
      <c r="X1335" s="56" t="str">
        <f>IFERROR(VLOOKUP(A1335,Output!A:F,6,0),"-")</f>
        <v>-</v>
      </c>
    </row>
    <row r="1336" spans="1:24" x14ac:dyDescent="0.25">
      <c r="A1336" s="21" t="s">
        <v>605</v>
      </c>
      <c r="B1336" s="40" t="s">
        <v>993</v>
      </c>
      <c r="C1336" s="21" t="s">
        <v>248</v>
      </c>
      <c r="D1336" s="21" t="s">
        <v>75</v>
      </c>
      <c r="E1336" s="21" t="s">
        <v>99</v>
      </c>
      <c r="F1336" s="55">
        <v>6.6243135167159254E-5</v>
      </c>
      <c r="G1336" s="24">
        <v>3.6637019999999998</v>
      </c>
      <c r="H1336" s="24">
        <v>7.2867759999999997</v>
      </c>
      <c r="I1336" s="24">
        <v>3.5251109999999999</v>
      </c>
      <c r="J1336" s="24">
        <v>4.709047</v>
      </c>
      <c r="K1336" s="24">
        <v>0.64869209999999999</v>
      </c>
      <c r="L1336" s="24">
        <v>4.1107180000000003</v>
      </c>
      <c r="M1336" s="24">
        <v>239.9888</v>
      </c>
      <c r="N1336" s="24">
        <v>3.4303723547642462</v>
      </c>
      <c r="O1336" s="24">
        <v>2.666666666666667</v>
      </c>
      <c r="P1336" s="24">
        <v>3.7219730941704037</v>
      </c>
      <c r="Q1336" s="24">
        <v>4.6111823678811659</v>
      </c>
      <c r="R1336" s="24">
        <v>2.13</v>
      </c>
      <c r="S1336" s="24">
        <v>3.6873955013951143</v>
      </c>
      <c r="T1336" s="24">
        <v>0.74401253640056941</v>
      </c>
      <c r="U1336" s="24" t="s">
        <v>3105</v>
      </c>
      <c r="V1336">
        <v>0</v>
      </c>
      <c r="W1336" s="21">
        <v>0</v>
      </c>
      <c r="X1336" s="56" t="str">
        <f>IFERROR(VLOOKUP(A1336,Output!A:F,6,0),"-")</f>
        <v>-</v>
      </c>
    </row>
    <row r="1337" spans="1:24" x14ac:dyDescent="0.25">
      <c r="A1337" s="21" t="s">
        <v>511</v>
      </c>
      <c r="B1337" s="40" t="s">
        <v>973</v>
      </c>
      <c r="C1337" s="21" t="s">
        <v>248</v>
      </c>
      <c r="D1337" s="21" t="s">
        <v>75</v>
      </c>
      <c r="E1337" s="21" t="s">
        <v>92</v>
      </c>
      <c r="F1337" s="55">
        <v>6.6163363700784167E-5</v>
      </c>
      <c r="G1337" s="24">
        <v>3.9272670000000001</v>
      </c>
      <c r="H1337" s="24">
        <v>2.986453</v>
      </c>
      <c r="I1337" s="24">
        <v>1.3019449999999999</v>
      </c>
      <c r="J1337" s="24">
        <v>2.8574259999999998</v>
      </c>
      <c r="K1337" s="24">
        <v>1.7614939999999999</v>
      </c>
      <c r="L1337" s="24">
        <v>4.4554150000000003</v>
      </c>
      <c r="M1337" s="24">
        <v>28.070699999999999</v>
      </c>
      <c r="N1337" s="24">
        <v>5.5716163544406152</v>
      </c>
      <c r="O1337" s="24">
        <v>6.3157894736842106</v>
      </c>
      <c r="P1337" s="24">
        <v>8.4228572149550978</v>
      </c>
      <c r="Q1337" s="24">
        <v>4.3585766160596702</v>
      </c>
      <c r="R1337" s="24">
        <v>4.97</v>
      </c>
      <c r="S1337" s="24">
        <v>5.6764035679650462</v>
      </c>
      <c r="T1337" s="24">
        <v>0.41160729864813184</v>
      </c>
      <c r="U1337" s="24" t="s">
        <v>3067</v>
      </c>
      <c r="V1337">
        <v>0</v>
      </c>
      <c r="W1337" s="21">
        <v>1</v>
      </c>
      <c r="X1337" s="56" t="str">
        <f>IFERROR(VLOOKUP(A1337,Output!A:F,6,0),"-")</f>
        <v>-</v>
      </c>
    </row>
    <row r="1338" spans="1:24" x14ac:dyDescent="0.25">
      <c r="A1338" s="21" t="s">
        <v>583</v>
      </c>
      <c r="B1338" s="40" t="s">
        <v>928</v>
      </c>
      <c r="C1338" s="21" t="s">
        <v>248</v>
      </c>
      <c r="D1338" s="21" t="s">
        <v>75</v>
      </c>
      <c r="E1338" s="21" t="s">
        <v>91</v>
      </c>
      <c r="F1338" s="55">
        <v>6.6104166411321303E-5</v>
      </c>
      <c r="G1338" s="24">
        <v>3.8479299999999999</v>
      </c>
      <c r="H1338" s="24">
        <v>2.9194460000000002</v>
      </c>
      <c r="I1338" s="24">
        <v>2.3176649999999999</v>
      </c>
      <c r="J1338" s="24">
        <v>2.86443</v>
      </c>
      <c r="K1338" s="24">
        <v>0.68727870000000002</v>
      </c>
      <c r="L1338" s="24">
        <v>2.0472700000000001</v>
      </c>
      <c r="M1338" s="24">
        <v>42.804000000000002</v>
      </c>
      <c r="N1338" s="24">
        <v>7.270885680166657</v>
      </c>
      <c r="O1338" s="24">
        <v>7.9487179487179489</v>
      </c>
      <c r="P1338" s="24">
        <v>7.0472440944881889</v>
      </c>
      <c r="Q1338" s="24">
        <v>0</v>
      </c>
      <c r="R1338" s="24">
        <v>5.27</v>
      </c>
      <c r="S1338" s="24">
        <v>3.7274438086827719</v>
      </c>
      <c r="T1338" s="24">
        <v>0.59141253525963866</v>
      </c>
      <c r="U1338" s="24" t="s">
        <v>3056</v>
      </c>
      <c r="V1338">
        <v>0</v>
      </c>
      <c r="W1338" s="21">
        <v>1</v>
      </c>
      <c r="X1338" s="56" t="str">
        <f>IFERROR(VLOOKUP(A1338,Output!A:F,6,0),"-")</f>
        <v>-</v>
      </c>
    </row>
    <row r="1339" spans="1:24" hidden="1" x14ac:dyDescent="0.25">
      <c r="A1339" s="21" t="s">
        <v>4160</v>
      </c>
      <c r="B1339" s="40" t="s">
        <v>4161</v>
      </c>
      <c r="C1339" s="21" t="s">
        <v>251</v>
      </c>
      <c r="D1339" s="21" t="s">
        <v>74</v>
      </c>
      <c r="E1339" s="21" t="s">
        <v>90</v>
      </c>
      <c r="F1339" s="55">
        <v>6.5793219670085993E-5</v>
      </c>
      <c r="G1339" s="21">
        <v>6.3738270000000004</v>
      </c>
      <c r="H1339" s="21">
        <v>6.687856</v>
      </c>
      <c r="I1339" s="21">
        <v>4.7843520000000002</v>
      </c>
      <c r="J1339" s="21">
        <v>5.991193</v>
      </c>
      <c r="K1339" s="24">
        <v>4.7783889999999998</v>
      </c>
      <c r="L1339" s="24">
        <v>6.4320880000000002</v>
      </c>
      <c r="M1339" s="24">
        <v>13.350199999999999</v>
      </c>
      <c r="N1339" s="24">
        <v>8.4059749104526009</v>
      </c>
      <c r="O1339" s="24">
        <v>8.631578947368423</v>
      </c>
      <c r="P1339" s="24">
        <v>7.1489361702127665</v>
      </c>
      <c r="Q1339" s="24">
        <v>3.8006165358352675</v>
      </c>
      <c r="R1339" s="24">
        <v>8.08</v>
      </c>
      <c r="S1339" s="24">
        <v>5.8463158296161595</v>
      </c>
      <c r="T1339" s="24">
        <v>0.34287452512840638</v>
      </c>
      <c r="U1339" s="24" t="s">
        <v>4162</v>
      </c>
      <c r="V1339">
        <v>0</v>
      </c>
      <c r="W1339" s="21">
        <v>0</v>
      </c>
      <c r="X1339" s="56" t="str">
        <f>IFERROR(VLOOKUP(A1339,Output!A:F,6,0),"-")</f>
        <v>-</v>
      </c>
    </row>
    <row r="1340" spans="1:24" hidden="1" x14ac:dyDescent="0.25">
      <c r="A1340" s="21" t="s">
        <v>4570</v>
      </c>
      <c r="B1340" s="40" t="s">
        <v>4571</v>
      </c>
      <c r="C1340" s="21" t="s">
        <v>250</v>
      </c>
      <c r="D1340" s="21" t="s">
        <v>76</v>
      </c>
      <c r="E1340" s="21" t="s">
        <v>92</v>
      </c>
      <c r="F1340" s="55">
        <v>6.5735984221453395E-5</v>
      </c>
      <c r="G1340" s="21">
        <v>6.9864220000000001</v>
      </c>
      <c r="H1340" s="21">
        <v>5.7064380000000003</v>
      </c>
      <c r="I1340" s="21">
        <v>5.3941999999999997</v>
      </c>
      <c r="J1340" s="21">
        <v>6.1247600000000002</v>
      </c>
      <c r="K1340" s="24">
        <v>1.22214</v>
      </c>
      <c r="L1340" s="24">
        <v>9.0455279999999991</v>
      </c>
      <c r="M1340" s="24">
        <v>28.916</v>
      </c>
      <c r="N1340" s="24">
        <v>10</v>
      </c>
      <c r="O1340" s="24">
        <v>10</v>
      </c>
      <c r="P1340" s="24">
        <v>4.1968911917098453</v>
      </c>
      <c r="Q1340" s="24">
        <v>6.65029139220721</v>
      </c>
      <c r="R1340" s="24">
        <v>3.7</v>
      </c>
      <c r="S1340" s="24">
        <v>5.7478681982298365</v>
      </c>
      <c r="T1340" s="24">
        <v>0.63477594814994764</v>
      </c>
      <c r="U1340" s="24" t="s">
        <v>4572</v>
      </c>
      <c r="V1340">
        <v>1</v>
      </c>
      <c r="W1340" s="21">
        <v>0</v>
      </c>
      <c r="X1340" s="56" t="str">
        <f>IFERROR(VLOOKUP(A1340,Output!A:F,6,0),"-")</f>
        <v>-</v>
      </c>
    </row>
    <row r="1341" spans="1:24" hidden="1" x14ac:dyDescent="0.25">
      <c r="A1341" s="21" t="s">
        <v>4199</v>
      </c>
      <c r="B1341" s="40" t="s">
        <v>4200</v>
      </c>
      <c r="C1341" s="21" t="s">
        <v>254</v>
      </c>
      <c r="D1341" s="21" t="s">
        <v>74</v>
      </c>
      <c r="E1341" s="21" t="s">
        <v>102</v>
      </c>
      <c r="F1341" s="55">
        <v>6.5658476417574757E-5</v>
      </c>
      <c r="G1341" s="21">
        <v>4.532489</v>
      </c>
      <c r="H1341" s="21">
        <v>4.4427450000000004</v>
      </c>
      <c r="I1341" s="21">
        <v>5.3946930000000002</v>
      </c>
      <c r="J1341" s="21">
        <v>4.6869810000000003</v>
      </c>
      <c r="K1341" s="21">
        <v>2.5910790000000001</v>
      </c>
      <c r="L1341" s="21">
        <v>5.5516509999999997</v>
      </c>
      <c r="M1341" s="21">
        <v>412.41390000000001</v>
      </c>
      <c r="N1341" s="21">
        <v>5.7269469205462809</v>
      </c>
      <c r="O1341" s="21">
        <v>9.2307692307692317</v>
      </c>
      <c r="P1341" s="21">
        <v>5.4878048780487809</v>
      </c>
      <c r="Q1341" s="21">
        <v>4.9846789097934288</v>
      </c>
      <c r="R1341" s="21">
        <v>3.91</v>
      </c>
      <c r="S1341" s="21">
        <v>4.0600718029456875</v>
      </c>
      <c r="T1341" s="21">
        <v>0.33580709901542316</v>
      </c>
      <c r="U1341" s="21" t="s">
        <v>4201</v>
      </c>
      <c r="V1341">
        <v>1</v>
      </c>
      <c r="W1341" s="21">
        <v>0</v>
      </c>
      <c r="X1341" s="56" t="str">
        <f>IFERROR(VLOOKUP(A1341,Output!A:F,6,0),"-")</f>
        <v>-</v>
      </c>
    </row>
    <row r="1342" spans="1:24" x14ac:dyDescent="0.25">
      <c r="A1342" s="21" t="s">
        <v>4551</v>
      </c>
      <c r="B1342" s="40" t="s">
        <v>4552</v>
      </c>
      <c r="C1342" s="21" t="s">
        <v>248</v>
      </c>
      <c r="D1342" s="21" t="s">
        <v>75</v>
      </c>
      <c r="E1342" s="21" t="s">
        <v>97</v>
      </c>
      <c r="F1342" s="55">
        <v>6.5652983263250037E-5</v>
      </c>
      <c r="G1342" s="24">
        <v>4.0710139999999999</v>
      </c>
      <c r="H1342" s="24">
        <v>1.932604</v>
      </c>
      <c r="I1342" s="24">
        <v>2.422107</v>
      </c>
      <c r="J1342" s="24">
        <v>2.9837690000000001</v>
      </c>
      <c r="K1342" s="24">
        <v>6.8314630000000003</v>
      </c>
      <c r="L1342" s="24">
        <v>6.7279780000000002</v>
      </c>
      <c r="M1342" s="24">
        <v>74.396799999999999</v>
      </c>
      <c r="N1342" s="24">
        <v>7.694362362362364</v>
      </c>
      <c r="O1342" s="24">
        <v>7.1428571428571423</v>
      </c>
      <c r="P1342" s="24">
        <v>5.5508474576271194</v>
      </c>
      <c r="Q1342" s="24">
        <v>5.5690361589562016</v>
      </c>
      <c r="R1342" s="24">
        <v>7.37</v>
      </c>
      <c r="S1342" s="24">
        <v>5.991692223695793</v>
      </c>
      <c r="T1342" s="24">
        <v>0.25320085426922384</v>
      </c>
      <c r="U1342" s="24" t="s">
        <v>4553</v>
      </c>
      <c r="V1342">
        <v>0</v>
      </c>
      <c r="W1342" s="21">
        <v>1</v>
      </c>
      <c r="X1342" s="56" t="str">
        <f>IFERROR(VLOOKUP(A1342,Output!A:F,6,0),"-")</f>
        <v>-</v>
      </c>
    </row>
    <row r="1343" spans="1:24" hidden="1" x14ac:dyDescent="0.25">
      <c r="A1343" s="21" t="s">
        <v>4588</v>
      </c>
      <c r="B1343" s="40" t="s">
        <v>4589</v>
      </c>
      <c r="C1343" s="21" t="s">
        <v>244</v>
      </c>
      <c r="D1343" s="21" t="s">
        <v>73</v>
      </c>
      <c r="E1343" s="21" t="s">
        <v>100</v>
      </c>
      <c r="F1343" s="55">
        <v>6.5489647438228026E-5</v>
      </c>
      <c r="G1343" s="24">
        <v>8.0508539999999993</v>
      </c>
      <c r="H1343" s="24">
        <v>4.0770759999999999</v>
      </c>
      <c r="I1343" s="24">
        <v>3.5227349999999999</v>
      </c>
      <c r="J1343" s="24">
        <v>5.216888</v>
      </c>
      <c r="K1343" s="24">
        <v>0</v>
      </c>
      <c r="L1343" s="24">
        <v>-11.16464</v>
      </c>
      <c r="M1343" s="24">
        <v>14.5779</v>
      </c>
      <c r="N1343" s="24">
        <v>5.9895678939688271</v>
      </c>
      <c r="O1343" s="24">
        <v>7.1111111111111107</v>
      </c>
      <c r="P1343" s="24">
        <v>0</v>
      </c>
      <c r="Q1343" s="24">
        <v>7.6453409493536082</v>
      </c>
      <c r="R1343" s="24" t="e">
        <v>#N/A</v>
      </c>
      <c r="S1343" s="24">
        <v>2.9551712604351321</v>
      </c>
      <c r="T1343" s="24">
        <v>0.84345938365547202</v>
      </c>
      <c r="U1343" s="24" t="s">
        <v>2946</v>
      </c>
      <c r="V1343">
        <v>0</v>
      </c>
      <c r="W1343" s="21">
        <v>0</v>
      </c>
      <c r="X1343" s="56" t="str">
        <f>IFERROR(VLOOKUP(A1343,Output!A:F,6,0),"-")</f>
        <v>-</v>
      </c>
    </row>
    <row r="1344" spans="1:24" hidden="1" x14ac:dyDescent="0.25">
      <c r="A1344" s="21" t="s">
        <v>2035</v>
      </c>
      <c r="B1344" s="40" t="s">
        <v>2036</v>
      </c>
      <c r="C1344" s="21" t="s">
        <v>249</v>
      </c>
      <c r="D1344" s="21" t="s">
        <v>74</v>
      </c>
      <c r="E1344" s="21" t="s">
        <v>89</v>
      </c>
      <c r="F1344" s="55">
        <v>6.4409880427418822E-5</v>
      </c>
      <c r="G1344" s="24">
        <v>6.8407939999999998</v>
      </c>
      <c r="H1344" s="24">
        <v>7.3605270000000003</v>
      </c>
      <c r="I1344" s="24">
        <v>5.8191870000000003</v>
      </c>
      <c r="J1344" s="24">
        <v>6.6651379999999998</v>
      </c>
      <c r="K1344" s="24">
        <v>6.5267660000000003</v>
      </c>
      <c r="L1344" s="24">
        <v>10.21062</v>
      </c>
      <c r="M1344" s="24">
        <v>3.9834999999999998</v>
      </c>
      <c r="N1344" s="24">
        <v>5.4735058926159521</v>
      </c>
      <c r="O1344" s="24">
        <v>4.8484848484848477</v>
      </c>
      <c r="P1344" s="24">
        <v>4.5789473684210522</v>
      </c>
      <c r="Q1344" s="24">
        <v>3.3131201764057328</v>
      </c>
      <c r="R1344" s="24">
        <v>4.6500000000000004</v>
      </c>
      <c r="S1344" s="24">
        <v>4.5381741464373473</v>
      </c>
      <c r="T1344" s="24">
        <v>0.58594485283902242</v>
      </c>
      <c r="U1344" s="24" t="s">
        <v>3683</v>
      </c>
      <c r="V1344">
        <v>0</v>
      </c>
      <c r="W1344" s="21">
        <v>0</v>
      </c>
      <c r="X1344" s="56" t="str">
        <f>IFERROR(VLOOKUP(A1344,Output!A:F,6,0),"-")</f>
        <v>-</v>
      </c>
    </row>
    <row r="1345" spans="1:24" hidden="1" x14ac:dyDescent="0.25">
      <c r="A1345" s="21" t="s">
        <v>1941</v>
      </c>
      <c r="B1345" s="40" t="s">
        <v>1942</v>
      </c>
      <c r="C1345" s="21" t="s">
        <v>247</v>
      </c>
      <c r="D1345" s="21" t="s">
        <v>74</v>
      </c>
      <c r="E1345" s="21" t="s">
        <v>98</v>
      </c>
      <c r="F1345" s="55">
        <v>6.4162970183027679E-5</v>
      </c>
      <c r="G1345" s="21" t="e">
        <v>#N/A</v>
      </c>
      <c r="H1345" s="21" t="e">
        <v>#N/A</v>
      </c>
      <c r="I1345" s="21" t="e">
        <v>#N/A</v>
      </c>
      <c r="J1345" s="21" t="e">
        <v>#N/A</v>
      </c>
      <c r="K1345" s="24">
        <v>0.6543409</v>
      </c>
      <c r="L1345" s="24">
        <v>9.9360199999999992</v>
      </c>
      <c r="M1345" s="24" t="e">
        <v>#N/A</v>
      </c>
      <c r="N1345" s="24">
        <v>7.1318354182798958</v>
      </c>
      <c r="O1345" s="24">
        <v>0.30303030303030298</v>
      </c>
      <c r="P1345" s="24" t="e">
        <v>#N/A</v>
      </c>
      <c r="Q1345" s="24">
        <v>6.471066168963767</v>
      </c>
      <c r="R1345" s="24">
        <v>2.2999999999999998</v>
      </c>
      <c r="S1345" s="24" t="e">
        <v>#N/A</v>
      </c>
      <c r="T1345" s="24">
        <v>0.67619263101060911</v>
      </c>
      <c r="U1345" s="24" t="s">
        <v>3600</v>
      </c>
      <c r="V1345">
        <v>0</v>
      </c>
      <c r="W1345" s="21">
        <v>0</v>
      </c>
      <c r="X1345" s="56" t="str">
        <f>IFERROR(VLOOKUP(A1345,Output!A:F,6,0),"-")</f>
        <v>-</v>
      </c>
    </row>
    <row r="1346" spans="1:24" hidden="1" x14ac:dyDescent="0.25">
      <c r="A1346" s="21" t="s">
        <v>4187</v>
      </c>
      <c r="B1346" s="40" t="s">
        <v>4188</v>
      </c>
      <c r="C1346" s="21" t="s">
        <v>252</v>
      </c>
      <c r="D1346" s="21" t="s">
        <v>74</v>
      </c>
      <c r="E1346" s="21" t="s">
        <v>97</v>
      </c>
      <c r="F1346" s="55">
        <v>6.3779103327239872E-5</v>
      </c>
      <c r="G1346" s="24">
        <v>6.4374599999999997</v>
      </c>
      <c r="H1346" s="24">
        <v>7.7495399999999997</v>
      </c>
      <c r="I1346" s="24">
        <v>5.4262009999999998</v>
      </c>
      <c r="J1346" s="24">
        <v>6.2953720000000004</v>
      </c>
      <c r="K1346" s="24">
        <v>4.5238490000000002</v>
      </c>
      <c r="L1346" s="24">
        <v>5.1087369999999996</v>
      </c>
      <c r="M1346" s="24">
        <v>0.67471999999999999</v>
      </c>
      <c r="N1346" s="24">
        <v>10</v>
      </c>
      <c r="O1346" s="24">
        <v>2.3456790123456788</v>
      </c>
      <c r="P1346" s="24">
        <v>8.1707317073170742</v>
      </c>
      <c r="Q1346" s="24">
        <v>3.2893565766585531</v>
      </c>
      <c r="R1346" s="24">
        <v>5.89</v>
      </c>
      <c r="S1346" s="24">
        <v>6.3242502606433044</v>
      </c>
      <c r="T1346" s="24">
        <v>0.43293036814342173</v>
      </c>
      <c r="U1346" s="24" t="s">
        <v>4189</v>
      </c>
      <c r="V1346">
        <v>0</v>
      </c>
      <c r="W1346" s="21">
        <v>0</v>
      </c>
      <c r="X1346" s="56" t="str">
        <f>IFERROR(VLOOKUP(A1346,Output!A:F,6,0),"-")</f>
        <v>-</v>
      </c>
    </row>
    <row r="1347" spans="1:24" hidden="1" x14ac:dyDescent="0.25">
      <c r="A1347" s="21" t="s">
        <v>1813</v>
      </c>
      <c r="B1347" s="40" t="s">
        <v>1814</v>
      </c>
      <c r="C1347" s="21" t="s">
        <v>249</v>
      </c>
      <c r="D1347" s="21" t="s">
        <v>74</v>
      </c>
      <c r="E1347" s="21" t="s">
        <v>91</v>
      </c>
      <c r="F1347" s="55">
        <v>6.3599127067688374E-5</v>
      </c>
      <c r="G1347" s="24">
        <v>6.631742</v>
      </c>
      <c r="H1347" s="24">
        <v>6.5718399999999999</v>
      </c>
      <c r="I1347" s="24">
        <v>3.0922779999999999</v>
      </c>
      <c r="J1347" s="24">
        <v>5.1919959999999996</v>
      </c>
      <c r="K1347" s="24">
        <v>1.163918</v>
      </c>
      <c r="L1347" s="24">
        <v>8.3081420000000001</v>
      </c>
      <c r="M1347" s="24">
        <v>8.4408999999999992</v>
      </c>
      <c r="N1347" s="24">
        <v>5.2878266211604092</v>
      </c>
      <c r="O1347" s="24">
        <v>5.8762886597938131</v>
      </c>
      <c r="P1347" s="24">
        <v>8.0911680911680932</v>
      </c>
      <c r="Q1347" s="24">
        <v>8.9932509116783788</v>
      </c>
      <c r="R1347" s="24">
        <v>3.51</v>
      </c>
      <c r="S1347" s="24">
        <v>7.522499520048906</v>
      </c>
      <c r="T1347" s="24">
        <v>0.33415189768907461</v>
      </c>
      <c r="U1347" s="24" t="s">
        <v>3585</v>
      </c>
      <c r="V1347">
        <v>0</v>
      </c>
      <c r="W1347" s="21">
        <v>0</v>
      </c>
      <c r="X1347" s="56" t="str">
        <f>IFERROR(VLOOKUP(A1347,Output!A:F,6,0),"-")</f>
        <v>-</v>
      </c>
    </row>
    <row r="1348" spans="1:24" hidden="1" x14ac:dyDescent="0.25">
      <c r="A1348" s="21" t="s">
        <v>1861</v>
      </c>
      <c r="B1348" s="40" t="s">
        <v>1862</v>
      </c>
      <c r="C1348" s="21" t="s">
        <v>257</v>
      </c>
      <c r="D1348" s="21" t="s">
        <v>74</v>
      </c>
      <c r="E1348" s="21" t="s">
        <v>87</v>
      </c>
      <c r="F1348" s="55">
        <v>6.3571701538953535E-5</v>
      </c>
      <c r="G1348" s="24">
        <v>4.1753489999999998</v>
      </c>
      <c r="H1348" s="24">
        <v>5.8506749999999998</v>
      </c>
      <c r="I1348" s="24">
        <v>7.1275930000000001</v>
      </c>
      <c r="J1348" s="24">
        <v>5.5636200000000002</v>
      </c>
      <c r="K1348" s="24">
        <v>6.3852900000000004</v>
      </c>
      <c r="L1348" s="24">
        <v>6.0031140000000001</v>
      </c>
      <c r="M1348" s="24">
        <v>3626.13</v>
      </c>
      <c r="N1348" s="24">
        <v>6.1397934868943613</v>
      </c>
      <c r="O1348" s="24">
        <v>3.7113402061855667</v>
      </c>
      <c r="P1348" s="24">
        <v>2.6229508196721314</v>
      </c>
      <c r="Q1348" s="24">
        <v>7.667845691191034</v>
      </c>
      <c r="R1348" s="24">
        <v>5.82</v>
      </c>
      <c r="S1348" s="24">
        <v>6.1795239201525369</v>
      </c>
      <c r="T1348" s="24">
        <v>0.29737596095162461</v>
      </c>
      <c r="U1348" s="24" t="s">
        <v>3576</v>
      </c>
      <c r="V1348">
        <v>0</v>
      </c>
      <c r="W1348" s="21">
        <v>0</v>
      </c>
      <c r="X1348" s="56" t="str">
        <f>IFERROR(VLOOKUP(A1348,Output!A:F,6,0),"-")</f>
        <v>-</v>
      </c>
    </row>
    <row r="1349" spans="1:24" hidden="1" x14ac:dyDescent="0.25">
      <c r="A1349" s="21" t="s">
        <v>1516</v>
      </c>
      <c r="B1349" s="40" t="s">
        <v>1517</v>
      </c>
      <c r="C1349" s="21" t="s">
        <v>257</v>
      </c>
      <c r="D1349" s="21" t="s">
        <v>74</v>
      </c>
      <c r="E1349" s="21" t="s">
        <v>99</v>
      </c>
      <c r="F1349" s="55">
        <v>6.3377348507368987E-5</v>
      </c>
      <c r="G1349" s="24">
        <v>6.0428540000000002</v>
      </c>
      <c r="H1349" s="24">
        <v>7.1407870000000004</v>
      </c>
      <c r="I1349" s="24">
        <v>5.0371499999999996</v>
      </c>
      <c r="J1349" s="24">
        <v>6.0735970000000004</v>
      </c>
      <c r="K1349" s="24">
        <v>1.5563180000000001</v>
      </c>
      <c r="L1349" s="24">
        <v>5.0675270000000001</v>
      </c>
      <c r="M1349" s="24">
        <v>5.0636999999999999</v>
      </c>
      <c r="N1349" s="24">
        <v>5.6332098020409473</v>
      </c>
      <c r="O1349" s="24">
        <v>3.0769230769230771</v>
      </c>
      <c r="P1349" s="24">
        <v>3.2436970247863552</v>
      </c>
      <c r="Q1349" s="24">
        <v>8.672423985673035</v>
      </c>
      <c r="R1349" s="24">
        <v>5.17</v>
      </c>
      <c r="S1349" s="24">
        <v>6.0609787988622532</v>
      </c>
      <c r="T1349" s="24">
        <v>0.56074202958113128</v>
      </c>
      <c r="U1349" s="24" t="s">
        <v>3381</v>
      </c>
      <c r="V1349">
        <v>0</v>
      </c>
      <c r="W1349" s="21">
        <v>0</v>
      </c>
      <c r="X1349" s="56" t="str">
        <f>IFERROR(VLOOKUP(A1349,Output!A:F,6,0),"-")</f>
        <v>-</v>
      </c>
    </row>
    <row r="1350" spans="1:24" x14ac:dyDescent="0.25">
      <c r="A1350" s="21" t="s">
        <v>649</v>
      </c>
      <c r="B1350" s="40" t="s">
        <v>972</v>
      </c>
      <c r="C1350" s="21" t="s">
        <v>248</v>
      </c>
      <c r="D1350" s="21" t="s">
        <v>75</v>
      </c>
      <c r="E1350" s="21" t="s">
        <v>97</v>
      </c>
      <c r="F1350" s="55">
        <v>6.33702154553246E-5</v>
      </c>
      <c r="G1350" s="24">
        <v>4.7359710000000002</v>
      </c>
      <c r="H1350" s="24">
        <v>6.7271029999999996</v>
      </c>
      <c r="I1350" s="24">
        <v>3.926809</v>
      </c>
      <c r="J1350" s="24">
        <v>4.8105320000000003</v>
      </c>
      <c r="K1350" s="24">
        <v>4.4184799999999997</v>
      </c>
      <c r="L1350" s="24">
        <v>3.5251100000000002</v>
      </c>
      <c r="M1350" s="53">
        <v>35.874600000000001</v>
      </c>
      <c r="N1350" s="24">
        <v>9.786452452452453</v>
      </c>
      <c r="O1350" s="24">
        <v>5.6043956043956031</v>
      </c>
      <c r="P1350" s="24">
        <v>4.2372881355932197</v>
      </c>
      <c r="Q1350" s="24">
        <v>3.5214045969980678</v>
      </c>
      <c r="R1350" s="24">
        <v>4.6100000000000003</v>
      </c>
      <c r="S1350" s="24">
        <v>4.651688447552492</v>
      </c>
      <c r="T1350" s="24">
        <v>2.9927258093689499E-2</v>
      </c>
      <c r="U1350" s="24" t="s">
        <v>3104</v>
      </c>
      <c r="V1350">
        <v>0</v>
      </c>
      <c r="W1350" s="21">
        <v>0</v>
      </c>
      <c r="X1350" s="56" t="str">
        <f>IFERROR(VLOOKUP(A1350,Output!A:F,6,0),"-")</f>
        <v>-</v>
      </c>
    </row>
    <row r="1351" spans="1:24" x14ac:dyDescent="0.25">
      <c r="A1351" s="21" t="s">
        <v>4166</v>
      </c>
      <c r="B1351" s="40" t="s">
        <v>4167</v>
      </c>
      <c r="C1351" s="21" t="s">
        <v>248</v>
      </c>
      <c r="D1351" s="21" t="s">
        <v>75</v>
      </c>
      <c r="E1351" s="21" t="s">
        <v>85</v>
      </c>
      <c r="F1351" s="55">
        <v>6.3155308368272229E-5</v>
      </c>
      <c r="G1351" s="24">
        <v>1.296718</v>
      </c>
      <c r="H1351" s="24">
        <v>3.8199459999999998</v>
      </c>
      <c r="I1351" s="24">
        <v>2.254432</v>
      </c>
      <c r="J1351" s="24">
        <v>2.5150480000000002</v>
      </c>
      <c r="K1351" s="24">
        <v>2.7191559999999999</v>
      </c>
      <c r="L1351" s="24">
        <v>9.4946979999999996</v>
      </c>
      <c r="M1351" s="24">
        <v>10.077500000000001</v>
      </c>
      <c r="N1351" s="24">
        <v>3.8899517038758296</v>
      </c>
      <c r="O1351" s="24">
        <v>6.9892473118279561</v>
      </c>
      <c r="P1351" s="24">
        <v>5.3406994475138125</v>
      </c>
      <c r="Q1351" s="24">
        <v>6.8594264221908796</v>
      </c>
      <c r="R1351" s="24">
        <v>5.63</v>
      </c>
      <c r="S1351" s="24">
        <v>4.5136087813257619</v>
      </c>
      <c r="T1351" s="24">
        <v>0.36255672128032895</v>
      </c>
      <c r="U1351" s="24" t="s">
        <v>4168</v>
      </c>
      <c r="V1351">
        <v>0</v>
      </c>
      <c r="W1351" s="21">
        <v>1</v>
      </c>
      <c r="X1351" s="56" t="str">
        <f>IFERROR(VLOOKUP(A1351,Output!A:F,6,0),"-")</f>
        <v>-</v>
      </c>
    </row>
    <row r="1352" spans="1:24" x14ac:dyDescent="0.25">
      <c r="A1352" s="21" t="s">
        <v>624</v>
      </c>
      <c r="B1352" s="40" t="s">
        <v>982</v>
      </c>
      <c r="C1352" s="21" t="s">
        <v>248</v>
      </c>
      <c r="D1352" s="21" t="s">
        <v>75</v>
      </c>
      <c r="E1352" s="21" t="s">
        <v>101</v>
      </c>
      <c r="F1352" s="55">
        <v>6.2824753279456518E-5</v>
      </c>
      <c r="G1352" s="21">
        <v>4.9251469999999999</v>
      </c>
      <c r="H1352" s="21">
        <v>6.2738880000000004</v>
      </c>
      <c r="I1352" s="21">
        <v>3.8460860000000001</v>
      </c>
      <c r="J1352" s="21">
        <v>5.0330190000000004</v>
      </c>
      <c r="K1352" s="24">
        <v>0.61493410000000004</v>
      </c>
      <c r="L1352" s="24">
        <v>3.3417289999999999</v>
      </c>
      <c r="M1352" s="24">
        <v>12.911799999999999</v>
      </c>
      <c r="N1352" s="24">
        <v>4.4919918347068437</v>
      </c>
      <c r="O1352" s="24">
        <v>8.7096774193548381</v>
      </c>
      <c r="P1352" s="24">
        <v>7.4242424242424256</v>
      </c>
      <c r="Q1352" s="24">
        <v>1.9244797735333394</v>
      </c>
      <c r="R1352" s="24">
        <v>2.52</v>
      </c>
      <c r="S1352" s="24">
        <v>4.6472606834955474</v>
      </c>
      <c r="T1352" s="24">
        <v>0.10757833266862958</v>
      </c>
      <c r="U1352" s="24" t="s">
        <v>3116</v>
      </c>
      <c r="V1352">
        <v>0</v>
      </c>
      <c r="W1352" s="21">
        <v>0</v>
      </c>
      <c r="X1352" s="56" t="str">
        <f>IFERROR(VLOOKUP(A1352,Output!A:F,6,0),"-")</f>
        <v>-</v>
      </c>
    </row>
    <row r="1353" spans="1:24" hidden="1" x14ac:dyDescent="0.25">
      <c r="A1353" s="21" t="s">
        <v>1731</v>
      </c>
      <c r="B1353" s="40" t="s">
        <v>4501</v>
      </c>
      <c r="C1353" s="21" t="s">
        <v>252</v>
      </c>
      <c r="D1353" s="21" t="s">
        <v>74</v>
      </c>
      <c r="E1353" s="21" t="s">
        <v>87</v>
      </c>
      <c r="F1353" s="55">
        <v>6.2739931330533781E-5</v>
      </c>
      <c r="G1353" s="24">
        <v>7.4377259999999996</v>
      </c>
      <c r="H1353" s="24">
        <v>7.2164590000000004</v>
      </c>
      <c r="I1353" s="24">
        <v>4.4389909999999997</v>
      </c>
      <c r="J1353" s="24">
        <v>6.3643919999999996</v>
      </c>
      <c r="K1353" s="24">
        <v>4.0956169999999998</v>
      </c>
      <c r="L1353" s="24">
        <v>6.4095279999999999</v>
      </c>
      <c r="M1353" s="24">
        <v>32.896900000000002</v>
      </c>
      <c r="N1353" s="24">
        <v>4.4982795869737897</v>
      </c>
      <c r="O1353" s="24">
        <v>0</v>
      </c>
      <c r="P1353" s="24">
        <v>6.2622950819672143</v>
      </c>
      <c r="Q1353" s="24">
        <v>6.2693163235235829</v>
      </c>
      <c r="R1353" s="24">
        <v>5.08</v>
      </c>
      <c r="S1353" s="24">
        <v>5.6521071344073235</v>
      </c>
      <c r="T1353" s="24">
        <v>0.44255223651823183</v>
      </c>
      <c r="U1353" s="24" t="s">
        <v>3482</v>
      </c>
      <c r="V1353">
        <v>0</v>
      </c>
      <c r="W1353" s="21">
        <v>0</v>
      </c>
      <c r="X1353" s="56" t="str">
        <f>IFERROR(VLOOKUP(A1353,Output!A:F,6,0),"-")</f>
        <v>-</v>
      </c>
    </row>
    <row r="1354" spans="1:24" hidden="1" x14ac:dyDescent="0.25">
      <c r="A1354" s="21" t="s">
        <v>1582</v>
      </c>
      <c r="B1354" s="40" t="s">
        <v>1583</v>
      </c>
      <c r="C1354" s="21" t="s">
        <v>246</v>
      </c>
      <c r="D1354" s="21" t="s">
        <v>74</v>
      </c>
      <c r="E1354" s="21" t="s">
        <v>100</v>
      </c>
      <c r="F1354" s="55">
        <v>6.2660733325324455E-5</v>
      </c>
      <c r="G1354" s="21">
        <v>5.4544040000000003</v>
      </c>
      <c r="H1354" s="21">
        <v>5.3400949999999998</v>
      </c>
      <c r="I1354" s="21">
        <v>4.7373019999999997</v>
      </c>
      <c r="J1354" s="21">
        <v>5.1772669999999996</v>
      </c>
      <c r="K1354" s="24">
        <v>7.9868629999999996</v>
      </c>
      <c r="L1354" s="24">
        <v>6.1771370000000001</v>
      </c>
      <c r="M1354" s="24">
        <v>18.0596</v>
      </c>
      <c r="N1354" s="24">
        <v>4.4628338527134428</v>
      </c>
      <c r="O1354" s="24">
        <v>5</v>
      </c>
      <c r="P1354" s="24">
        <v>6.6789667896678973</v>
      </c>
      <c r="Q1354" s="24">
        <v>3.2230936082369102</v>
      </c>
      <c r="R1354" s="24">
        <v>6.74</v>
      </c>
      <c r="S1354" s="24">
        <v>5.3782299969713732</v>
      </c>
      <c r="T1354" s="24">
        <v>-0.23757870298439526</v>
      </c>
      <c r="U1354" s="24" t="s">
        <v>3453</v>
      </c>
      <c r="V1354">
        <v>0</v>
      </c>
      <c r="W1354" s="21">
        <v>0</v>
      </c>
      <c r="X1354" s="56" t="str">
        <f>IFERROR(VLOOKUP(A1354,Output!A:F,6,0),"-")</f>
        <v>-</v>
      </c>
    </row>
    <row r="1355" spans="1:24" hidden="1" x14ac:dyDescent="0.25">
      <c r="A1355" s="21" t="s">
        <v>4412</v>
      </c>
      <c r="B1355" s="40" t="s">
        <v>4595</v>
      </c>
      <c r="C1355" s="21" t="s">
        <v>254</v>
      </c>
      <c r="D1355" s="21" t="s">
        <v>74</v>
      </c>
      <c r="E1355" s="21" t="s">
        <v>98</v>
      </c>
      <c r="F1355" s="55">
        <v>6.2422002448087177E-5</v>
      </c>
      <c r="G1355" s="24">
        <v>5.6253080000000004</v>
      </c>
      <c r="H1355" s="24">
        <v>3.5344370000000001</v>
      </c>
      <c r="I1355" s="24">
        <v>5.3766150000000001</v>
      </c>
      <c r="J1355" s="24">
        <v>4.6894819999999999</v>
      </c>
      <c r="K1355" s="24">
        <v>2.1251139999999999</v>
      </c>
      <c r="L1355" s="24">
        <v>7.109737</v>
      </c>
      <c r="M1355" s="24">
        <v>17.488600000000002</v>
      </c>
      <c r="N1355" s="24">
        <v>5.9813930030555209</v>
      </c>
      <c r="O1355" s="24">
        <v>2.0202020202020203</v>
      </c>
      <c r="P1355" s="24">
        <v>2.6409495548961432</v>
      </c>
      <c r="Q1355" s="24">
        <v>6.1929739659406122</v>
      </c>
      <c r="R1355" s="24">
        <v>3.12</v>
      </c>
      <c r="S1355" s="24">
        <v>4.3934673389613117</v>
      </c>
      <c r="T1355" s="24">
        <v>0.65822360129093804</v>
      </c>
      <c r="U1355" s="24" t="s">
        <v>4527</v>
      </c>
      <c r="V1355">
        <v>0</v>
      </c>
      <c r="W1355" s="21">
        <v>0</v>
      </c>
      <c r="X1355" s="56" t="str">
        <f>IFERROR(VLOOKUP(A1355,Output!A:F,6,0),"-")</f>
        <v>-</v>
      </c>
    </row>
    <row r="1356" spans="1:24" hidden="1" x14ac:dyDescent="0.25">
      <c r="A1356" s="21" t="s">
        <v>410</v>
      </c>
      <c r="B1356" s="40" t="s">
        <v>411</v>
      </c>
      <c r="C1356" s="21" t="s">
        <v>245</v>
      </c>
      <c r="D1356" s="21" t="s">
        <v>73</v>
      </c>
      <c r="E1356" s="21" t="s">
        <v>98</v>
      </c>
      <c r="F1356" s="55">
        <v>6.2012229232617726E-5</v>
      </c>
      <c r="G1356" s="21">
        <v>4.1459840000000003</v>
      </c>
      <c r="H1356" s="21">
        <v>4.247484</v>
      </c>
      <c r="I1356" s="21">
        <v>5.2287189999999999</v>
      </c>
      <c r="J1356" s="21">
        <v>4.6196780000000004</v>
      </c>
      <c r="K1356" s="24">
        <v>2.2296879999999999</v>
      </c>
      <c r="L1356" s="24">
        <v>7.9872889999999996</v>
      </c>
      <c r="M1356" s="24">
        <v>35.266100000000002</v>
      </c>
      <c r="N1356" s="24">
        <v>6.1634300951740038</v>
      </c>
      <c r="O1356" s="24">
        <v>1.6326530612244896</v>
      </c>
      <c r="P1356" s="24">
        <v>6.708373423323863</v>
      </c>
      <c r="Q1356" s="24">
        <v>7.4750494092027413</v>
      </c>
      <c r="R1356" s="24">
        <v>7.59</v>
      </c>
      <c r="S1356" s="24">
        <v>7.4673677155494058</v>
      </c>
      <c r="T1356" s="24">
        <v>0.59233229594820336</v>
      </c>
      <c r="U1356" s="24" t="s">
        <v>2900</v>
      </c>
      <c r="V1356">
        <v>0</v>
      </c>
      <c r="W1356" s="21">
        <v>1</v>
      </c>
      <c r="X1356" s="56" t="str">
        <f>IFERROR(VLOOKUP(A1356,Output!A:F,6,0),"-")</f>
        <v>-</v>
      </c>
    </row>
    <row r="1357" spans="1:24" hidden="1" x14ac:dyDescent="0.25">
      <c r="A1357" s="21" t="s">
        <v>1690</v>
      </c>
      <c r="B1357" s="40" t="s">
        <v>1691</v>
      </c>
      <c r="C1357" s="21" t="s">
        <v>257</v>
      </c>
      <c r="D1357" s="21" t="s">
        <v>74</v>
      </c>
      <c r="E1357" s="21" t="s">
        <v>92</v>
      </c>
      <c r="F1357" s="55">
        <v>6.1892104209472496E-5</v>
      </c>
      <c r="G1357" s="24">
        <v>4.2141640000000002</v>
      </c>
      <c r="H1357" s="24">
        <v>4.5155580000000004</v>
      </c>
      <c r="I1357" s="24">
        <v>3.3490060000000001</v>
      </c>
      <c r="J1357" s="24">
        <v>4.0450350000000004</v>
      </c>
      <c r="K1357" s="24">
        <v>1.757423</v>
      </c>
      <c r="L1357" s="24">
        <v>2.8599060000000001</v>
      </c>
      <c r="M1357" s="24">
        <v>7.0845000000000002</v>
      </c>
      <c r="N1357" s="24">
        <v>5.1407422222222232</v>
      </c>
      <c r="O1357" s="24">
        <v>8.1632653061224474</v>
      </c>
      <c r="P1357" s="24">
        <v>8.9863013698630141</v>
      </c>
      <c r="Q1357" s="24">
        <v>0.56575015183017019</v>
      </c>
      <c r="R1357" s="24">
        <v>4.87</v>
      </c>
      <c r="S1357" s="24">
        <v>3.9901315557641488</v>
      </c>
      <c r="T1357" s="24">
        <v>0.87047123596554266</v>
      </c>
      <c r="U1357" s="24" t="s">
        <v>3491</v>
      </c>
      <c r="V1357">
        <v>0</v>
      </c>
      <c r="W1357" s="21">
        <v>1</v>
      </c>
      <c r="X1357" s="56" t="str">
        <f>IFERROR(VLOOKUP(A1357,Output!A:F,6,0),"-")</f>
        <v>-</v>
      </c>
    </row>
    <row r="1358" spans="1:24" x14ac:dyDescent="0.25">
      <c r="A1358" s="21" t="s">
        <v>506</v>
      </c>
      <c r="B1358" s="40" t="s">
        <v>986</v>
      </c>
      <c r="C1358" s="21" t="s">
        <v>248</v>
      </c>
      <c r="D1358" s="21" t="s">
        <v>75</v>
      </c>
      <c r="E1358" s="21" t="s">
        <v>92</v>
      </c>
      <c r="F1358" s="55">
        <v>6.1763628786895894E-5</v>
      </c>
      <c r="G1358" s="21">
        <v>5.2704360000000001</v>
      </c>
      <c r="H1358" s="21">
        <v>4.6261409999999996</v>
      </c>
      <c r="I1358" s="21">
        <v>1.8677809999999999</v>
      </c>
      <c r="J1358" s="21">
        <v>4.0563510000000003</v>
      </c>
      <c r="K1358" s="24">
        <v>3.9010349999999998</v>
      </c>
      <c r="L1358" s="24">
        <v>7.5045900000000003</v>
      </c>
      <c r="M1358" s="24">
        <v>44.241199999999999</v>
      </c>
      <c r="N1358" s="24">
        <v>7.4980296975589686</v>
      </c>
      <c r="O1358" s="24">
        <v>2.3157894736842106</v>
      </c>
      <c r="P1358" s="24">
        <v>3.8628574234122319</v>
      </c>
      <c r="Q1358" s="24">
        <v>9.2223403255754537</v>
      </c>
      <c r="R1358" s="24">
        <v>6.95</v>
      </c>
      <c r="S1358" s="24">
        <v>7.0467883467254939</v>
      </c>
      <c r="T1358" s="24">
        <v>0.26028476725093569</v>
      </c>
      <c r="U1358" s="24" t="s">
        <v>3091</v>
      </c>
      <c r="V1358">
        <v>0</v>
      </c>
      <c r="W1358" s="21">
        <v>1</v>
      </c>
      <c r="X1358" s="56" t="str">
        <f>IFERROR(VLOOKUP(A1358,Output!A:F,6,0),"-")</f>
        <v>-</v>
      </c>
    </row>
    <row r="1359" spans="1:24" hidden="1" x14ac:dyDescent="0.25">
      <c r="A1359" s="21" t="s">
        <v>1584</v>
      </c>
      <c r="B1359" s="40" t="s">
        <v>1585</v>
      </c>
      <c r="C1359" s="21" t="s">
        <v>246</v>
      </c>
      <c r="D1359" s="21" t="s">
        <v>74</v>
      </c>
      <c r="E1359" s="21" t="s">
        <v>89</v>
      </c>
      <c r="F1359" s="55">
        <v>6.153589427903029E-5</v>
      </c>
      <c r="G1359" s="24">
        <v>5.2683470000000003</v>
      </c>
      <c r="H1359" s="24">
        <v>2.8714279999999999</v>
      </c>
      <c r="I1359" s="24">
        <v>3.37906</v>
      </c>
      <c r="J1359" s="24">
        <v>3.7681749999999998</v>
      </c>
      <c r="K1359" s="24">
        <v>0.78878179999999998</v>
      </c>
      <c r="L1359" s="24">
        <v>5.1761439999999999</v>
      </c>
      <c r="M1359" s="24">
        <v>7.9032</v>
      </c>
      <c r="N1359" s="24">
        <v>1.9153012909386073</v>
      </c>
      <c r="O1359" s="24">
        <v>8.5858585858585847</v>
      </c>
      <c r="P1359" s="24">
        <v>2.5263157894736841</v>
      </c>
      <c r="Q1359" s="24">
        <v>3.1642778390297681</v>
      </c>
      <c r="R1359" s="24">
        <v>1.69</v>
      </c>
      <c r="S1359" s="24">
        <v>2.7964125655184362</v>
      </c>
      <c r="T1359" s="24">
        <v>0.53837281542675242</v>
      </c>
      <c r="U1359" s="24" t="s">
        <v>3455</v>
      </c>
      <c r="V1359">
        <v>0</v>
      </c>
      <c r="W1359" s="21">
        <v>1</v>
      </c>
      <c r="X1359" s="56" t="str">
        <f>IFERROR(VLOOKUP(A1359,Output!A:F,6,0),"-")</f>
        <v>-</v>
      </c>
    </row>
    <row r="1360" spans="1:24" x14ac:dyDescent="0.25">
      <c r="A1360" s="21" t="s">
        <v>1055</v>
      </c>
      <c r="B1360" s="40" t="s">
        <v>1056</v>
      </c>
      <c r="C1360" s="21" t="s">
        <v>248</v>
      </c>
      <c r="D1360" s="21" t="s">
        <v>75</v>
      </c>
      <c r="E1360" s="21" t="s">
        <v>97</v>
      </c>
      <c r="F1360" s="55">
        <v>6.0885961563770235E-5</v>
      </c>
      <c r="G1360" s="21">
        <v>7.0602109999999998</v>
      </c>
      <c r="H1360" s="21">
        <v>8.2101600000000001</v>
      </c>
      <c r="I1360" s="21">
        <v>4.8666499999999999</v>
      </c>
      <c r="J1360" s="21">
        <v>6.412776</v>
      </c>
      <c r="K1360" s="24">
        <v>3.4722219999999999</v>
      </c>
      <c r="L1360" s="24">
        <v>8.4612119999999997</v>
      </c>
      <c r="M1360" s="24">
        <v>8.3120999999999992</v>
      </c>
      <c r="N1360" s="24">
        <v>8.3817157157157158</v>
      </c>
      <c r="O1360" s="24">
        <v>10</v>
      </c>
      <c r="P1360" s="24">
        <v>7.7118644067796609</v>
      </c>
      <c r="Q1360" s="24">
        <v>6.0010603340508739</v>
      </c>
      <c r="R1360" s="24">
        <v>4.5</v>
      </c>
      <c r="S1360" s="24">
        <v>6.8413910675319407</v>
      </c>
      <c r="T1360" s="24">
        <v>0.21952039974568535</v>
      </c>
      <c r="U1360" s="24" t="s">
        <v>3192</v>
      </c>
      <c r="V1360">
        <v>0</v>
      </c>
      <c r="W1360" s="21">
        <v>0</v>
      </c>
      <c r="X1360" s="56" t="str">
        <f>IFERROR(VLOOKUP(A1360,Output!A:F,6,0),"-")</f>
        <v>-</v>
      </c>
    </row>
    <row r="1361" spans="1:24" x14ac:dyDescent="0.25">
      <c r="A1361" s="21" t="s">
        <v>518</v>
      </c>
      <c r="B1361" s="40" t="s">
        <v>726</v>
      </c>
      <c r="C1361" s="21" t="s">
        <v>248</v>
      </c>
      <c r="D1361" s="21" t="s">
        <v>75</v>
      </c>
      <c r="E1361" s="21" t="s">
        <v>85</v>
      </c>
      <c r="F1361" s="55">
        <v>6.0829802612413722E-5</v>
      </c>
      <c r="G1361" s="24">
        <v>4.3113869999999999</v>
      </c>
      <c r="H1361" s="24">
        <v>4.6257900000000003</v>
      </c>
      <c r="I1361" s="24">
        <v>2.4275159999999998</v>
      </c>
      <c r="J1361" s="24">
        <v>3.762073</v>
      </c>
      <c r="K1361" s="24">
        <v>2.6304970000000001</v>
      </c>
      <c r="L1361" s="24">
        <v>8.9094960000000007</v>
      </c>
      <c r="M1361" s="24">
        <v>11.6607</v>
      </c>
      <c r="N1361" s="24">
        <v>3.2930622330475501</v>
      </c>
      <c r="O1361" s="24">
        <v>7.634408602150538</v>
      </c>
      <c r="P1361" s="24">
        <v>2.9465933701657452</v>
      </c>
      <c r="Q1361" s="24">
        <v>8.3168782322519981</v>
      </c>
      <c r="R1361" s="24">
        <v>4.8600009999999996</v>
      </c>
      <c r="S1361" s="24">
        <v>3.9870435278174643</v>
      </c>
      <c r="T1361" s="24">
        <v>0.29322341839759225</v>
      </c>
      <c r="U1361" s="24" t="s">
        <v>3088</v>
      </c>
      <c r="V1361">
        <v>0</v>
      </c>
      <c r="W1361" s="21">
        <v>1</v>
      </c>
      <c r="X1361" s="56" t="str">
        <f>IFERROR(VLOOKUP(A1361,Output!A:F,6,0),"-")</f>
        <v>-</v>
      </c>
    </row>
    <row r="1362" spans="1:24" x14ac:dyDescent="0.25">
      <c r="A1362" s="21" t="s">
        <v>1578</v>
      </c>
      <c r="B1362" s="40" t="s">
        <v>1579</v>
      </c>
      <c r="C1362" s="21" t="s">
        <v>255</v>
      </c>
      <c r="D1362" s="21" t="s">
        <v>75</v>
      </c>
      <c r="E1362" s="21" t="s">
        <v>101</v>
      </c>
      <c r="F1362" s="55">
        <v>6.0544812534471098E-5</v>
      </c>
      <c r="G1362" s="24">
        <v>6.1740579999999996</v>
      </c>
      <c r="H1362" s="24">
        <v>6.1191680000000002</v>
      </c>
      <c r="I1362" s="24">
        <v>7.9705890000000004</v>
      </c>
      <c r="J1362" s="24">
        <v>6.8707149999999997</v>
      </c>
      <c r="K1362" s="24">
        <v>4.3096569999999996</v>
      </c>
      <c r="L1362" s="24">
        <v>5.8175220000000003</v>
      </c>
      <c r="M1362" s="24">
        <v>97.716700000000003</v>
      </c>
      <c r="N1362" s="24">
        <v>4.8411653894022262</v>
      </c>
      <c r="O1362" s="24">
        <v>4.193548387096774</v>
      </c>
      <c r="P1362" s="24">
        <v>5.2651515151515156</v>
      </c>
      <c r="Q1362" s="24">
        <v>4.957754682035409</v>
      </c>
      <c r="R1362" s="24">
        <v>7.83</v>
      </c>
      <c r="S1362" s="24">
        <v>5.5609532124199852</v>
      </c>
      <c r="T1362" s="24">
        <v>0.44144260145141589</v>
      </c>
      <c r="U1362" s="24" t="s">
        <v>3403</v>
      </c>
      <c r="V1362">
        <v>0</v>
      </c>
      <c r="W1362" s="21">
        <v>0</v>
      </c>
      <c r="X1362" s="56" t="str">
        <f>IFERROR(VLOOKUP(A1362,Output!A:F,6,0),"-")</f>
        <v>-</v>
      </c>
    </row>
    <row r="1363" spans="1:24" hidden="1" x14ac:dyDescent="0.25">
      <c r="A1363" s="21" t="s">
        <v>1300</v>
      </c>
      <c r="B1363" s="40" t="s">
        <v>1301</v>
      </c>
      <c r="C1363" s="21" t="s">
        <v>247</v>
      </c>
      <c r="D1363" s="21" t="s">
        <v>74</v>
      </c>
      <c r="E1363" s="21" t="s">
        <v>91</v>
      </c>
      <c r="F1363" s="55">
        <v>6.032485496487109E-5</v>
      </c>
      <c r="G1363" s="24">
        <v>3.9462649999999999</v>
      </c>
      <c r="H1363" s="24">
        <v>5.0371129999999997</v>
      </c>
      <c r="I1363" s="24">
        <v>5.4987459999999997</v>
      </c>
      <c r="J1363" s="24">
        <v>5.0035959999999999</v>
      </c>
      <c r="K1363" s="24">
        <v>2.9052929999999999</v>
      </c>
      <c r="L1363" s="24">
        <v>9.3190000000000008</v>
      </c>
      <c r="M1363" s="24">
        <v>55.8553</v>
      </c>
      <c r="N1363" s="24">
        <v>0</v>
      </c>
      <c r="O1363" s="24">
        <v>8.5567010309278349</v>
      </c>
      <c r="P1363" s="24">
        <v>5.669515669515671</v>
      </c>
      <c r="Q1363" s="24">
        <v>8.4674908832162235</v>
      </c>
      <c r="R1363" s="24">
        <v>6.56</v>
      </c>
      <c r="S1363" s="24">
        <v>6.1710265821561938</v>
      </c>
      <c r="T1363" s="24">
        <v>0.42791609972005351</v>
      </c>
      <c r="U1363" s="24" t="s">
        <v>3327</v>
      </c>
      <c r="V1363">
        <v>0</v>
      </c>
      <c r="W1363" s="21">
        <v>0</v>
      </c>
      <c r="X1363" s="56" t="str">
        <f>IFERROR(VLOOKUP(A1363,Output!A:F,6,0),"-")</f>
        <v>-</v>
      </c>
    </row>
    <row r="1364" spans="1:24" x14ac:dyDescent="0.25">
      <c r="A1364" s="21" t="s">
        <v>1276</v>
      </c>
      <c r="B1364" s="40" t="s">
        <v>1277</v>
      </c>
      <c r="C1364" s="21" t="s">
        <v>255</v>
      </c>
      <c r="D1364" s="21" t="s">
        <v>75</v>
      </c>
      <c r="E1364" s="21" t="s">
        <v>89</v>
      </c>
      <c r="F1364" s="55">
        <v>6.0121950319411037E-5</v>
      </c>
      <c r="G1364" s="24">
        <v>5.660094</v>
      </c>
      <c r="H1364" s="24">
        <v>7.1068509999999998</v>
      </c>
      <c r="I1364" s="24">
        <v>5.3772880000000001</v>
      </c>
      <c r="J1364" s="24">
        <v>6.0674770000000002</v>
      </c>
      <c r="K1364" s="24">
        <v>3.7418290000000001</v>
      </c>
      <c r="L1364" s="24">
        <v>5.1119339999999998</v>
      </c>
      <c r="M1364" s="24">
        <v>6.1052</v>
      </c>
      <c r="N1364" s="24">
        <v>5.949760306460476</v>
      </c>
      <c r="O1364" s="24">
        <v>2.7956989247311825</v>
      </c>
      <c r="P1364" s="24">
        <v>10</v>
      </c>
      <c r="Q1364" s="24">
        <v>1.4409967089797839</v>
      </c>
      <c r="R1364" s="24">
        <v>5.15</v>
      </c>
      <c r="S1364" s="24">
        <v>6.0144536710143175</v>
      </c>
      <c r="T1364" s="24">
        <v>0.30226975815771134</v>
      </c>
      <c r="U1364" s="24" t="s">
        <v>3289</v>
      </c>
      <c r="V1364">
        <v>0</v>
      </c>
      <c r="W1364" s="21">
        <v>0</v>
      </c>
      <c r="X1364" s="56" t="str">
        <f>IFERROR(VLOOKUP(A1364,Output!A:F,6,0),"-")</f>
        <v>-</v>
      </c>
    </row>
    <row r="1365" spans="1:24" hidden="1" x14ac:dyDescent="0.25">
      <c r="A1365" s="21" t="s">
        <v>1975</v>
      </c>
      <c r="B1365" s="40" t="s">
        <v>1976</v>
      </c>
      <c r="C1365" s="21" t="s">
        <v>246</v>
      </c>
      <c r="D1365" s="21" t="s">
        <v>74</v>
      </c>
      <c r="E1365" s="21" t="s">
        <v>89</v>
      </c>
      <c r="F1365" s="55">
        <v>5.9676954515496736E-5</v>
      </c>
      <c r="G1365" s="21">
        <v>6.9053740000000001</v>
      </c>
      <c r="H1365" s="21">
        <v>8.2656379999999992</v>
      </c>
      <c r="I1365" s="21">
        <v>2.8002549999999999</v>
      </c>
      <c r="J1365" s="21">
        <v>5.944674</v>
      </c>
      <c r="K1365" s="24">
        <v>2.227678</v>
      </c>
      <c r="L1365" s="24">
        <v>18.32986</v>
      </c>
      <c r="M1365" s="24">
        <v>0.33445999999999998</v>
      </c>
      <c r="N1365" s="24">
        <v>0</v>
      </c>
      <c r="O1365" s="24">
        <v>9.3939393939393945</v>
      </c>
      <c r="P1365" s="24">
        <v>9.4210526315789469</v>
      </c>
      <c r="Q1365" s="24">
        <v>7.1389195148842335</v>
      </c>
      <c r="R1365" s="24">
        <v>2.37</v>
      </c>
      <c r="S1365" s="24">
        <v>6.3120665125683564</v>
      </c>
      <c r="T1365" s="24">
        <v>0.53443127667434365</v>
      </c>
      <c r="U1365" s="24" t="s">
        <v>3647</v>
      </c>
      <c r="V1365">
        <v>0</v>
      </c>
      <c r="W1365" s="21">
        <v>0</v>
      </c>
      <c r="X1365" s="56" t="str">
        <f>IFERROR(VLOOKUP(A1365,Output!A:F,6,0),"-")</f>
        <v>-</v>
      </c>
    </row>
    <row r="1366" spans="1:24" hidden="1" x14ac:dyDescent="0.25">
      <c r="A1366" s="21" t="s">
        <v>1971</v>
      </c>
      <c r="B1366" s="40" t="s">
        <v>1972</v>
      </c>
      <c r="C1366" s="21" t="s">
        <v>246</v>
      </c>
      <c r="D1366" s="21" t="s">
        <v>74</v>
      </c>
      <c r="E1366" s="21" t="s">
        <v>92</v>
      </c>
      <c r="F1366" s="55">
        <v>5.9197239159247923E-5</v>
      </c>
      <c r="G1366" s="21">
        <v>5.3879659999999996</v>
      </c>
      <c r="H1366" s="21">
        <v>3.9425949999999998</v>
      </c>
      <c r="I1366" s="21">
        <v>2.8735569999999999</v>
      </c>
      <c r="J1366" s="21">
        <v>4.2000320000000002</v>
      </c>
      <c r="K1366" s="24">
        <v>1.6072070000000001</v>
      </c>
      <c r="L1366" s="24">
        <v>3.4089290000000001</v>
      </c>
      <c r="M1366" s="24">
        <v>14.471500000000001</v>
      </c>
      <c r="N1366" s="24">
        <v>0.24691407407407395</v>
      </c>
      <c r="O1366" s="24">
        <v>9.8979591836734677</v>
      </c>
      <c r="P1366" s="24">
        <v>3.4794520547945202</v>
      </c>
      <c r="Q1366" s="24">
        <v>2.1678572244462786</v>
      </c>
      <c r="R1366" s="24">
        <v>4.37</v>
      </c>
      <c r="S1366" s="24">
        <v>2.8269556943651852</v>
      </c>
      <c r="T1366" s="24">
        <v>0.71848276673803346</v>
      </c>
      <c r="U1366" s="24" t="s">
        <v>3677</v>
      </c>
      <c r="V1366">
        <v>0</v>
      </c>
      <c r="W1366" s="21">
        <v>1</v>
      </c>
      <c r="X1366" s="56" t="str">
        <f>IFERROR(VLOOKUP(A1366,Output!A:F,6,0),"-")</f>
        <v>-</v>
      </c>
    </row>
    <row r="1367" spans="1:24" hidden="1" x14ac:dyDescent="0.25">
      <c r="A1367" s="21" t="s">
        <v>2071</v>
      </c>
      <c r="B1367" s="40" t="s">
        <v>2072</v>
      </c>
      <c r="C1367" s="21" t="s">
        <v>249</v>
      </c>
      <c r="D1367" s="21" t="s">
        <v>74</v>
      </c>
      <c r="E1367" s="21" t="s">
        <v>92</v>
      </c>
      <c r="F1367" s="55">
        <v>5.9075725756438202E-5</v>
      </c>
      <c r="G1367" s="24">
        <v>5.810073</v>
      </c>
      <c r="H1367" s="24">
        <v>4.8567</v>
      </c>
      <c r="I1367" s="24">
        <v>5.0206340000000003</v>
      </c>
      <c r="J1367" s="24">
        <v>5.2872300000000001</v>
      </c>
      <c r="K1367" s="24">
        <v>2.6254219999999999</v>
      </c>
      <c r="L1367" s="24">
        <v>4.637321</v>
      </c>
      <c r="M1367" s="24">
        <v>31.520700000000001</v>
      </c>
      <c r="N1367" s="24">
        <v>4.035802962962963</v>
      </c>
      <c r="O1367" s="24">
        <v>5</v>
      </c>
      <c r="P1367" s="24">
        <v>2.9863013698630132</v>
      </c>
      <c r="Q1367" s="24">
        <v>3.7044211505746278</v>
      </c>
      <c r="R1367" s="24">
        <v>5.08</v>
      </c>
      <c r="S1367" s="24">
        <v>3.925906456500051</v>
      </c>
      <c r="T1367" s="24">
        <v>0.43887845511920187</v>
      </c>
      <c r="U1367" s="24" t="s">
        <v>3730</v>
      </c>
      <c r="V1367">
        <v>0</v>
      </c>
      <c r="W1367" s="21">
        <v>0</v>
      </c>
      <c r="X1367" s="56" t="str">
        <f>IFERROR(VLOOKUP(A1367,Output!A:F,6,0),"-")</f>
        <v>-</v>
      </c>
    </row>
    <row r="1368" spans="1:24" hidden="1" x14ac:dyDescent="0.25">
      <c r="A1368" s="21" t="s">
        <v>1666</v>
      </c>
      <c r="B1368" s="40" t="s">
        <v>1667</v>
      </c>
      <c r="C1368" s="21" t="s">
        <v>249</v>
      </c>
      <c r="D1368" s="21" t="s">
        <v>74</v>
      </c>
      <c r="E1368" s="21" t="s">
        <v>101</v>
      </c>
      <c r="F1368" s="55">
        <v>5.906789851456157E-5</v>
      </c>
      <c r="G1368" s="24">
        <v>7.2060880000000003</v>
      </c>
      <c r="H1368" s="24">
        <v>8.6477810000000002</v>
      </c>
      <c r="I1368" s="24">
        <v>5.1075730000000004</v>
      </c>
      <c r="J1368" s="24">
        <v>6.9433590000000001</v>
      </c>
      <c r="K1368" s="24">
        <v>4.7455720000000001</v>
      </c>
      <c r="L1368" s="24">
        <v>6.6088969999999998</v>
      </c>
      <c r="M1368" s="24">
        <v>6.9759000000000002</v>
      </c>
      <c r="N1368" s="24">
        <v>6.5963242153125003</v>
      </c>
      <c r="O1368" s="24">
        <v>7.9797979797979801</v>
      </c>
      <c r="P1368" s="24">
        <v>7.8338278931750747</v>
      </c>
      <c r="Q1368" s="24">
        <v>4.1466220778360983</v>
      </c>
      <c r="R1368" s="24">
        <v>6.99</v>
      </c>
      <c r="S1368" s="24">
        <v>6.5591771285178488</v>
      </c>
      <c r="T1368" s="24">
        <v>0.29940412504268477</v>
      </c>
      <c r="U1368" s="24" t="s">
        <v>3479</v>
      </c>
      <c r="V1368">
        <v>0</v>
      </c>
      <c r="W1368" s="21">
        <v>0</v>
      </c>
      <c r="X1368" s="56" t="str">
        <f>IFERROR(VLOOKUP(A1368,Output!A:F,6,0),"-")</f>
        <v>-</v>
      </c>
    </row>
    <row r="1369" spans="1:24" hidden="1" x14ac:dyDescent="0.25">
      <c r="A1369" s="21" t="s">
        <v>1568</v>
      </c>
      <c r="B1369" s="40" t="s">
        <v>1569</v>
      </c>
      <c r="C1369" s="21" t="s">
        <v>1441</v>
      </c>
      <c r="D1369" s="21" t="s">
        <v>74</v>
      </c>
      <c r="E1369" s="21" t="s">
        <v>91</v>
      </c>
      <c r="F1369" s="55">
        <v>5.8296351789269724E-5</v>
      </c>
      <c r="G1369" s="21">
        <v>6.8417110000000001</v>
      </c>
      <c r="H1369" s="21">
        <v>7.0601640000000003</v>
      </c>
      <c r="I1369" s="21">
        <v>6.7169999999999996</v>
      </c>
      <c r="J1369" s="21">
        <v>6.8792080000000002</v>
      </c>
      <c r="K1369" s="21">
        <v>4.9476719999999998</v>
      </c>
      <c r="L1369" s="21">
        <v>4.1478479999999998</v>
      </c>
      <c r="M1369" s="21">
        <v>23.478400000000001</v>
      </c>
      <c r="N1369" s="21">
        <v>5.1649597269624579</v>
      </c>
      <c r="O1369" s="21">
        <v>2.2680412371134016</v>
      </c>
      <c r="P1369" s="21">
        <v>8.4615384615384635</v>
      </c>
      <c r="Q1369" s="21">
        <v>3.6842681372113018</v>
      </c>
      <c r="R1369" s="21">
        <v>7.05</v>
      </c>
      <c r="S1369" s="21">
        <v>6.2802556293423617</v>
      </c>
      <c r="T1369" s="21">
        <v>0.15657844290180839</v>
      </c>
      <c r="U1369" s="21" t="s">
        <v>3427</v>
      </c>
      <c r="V1369">
        <v>0</v>
      </c>
      <c r="W1369" s="21">
        <v>0</v>
      </c>
      <c r="X1369" s="56" t="str">
        <f>IFERROR(VLOOKUP(A1369,Output!A:F,6,0),"-")</f>
        <v>-</v>
      </c>
    </row>
    <row r="1370" spans="1:24" x14ac:dyDescent="0.25">
      <c r="A1370" s="21" t="s">
        <v>1197</v>
      </c>
      <c r="B1370" s="40" t="s">
        <v>1198</v>
      </c>
      <c r="C1370" s="21" t="s">
        <v>248</v>
      </c>
      <c r="D1370" s="21" t="s">
        <v>75</v>
      </c>
      <c r="E1370" s="21" t="s">
        <v>94</v>
      </c>
      <c r="F1370" s="55">
        <v>5.8129072161142776E-5</v>
      </c>
      <c r="G1370" s="21">
        <v>4.7372370000000004</v>
      </c>
      <c r="H1370" s="21">
        <v>6.0918720000000004</v>
      </c>
      <c r="I1370" s="21">
        <v>3.1442990000000002</v>
      </c>
      <c r="J1370" s="21">
        <v>4.6419160000000002</v>
      </c>
      <c r="K1370" s="24">
        <v>1.375553</v>
      </c>
      <c r="L1370" s="24">
        <v>4.150347</v>
      </c>
      <c r="M1370" s="24">
        <v>42.844200000000001</v>
      </c>
      <c r="N1370" s="24">
        <v>3.9078495094696515</v>
      </c>
      <c r="O1370" s="24">
        <v>2.7956989247311825</v>
      </c>
      <c r="P1370" s="24">
        <v>5.7575757575757578</v>
      </c>
      <c r="Q1370" s="24">
        <v>3.1784343924355385</v>
      </c>
      <c r="R1370" s="24">
        <v>4.25</v>
      </c>
      <c r="S1370" s="24">
        <v>4.4478045985870063</v>
      </c>
      <c r="T1370" s="24">
        <v>0.19343696457928999</v>
      </c>
      <c r="U1370" s="24" t="s">
        <v>3247</v>
      </c>
      <c r="V1370">
        <v>0</v>
      </c>
      <c r="W1370" s="21">
        <v>0</v>
      </c>
      <c r="X1370" s="56" t="str">
        <f>IFERROR(VLOOKUP(A1370,Output!A:F,6,0),"-")</f>
        <v>-</v>
      </c>
    </row>
    <row r="1371" spans="1:24" hidden="1" x14ac:dyDescent="0.25">
      <c r="A1371" s="21" t="s">
        <v>4413</v>
      </c>
      <c r="B1371" s="40" t="s">
        <v>4528</v>
      </c>
      <c r="C1371" s="21" t="s">
        <v>245</v>
      </c>
      <c r="D1371" s="21" t="s">
        <v>73</v>
      </c>
      <c r="E1371" s="21" t="s">
        <v>86</v>
      </c>
      <c r="F1371" s="55">
        <v>5.811866937438129E-5</v>
      </c>
      <c r="G1371" s="24">
        <v>4.5336499999999997</v>
      </c>
      <c r="H1371" s="24">
        <v>5.340579</v>
      </c>
      <c r="I1371" s="24">
        <v>2.9266890000000001</v>
      </c>
      <c r="J1371" s="24">
        <v>4.2669730000000001</v>
      </c>
      <c r="K1371" s="24">
        <v>4.3344110000000002</v>
      </c>
      <c r="L1371" s="24">
        <v>7.2023260000000002</v>
      </c>
      <c r="M1371" s="24">
        <v>349.25369999999998</v>
      </c>
      <c r="N1371" s="24">
        <v>7.3863645344196547</v>
      </c>
      <c r="O1371" s="24">
        <v>3.7113402061855667</v>
      </c>
      <c r="P1371" s="24">
        <v>6.4814814814814827</v>
      </c>
      <c r="Q1371" s="24">
        <v>6.8063071621851172</v>
      </c>
      <c r="R1371" s="24">
        <v>7.44</v>
      </c>
      <c r="S1371" s="24">
        <v>6.8624742407480763</v>
      </c>
      <c r="T1371" s="24">
        <v>0.47808118936012484</v>
      </c>
      <c r="U1371" s="24" t="s">
        <v>4529</v>
      </c>
      <c r="V1371">
        <v>0</v>
      </c>
      <c r="W1371" s="21">
        <v>1</v>
      </c>
      <c r="X1371" s="56" t="str">
        <f>IFERROR(VLOOKUP(A1371,Output!A:F,6,0),"-")</f>
        <v>-</v>
      </c>
    </row>
    <row r="1372" spans="1:24" x14ac:dyDescent="0.25">
      <c r="A1372" s="21" t="s">
        <v>1057</v>
      </c>
      <c r="B1372" s="40" t="s">
        <v>1058</v>
      </c>
      <c r="C1372" s="21" t="s">
        <v>248</v>
      </c>
      <c r="D1372" s="21" t="s">
        <v>75</v>
      </c>
      <c r="E1372" s="21" t="s">
        <v>98</v>
      </c>
      <c r="F1372" s="55">
        <v>5.7975797058327238E-5</v>
      </c>
      <c r="G1372" s="24">
        <v>2.4960870000000002</v>
      </c>
      <c r="H1372" s="24">
        <v>4.0115280000000002</v>
      </c>
      <c r="I1372" s="24">
        <v>1.0100549999999999</v>
      </c>
      <c r="J1372" s="24">
        <v>2.5049100000000002</v>
      </c>
      <c r="K1372" s="24">
        <v>1.080884</v>
      </c>
      <c r="L1372" s="24">
        <v>3.1334759999999999</v>
      </c>
      <c r="M1372" s="24">
        <v>11.7341</v>
      </c>
      <c r="N1372" s="24">
        <v>6.8206882027140034</v>
      </c>
      <c r="O1372" s="24">
        <v>3.870967741935484</v>
      </c>
      <c r="P1372" s="24">
        <v>9.1666666666666643</v>
      </c>
      <c r="Q1372" s="24">
        <v>1.2161763049028063</v>
      </c>
      <c r="R1372" s="24">
        <v>4.6100009999999996</v>
      </c>
      <c r="S1372" s="24">
        <v>4.0330071766409343</v>
      </c>
      <c r="T1372" s="24">
        <v>0.51475868488486709</v>
      </c>
      <c r="U1372" s="24" t="s">
        <v>3257</v>
      </c>
      <c r="V1372">
        <v>0</v>
      </c>
      <c r="W1372" s="21">
        <v>1</v>
      </c>
      <c r="X1372" s="56" t="str">
        <f>IFERROR(VLOOKUP(A1372,Output!A:F,6,0),"-")</f>
        <v>-</v>
      </c>
    </row>
    <row r="1373" spans="1:24" hidden="1" x14ac:dyDescent="0.25">
      <c r="A1373" s="21" t="s">
        <v>485</v>
      </c>
      <c r="B1373" s="40" t="s">
        <v>692</v>
      </c>
      <c r="C1373" s="21" t="s">
        <v>245</v>
      </c>
      <c r="D1373" s="21" t="s">
        <v>73</v>
      </c>
      <c r="E1373" s="21" t="s">
        <v>102</v>
      </c>
      <c r="F1373" s="55">
        <v>5.7891769906458816E-5</v>
      </c>
      <c r="G1373" s="21">
        <v>5.9351010000000004</v>
      </c>
      <c r="H1373" s="21">
        <v>5.8101630000000002</v>
      </c>
      <c r="I1373" s="21">
        <v>6.5699370000000004</v>
      </c>
      <c r="J1373" s="21">
        <v>6.0370799999999996</v>
      </c>
      <c r="K1373" s="24">
        <v>5.2608499999999996</v>
      </c>
      <c r="L1373" s="24">
        <v>5.6858259999999996</v>
      </c>
      <c r="M1373" s="24">
        <v>833.31590000000006</v>
      </c>
      <c r="N1373" s="24">
        <v>6.078946728531923</v>
      </c>
      <c r="O1373" s="24">
        <v>0.82474226804123707</v>
      </c>
      <c r="P1373" s="24">
        <v>3.0952380952380953</v>
      </c>
      <c r="Q1373" s="24">
        <v>3.5065242847148062</v>
      </c>
      <c r="R1373" s="24">
        <v>6.4</v>
      </c>
      <c r="S1373" s="24">
        <v>4.6900813900322733</v>
      </c>
      <c r="T1373" s="24">
        <v>0.80299072120798554</v>
      </c>
      <c r="U1373" s="24" t="s">
        <v>2911</v>
      </c>
      <c r="V1373">
        <v>0</v>
      </c>
      <c r="W1373" s="21">
        <v>0</v>
      </c>
      <c r="X1373" s="56" t="str">
        <f>IFERROR(VLOOKUP(A1373,Output!A:F,6,0),"-")</f>
        <v>-</v>
      </c>
    </row>
    <row r="1374" spans="1:24" x14ac:dyDescent="0.25">
      <c r="A1374" s="21" t="s">
        <v>650</v>
      </c>
      <c r="B1374" s="40" t="s">
        <v>985</v>
      </c>
      <c r="C1374" s="21" t="s">
        <v>248</v>
      </c>
      <c r="D1374" s="21" t="s">
        <v>75</v>
      </c>
      <c r="E1374" s="21" t="s">
        <v>97</v>
      </c>
      <c r="F1374" s="55">
        <v>5.7842522671258148E-5</v>
      </c>
      <c r="G1374" s="24">
        <v>6.5092990000000004</v>
      </c>
      <c r="H1374" s="24">
        <v>8.6824929999999991</v>
      </c>
      <c r="I1374" s="24">
        <v>5.5761649999999996</v>
      </c>
      <c r="J1374" s="24">
        <v>6.570684</v>
      </c>
      <c r="K1374" s="24">
        <v>4.4884750000000002</v>
      </c>
      <c r="L1374" s="24">
        <v>4.4904919999999997</v>
      </c>
      <c r="M1374" s="24">
        <v>71.360799999999998</v>
      </c>
      <c r="N1374" s="24">
        <v>7.6543203203203198</v>
      </c>
      <c r="O1374" s="24">
        <v>5.824175824175823</v>
      </c>
      <c r="P1374" s="24">
        <v>5.6779661016949143</v>
      </c>
      <c r="Q1374" s="24">
        <v>2.5876617808264735</v>
      </c>
      <c r="R1374" s="24">
        <v>6</v>
      </c>
      <c r="S1374" s="24">
        <v>5.3093098606715543</v>
      </c>
      <c r="T1374" s="24">
        <v>-2.4335054063529316E-2</v>
      </c>
      <c r="U1374" s="24" t="s">
        <v>3118</v>
      </c>
      <c r="V1374">
        <v>0</v>
      </c>
      <c r="W1374" s="21">
        <v>0</v>
      </c>
      <c r="X1374" s="56" t="str">
        <f>IFERROR(VLOOKUP(A1374,Output!A:F,6,0),"-")</f>
        <v>-</v>
      </c>
    </row>
    <row r="1375" spans="1:24" x14ac:dyDescent="0.25">
      <c r="A1375" s="21" t="s">
        <v>2069</v>
      </c>
      <c r="B1375" s="40" t="s">
        <v>2070</v>
      </c>
      <c r="C1375" s="21" t="s">
        <v>255</v>
      </c>
      <c r="D1375" s="21" t="s">
        <v>75</v>
      </c>
      <c r="E1375" s="21" t="s">
        <v>97</v>
      </c>
      <c r="F1375" s="55">
        <v>5.7041638880012246E-5</v>
      </c>
      <c r="G1375" s="24">
        <v>2.2836210000000001</v>
      </c>
      <c r="H1375" s="24">
        <v>3.0766589999999998</v>
      </c>
      <c r="I1375" s="24">
        <v>0.70944660000000004</v>
      </c>
      <c r="J1375" s="24">
        <v>2.04928</v>
      </c>
      <c r="K1375" s="24">
        <v>7.1467679999999998</v>
      </c>
      <c r="L1375" s="24">
        <v>9.9037190000000006</v>
      </c>
      <c r="M1375" s="24">
        <v>129.43020000000001</v>
      </c>
      <c r="N1375" s="24">
        <v>7.454122122122123</v>
      </c>
      <c r="O1375" s="24">
        <v>1.5384615384615383</v>
      </c>
      <c r="P1375" s="24">
        <v>2.4576271186440679</v>
      </c>
      <c r="Q1375" s="24">
        <v>9.5034444553854343</v>
      </c>
      <c r="R1375" s="24">
        <v>5.75</v>
      </c>
      <c r="S1375" s="24">
        <v>6.7898923726487626</v>
      </c>
      <c r="T1375" s="24">
        <v>0.31587854172581425</v>
      </c>
      <c r="U1375" s="24" t="s">
        <v>4506</v>
      </c>
      <c r="V1375">
        <v>0</v>
      </c>
      <c r="W1375" s="21">
        <v>1</v>
      </c>
      <c r="X1375" s="56" t="str">
        <f>IFERROR(VLOOKUP(A1375,Output!A:F,6,0),"-")</f>
        <v>-</v>
      </c>
    </row>
    <row r="1376" spans="1:24" hidden="1" x14ac:dyDescent="0.25">
      <c r="A1376" s="21" t="s">
        <v>1995</v>
      </c>
      <c r="B1376" s="40" t="s">
        <v>1996</v>
      </c>
      <c r="C1376" s="21" t="s">
        <v>258</v>
      </c>
      <c r="D1376" s="21" t="s">
        <v>74</v>
      </c>
      <c r="E1376" s="21" t="s">
        <v>100</v>
      </c>
      <c r="F1376" s="55">
        <v>5.7032996719636898E-5</v>
      </c>
      <c r="G1376" s="21">
        <v>4.4191159999999998</v>
      </c>
      <c r="H1376" s="21">
        <v>7.7077689999999999</v>
      </c>
      <c r="I1376" s="21">
        <v>3.993077</v>
      </c>
      <c r="J1376" s="21">
        <v>5.3733209999999998</v>
      </c>
      <c r="K1376" s="24">
        <v>4.8898679999999999</v>
      </c>
      <c r="L1376" s="24">
        <v>3.6891020000000001</v>
      </c>
      <c r="M1376" s="24">
        <v>247.68010000000001</v>
      </c>
      <c r="N1376" s="24">
        <v>8.2290104260614161</v>
      </c>
      <c r="O1376" s="24">
        <v>2.7777777777777777</v>
      </c>
      <c r="P1376" s="24">
        <v>4.280442804428044</v>
      </c>
      <c r="Q1376" s="24">
        <v>0</v>
      </c>
      <c r="R1376" s="24">
        <v>5.2</v>
      </c>
      <c r="S1376" s="24">
        <v>4.0711289316828898</v>
      </c>
      <c r="T1376" s="24">
        <v>0.22770970593487999</v>
      </c>
      <c r="U1376" s="24" t="s">
        <v>3658</v>
      </c>
      <c r="V1376">
        <v>0</v>
      </c>
      <c r="W1376" s="21">
        <v>0</v>
      </c>
      <c r="X1376" s="56" t="str">
        <f>IFERROR(VLOOKUP(A1376,Output!A:F,6,0),"-")</f>
        <v>-</v>
      </c>
    </row>
    <row r="1377" spans="1:24" x14ac:dyDescent="0.25">
      <c r="A1377" s="21" t="s">
        <v>543</v>
      </c>
      <c r="B1377" s="40" t="s">
        <v>1015</v>
      </c>
      <c r="C1377" s="21" t="s">
        <v>248</v>
      </c>
      <c r="D1377" s="21" t="s">
        <v>75</v>
      </c>
      <c r="E1377" s="21" t="s">
        <v>88</v>
      </c>
      <c r="F1377" s="55">
        <v>5.6943285259721823E-5</v>
      </c>
      <c r="G1377" s="21">
        <v>4.4956630000000004</v>
      </c>
      <c r="H1377" s="21">
        <v>6.4008019999999997</v>
      </c>
      <c r="I1377" s="21">
        <v>3.6510880000000001</v>
      </c>
      <c r="J1377" s="21">
        <v>4.8138319999999997</v>
      </c>
      <c r="K1377" s="24">
        <v>2.4021140000000001</v>
      </c>
      <c r="L1377" s="24">
        <v>4.1979230000000003</v>
      </c>
      <c r="M1377" s="24">
        <v>107.7829</v>
      </c>
      <c r="N1377" s="24">
        <v>3.4060450361151156</v>
      </c>
      <c r="O1377" s="24">
        <v>1.1578947368421053</v>
      </c>
      <c r="P1377" s="24">
        <v>6.0228573246693795</v>
      </c>
      <c r="Q1377" s="24">
        <v>4.933094159498288</v>
      </c>
      <c r="R1377" s="24">
        <v>4.9800000000000004</v>
      </c>
      <c r="S1377" s="24">
        <v>5.1444002794500197</v>
      </c>
      <c r="T1377" s="24">
        <v>0.60936205563624291</v>
      </c>
      <c r="U1377" s="24" t="s">
        <v>3141</v>
      </c>
      <c r="V1377">
        <v>0</v>
      </c>
      <c r="W1377" s="21">
        <v>0</v>
      </c>
      <c r="X1377" s="56" t="str">
        <f>IFERROR(VLOOKUP(A1377,Output!A:F,6,0),"-")</f>
        <v>-</v>
      </c>
    </row>
    <row r="1378" spans="1:24" hidden="1" x14ac:dyDescent="0.25">
      <c r="A1378" s="21" t="s">
        <v>2324</v>
      </c>
      <c r="B1378" s="40" t="s">
        <v>2325</v>
      </c>
      <c r="C1378" s="21" t="s">
        <v>1752</v>
      </c>
      <c r="D1378" s="21" t="s">
        <v>74</v>
      </c>
      <c r="E1378" s="21" t="s">
        <v>102</v>
      </c>
      <c r="F1378" s="55">
        <v>5.5635622769491695E-5</v>
      </c>
      <c r="G1378" s="21">
        <v>3.7203020000000002</v>
      </c>
      <c r="H1378" s="21">
        <v>6.1359209999999997</v>
      </c>
      <c r="I1378" s="21">
        <v>5.0034200000000002</v>
      </c>
      <c r="J1378" s="21">
        <v>4.4600499999999998</v>
      </c>
      <c r="K1378" s="24">
        <v>1.8410690000000001</v>
      </c>
      <c r="L1378" s="24">
        <v>2.823855</v>
      </c>
      <c r="M1378" s="24">
        <v>346.54880000000003</v>
      </c>
      <c r="N1378" s="24">
        <v>6.150106867756576</v>
      </c>
      <c r="O1378" s="24">
        <v>0</v>
      </c>
      <c r="P1378" s="24">
        <v>2.9268292682926833</v>
      </c>
      <c r="Q1378" s="24">
        <v>2.3397832104805105</v>
      </c>
      <c r="R1378" s="24">
        <v>3.5</v>
      </c>
      <c r="S1378" s="24">
        <v>2.2150371307018073</v>
      </c>
      <c r="T1378" s="24">
        <v>0.33591692679762608</v>
      </c>
      <c r="U1378" s="24" t="s">
        <v>3841</v>
      </c>
      <c r="V1378">
        <v>0</v>
      </c>
      <c r="W1378" s="21">
        <v>1</v>
      </c>
      <c r="X1378" s="56" t="str">
        <f>IFERROR(VLOOKUP(A1378,Output!A:F,6,0),"-")</f>
        <v>-</v>
      </c>
    </row>
    <row r="1379" spans="1:24" hidden="1" x14ac:dyDescent="0.25">
      <c r="A1379" s="21" t="s">
        <v>1349</v>
      </c>
      <c r="B1379" s="40" t="s">
        <v>1350</v>
      </c>
      <c r="C1379" s="21" t="s">
        <v>294</v>
      </c>
      <c r="D1379" s="21" t="s">
        <v>77</v>
      </c>
      <c r="E1379" s="21" t="s">
        <v>87</v>
      </c>
      <c r="F1379" s="55">
        <v>5.537502994289976E-5</v>
      </c>
      <c r="G1379" s="24">
        <v>5.9433990000000003</v>
      </c>
      <c r="H1379" s="24">
        <v>5.9612689999999997</v>
      </c>
      <c r="I1379" s="24">
        <v>6.2672249999999998</v>
      </c>
      <c r="J1379" s="24">
        <v>6.0572980000000003</v>
      </c>
      <c r="K1379" s="24">
        <v>3.762969</v>
      </c>
      <c r="L1379" s="24">
        <v>8.0305</v>
      </c>
      <c r="M1379" s="24">
        <v>429.11950000000002</v>
      </c>
      <c r="N1379" s="24" t="e">
        <v>#N/A</v>
      </c>
      <c r="O1379" s="24" t="e">
        <v>#N/A</v>
      </c>
      <c r="P1379" s="24" t="e">
        <v>#N/A</v>
      </c>
      <c r="Q1379" s="24" t="e">
        <v>#N/A</v>
      </c>
      <c r="R1379" s="24">
        <v>4.7300000000000004</v>
      </c>
      <c r="S1379" s="24" t="e">
        <v>#N/A</v>
      </c>
      <c r="T1379" s="24">
        <v>0.51608797507258675</v>
      </c>
      <c r="U1379" s="24" t="s">
        <v>3219</v>
      </c>
      <c r="V1379">
        <v>1</v>
      </c>
      <c r="W1379" s="21">
        <v>0</v>
      </c>
      <c r="X1379" s="56" t="str">
        <f>IFERROR(VLOOKUP(A1379,Output!A:F,6,0),"-")</f>
        <v>-</v>
      </c>
    </row>
    <row r="1380" spans="1:24" hidden="1" x14ac:dyDescent="0.25">
      <c r="A1380" s="21" t="s">
        <v>418</v>
      </c>
      <c r="B1380" s="40" t="s">
        <v>683</v>
      </c>
      <c r="C1380" s="21" t="s">
        <v>245</v>
      </c>
      <c r="D1380" s="21" t="s">
        <v>73</v>
      </c>
      <c r="E1380" s="21" t="s">
        <v>94</v>
      </c>
      <c r="F1380" s="55">
        <v>5.4975850667913722E-5</v>
      </c>
      <c r="G1380" s="21">
        <v>5.3727070000000001</v>
      </c>
      <c r="H1380" s="21">
        <v>1.3310660000000001</v>
      </c>
      <c r="I1380" s="21">
        <v>3.142118</v>
      </c>
      <c r="J1380" s="21">
        <v>3.2819639999999999</v>
      </c>
      <c r="K1380" s="24">
        <v>4.4440569999999999</v>
      </c>
      <c r="L1380" s="24">
        <v>10.214090000000001</v>
      </c>
      <c r="M1380" s="24">
        <v>26.366399999999999</v>
      </c>
      <c r="N1380" s="24">
        <v>6.2858954874823461</v>
      </c>
      <c r="O1380" s="24">
        <v>3.5714285714285712</v>
      </c>
      <c r="P1380" s="24">
        <v>7.2858517701091507</v>
      </c>
      <c r="Q1380" s="24">
        <v>6.3703064769911046</v>
      </c>
      <c r="R1380" s="24">
        <v>8.3699999999999992</v>
      </c>
      <c r="S1380" s="24">
        <v>7.6647821033167283</v>
      </c>
      <c r="T1380" s="24">
        <v>0.73387068575647607</v>
      </c>
      <c r="U1380" s="24" t="s">
        <v>2912</v>
      </c>
      <c r="V1380">
        <v>0</v>
      </c>
      <c r="W1380" s="21">
        <v>1</v>
      </c>
      <c r="X1380" s="56" t="str">
        <f>IFERROR(VLOOKUP(A1380,Output!A:F,6,0),"-")</f>
        <v>-</v>
      </c>
    </row>
    <row r="1381" spans="1:24" x14ac:dyDescent="0.25">
      <c r="A1381" s="21" t="s">
        <v>4524</v>
      </c>
      <c r="B1381" s="40" t="s">
        <v>4525</v>
      </c>
      <c r="C1381" s="21" t="s">
        <v>255</v>
      </c>
      <c r="D1381" s="21" t="s">
        <v>75</v>
      </c>
      <c r="E1381" s="21" t="s">
        <v>102</v>
      </c>
      <c r="F1381" s="55">
        <v>5.4549909871858476E-5</v>
      </c>
      <c r="G1381" s="21" t="e">
        <v>#N/A</v>
      </c>
      <c r="H1381" s="21" t="e">
        <v>#N/A</v>
      </c>
      <c r="I1381" s="21" t="e">
        <v>#N/A</v>
      </c>
      <c r="J1381" s="21" t="e">
        <v>#N/A</v>
      </c>
      <c r="K1381" s="24">
        <v>2.3662550000000002</v>
      </c>
      <c r="L1381" s="24">
        <v>9.4766759999999994</v>
      </c>
      <c r="M1381" s="24" t="e">
        <v>#N/A</v>
      </c>
      <c r="N1381" s="24">
        <v>0.50833012708253089</v>
      </c>
      <c r="O1381" s="24">
        <v>7.8124999999999982</v>
      </c>
      <c r="P1381" s="24">
        <v>8.6585365853658534</v>
      </c>
      <c r="Q1381" s="24">
        <v>3.7372818264538017</v>
      </c>
      <c r="R1381" s="24">
        <v>4.01</v>
      </c>
      <c r="S1381" s="24">
        <v>4.6695900931946035</v>
      </c>
      <c r="T1381" s="24">
        <v>0.58755430454551971</v>
      </c>
      <c r="U1381" s="24" t="s">
        <v>4526</v>
      </c>
      <c r="V1381">
        <v>1</v>
      </c>
      <c r="W1381" s="21">
        <v>0</v>
      </c>
      <c r="X1381" s="56" t="str">
        <f>IFERROR(VLOOKUP(A1381,Output!A:F,6,0),"-")</f>
        <v>-</v>
      </c>
    </row>
    <row r="1382" spans="1:24" x14ac:dyDescent="0.25">
      <c r="A1382" s="21" t="s">
        <v>4519</v>
      </c>
      <c r="B1382" s="40" t="s">
        <v>4520</v>
      </c>
      <c r="C1382" s="21" t="s">
        <v>248</v>
      </c>
      <c r="D1382" s="21" t="s">
        <v>75</v>
      </c>
      <c r="E1382" s="21" t="s">
        <v>101</v>
      </c>
      <c r="F1382" s="55">
        <v>5.4088796790969414E-5</v>
      </c>
      <c r="G1382" s="21">
        <v>4.2212490000000003</v>
      </c>
      <c r="H1382" s="21">
        <v>3.5129229999999998</v>
      </c>
      <c r="I1382" s="21">
        <v>2.291509</v>
      </c>
      <c r="J1382" s="21">
        <v>3.166023</v>
      </c>
      <c r="K1382" s="24">
        <v>0.78145620000000005</v>
      </c>
      <c r="L1382" s="24">
        <v>3.9791219999999998</v>
      </c>
      <c r="M1382" s="24">
        <v>29.555900000000001</v>
      </c>
      <c r="N1382" s="24">
        <v>8.2068788767066891</v>
      </c>
      <c r="O1382" s="24">
        <v>5.5913978494623651</v>
      </c>
      <c r="P1382" s="24">
        <v>4.7348484848484853</v>
      </c>
      <c r="Q1382" s="24">
        <v>2.0216249666272765</v>
      </c>
      <c r="R1382" s="24">
        <v>4.45</v>
      </c>
      <c r="S1382" s="24">
        <v>3.6544786303213446</v>
      </c>
      <c r="T1382" s="24">
        <v>0.7696218027940076</v>
      </c>
      <c r="U1382" s="24" t="s">
        <v>4521</v>
      </c>
      <c r="V1382">
        <v>0</v>
      </c>
      <c r="W1382" s="21">
        <v>1</v>
      </c>
      <c r="X1382" s="56" t="str">
        <f>IFERROR(VLOOKUP(A1382,Output!A:F,6,0),"-")</f>
        <v>-</v>
      </c>
    </row>
    <row r="1383" spans="1:24" hidden="1" x14ac:dyDescent="0.25">
      <c r="A1383" s="21" t="s">
        <v>1359</v>
      </c>
      <c r="B1383" s="40" t="s">
        <v>1360</v>
      </c>
      <c r="C1383" s="21" t="s">
        <v>246</v>
      </c>
      <c r="D1383" s="21" t="s">
        <v>74</v>
      </c>
      <c r="E1383" s="21" t="s">
        <v>96</v>
      </c>
      <c r="F1383" s="55">
        <v>5.3749126687834637E-5</v>
      </c>
      <c r="G1383" s="24">
        <v>7.0456810000000001</v>
      </c>
      <c r="H1383" s="24">
        <v>5.3081969999999998</v>
      </c>
      <c r="I1383" s="24">
        <v>5.0071830000000004</v>
      </c>
      <c r="J1383" s="24">
        <v>5.9128869999999996</v>
      </c>
      <c r="K1383" s="24">
        <v>3.5148649999999999</v>
      </c>
      <c r="L1383" s="24">
        <v>6.2856360000000002</v>
      </c>
      <c r="M1383" s="24">
        <v>19.360399999999998</v>
      </c>
      <c r="N1383" s="24">
        <v>2.0376668733741661</v>
      </c>
      <c r="O1383" s="24">
        <v>1.5151515151515151</v>
      </c>
      <c r="P1383" s="24">
        <v>4.0059347181008915</v>
      </c>
      <c r="Q1383" s="24">
        <v>5.5501540833882688</v>
      </c>
      <c r="R1383" s="24">
        <v>4.6900000000000004</v>
      </c>
      <c r="S1383" s="24">
        <v>4.1313971081550225</v>
      </c>
      <c r="T1383" s="24">
        <v>0.78694452280764482</v>
      </c>
      <c r="U1383" s="24" t="s">
        <v>3304</v>
      </c>
      <c r="V1383">
        <v>0</v>
      </c>
      <c r="W1383" s="21">
        <v>0</v>
      </c>
      <c r="X1383" s="56" t="str">
        <f>IFERROR(VLOOKUP(A1383,Output!A:F,6,0),"-")</f>
        <v>-</v>
      </c>
    </row>
    <row r="1384" spans="1:24" hidden="1" x14ac:dyDescent="0.25">
      <c r="A1384" s="21" t="s">
        <v>4417</v>
      </c>
      <c r="B1384" s="40" t="s">
        <v>4530</v>
      </c>
      <c r="C1384" s="21" t="s">
        <v>252</v>
      </c>
      <c r="D1384" s="21" t="s">
        <v>74</v>
      </c>
      <c r="E1384" s="21" t="s">
        <v>90</v>
      </c>
      <c r="F1384" s="55">
        <v>5.3736359631354632E-5</v>
      </c>
      <c r="G1384" s="21">
        <v>0</v>
      </c>
      <c r="H1384" s="21">
        <v>0</v>
      </c>
      <c r="I1384" s="21">
        <v>0</v>
      </c>
      <c r="J1384" s="21">
        <v>0</v>
      </c>
      <c r="K1384" s="24">
        <v>0.70580430000000005</v>
      </c>
      <c r="L1384" s="24">
        <v>2.187109</v>
      </c>
      <c r="M1384" s="24">
        <v>67.9876</v>
      </c>
      <c r="N1384" s="24">
        <v>9.271564112865839</v>
      </c>
      <c r="O1384" s="24">
        <v>10</v>
      </c>
      <c r="P1384" s="24">
        <v>10</v>
      </c>
      <c r="Q1384" s="24">
        <v>0</v>
      </c>
      <c r="R1384" s="24">
        <v>2.94</v>
      </c>
      <c r="S1384" s="24">
        <v>4.1121879129093299</v>
      </c>
      <c r="T1384" s="24">
        <v>0.34710537700314054</v>
      </c>
      <c r="U1384" s="24" t="s">
        <v>4531</v>
      </c>
      <c r="V1384">
        <v>0</v>
      </c>
      <c r="W1384" s="21">
        <v>1</v>
      </c>
      <c r="X1384" s="56" t="str">
        <f>IFERROR(VLOOKUP(A1384,Output!A:F,6,0),"-")</f>
        <v>-</v>
      </c>
    </row>
    <row r="1385" spans="1:24" x14ac:dyDescent="0.25">
      <c r="A1385" s="21" t="s">
        <v>1093</v>
      </c>
      <c r="B1385" s="40" t="s">
        <v>1094</v>
      </c>
      <c r="C1385" s="21" t="s">
        <v>248</v>
      </c>
      <c r="D1385" s="21" t="s">
        <v>75</v>
      </c>
      <c r="E1385" s="21" t="s">
        <v>87</v>
      </c>
      <c r="F1385" s="55">
        <v>5.3154276426655003E-5</v>
      </c>
      <c r="G1385" s="24">
        <v>5.0905230000000001</v>
      </c>
      <c r="H1385" s="24">
        <v>5.3979540000000004</v>
      </c>
      <c r="I1385" s="24">
        <v>3.404846</v>
      </c>
      <c r="J1385" s="24">
        <v>4.6311080000000002</v>
      </c>
      <c r="K1385" s="24">
        <v>2.8521740000000002</v>
      </c>
      <c r="L1385" s="24">
        <v>4.0258450000000003</v>
      </c>
      <c r="M1385" s="24">
        <v>222.73859999999999</v>
      </c>
      <c r="N1385" s="24">
        <v>3.9729990356798446</v>
      </c>
      <c r="O1385" s="24">
        <v>3.2</v>
      </c>
      <c r="P1385" s="24">
        <v>9.6585365853658551</v>
      </c>
      <c r="Q1385" s="24">
        <v>1.4356988606746595</v>
      </c>
      <c r="R1385" s="24">
        <v>6.18</v>
      </c>
      <c r="S1385" s="24">
        <v>4.6834729952242045</v>
      </c>
      <c r="T1385" s="24">
        <v>0.46481958894457159</v>
      </c>
      <c r="U1385" s="24" t="s">
        <v>3173</v>
      </c>
      <c r="V1385">
        <v>0</v>
      </c>
      <c r="W1385" s="21">
        <v>0</v>
      </c>
      <c r="X1385" s="56" t="str">
        <f>IFERROR(VLOOKUP(A1385,Output!A:F,6,0),"-")</f>
        <v>-</v>
      </c>
    </row>
    <row r="1386" spans="1:24" x14ac:dyDescent="0.25">
      <c r="A1386" s="21" t="s">
        <v>648</v>
      </c>
      <c r="B1386" s="40" t="s">
        <v>958</v>
      </c>
      <c r="C1386" s="21" t="s">
        <v>248</v>
      </c>
      <c r="D1386" s="21" t="s">
        <v>75</v>
      </c>
      <c r="E1386" s="21" t="s">
        <v>97</v>
      </c>
      <c r="F1386" s="55">
        <v>5.3061184564078544E-5</v>
      </c>
      <c r="G1386" s="24">
        <v>3.914202</v>
      </c>
      <c r="H1386" s="24">
        <v>4.0611899999999999</v>
      </c>
      <c r="I1386" s="24">
        <v>2.551377</v>
      </c>
      <c r="J1386" s="24">
        <v>3.398469</v>
      </c>
      <c r="K1386" s="24">
        <v>4.9219210000000002</v>
      </c>
      <c r="L1386" s="24">
        <v>3.841081</v>
      </c>
      <c r="M1386" s="24">
        <v>11.9329</v>
      </c>
      <c r="N1386" s="24">
        <v>7.6976976976976985</v>
      </c>
      <c r="O1386" s="24">
        <v>2.9670329670329672</v>
      </c>
      <c r="P1386" s="24">
        <v>5.2966101694915242</v>
      </c>
      <c r="Q1386" s="24">
        <v>1.8136863954446067</v>
      </c>
      <c r="R1386" s="24">
        <v>6.4</v>
      </c>
      <c r="S1386" s="24">
        <v>4.3578825486564421</v>
      </c>
      <c r="T1386" s="24">
        <v>7.5759235551386903E-2</v>
      </c>
      <c r="U1386" s="24" t="s">
        <v>3103</v>
      </c>
      <c r="V1386">
        <v>0</v>
      </c>
      <c r="W1386" s="21">
        <v>1</v>
      </c>
      <c r="X1386" s="56" t="str">
        <f>IFERROR(VLOOKUP(A1386,Output!A:F,6,0),"-")</f>
        <v>-</v>
      </c>
    </row>
    <row r="1387" spans="1:24" x14ac:dyDescent="0.25">
      <c r="A1387" s="21" t="s">
        <v>1258</v>
      </c>
      <c r="B1387" s="40" t="s">
        <v>1259</v>
      </c>
      <c r="C1387" s="21" t="s">
        <v>248</v>
      </c>
      <c r="D1387" s="21" t="s">
        <v>75</v>
      </c>
      <c r="E1387" s="21" t="s">
        <v>98</v>
      </c>
      <c r="F1387" s="55">
        <v>5.258197224394005E-5</v>
      </c>
      <c r="G1387" s="24">
        <v>2.7319650000000002</v>
      </c>
      <c r="H1387" s="24">
        <v>4.5436899999999998</v>
      </c>
      <c r="I1387" s="24">
        <v>1.9559770000000001</v>
      </c>
      <c r="J1387" s="24">
        <v>3.1462599999999998</v>
      </c>
      <c r="K1387" s="24">
        <v>0.66945209999999999</v>
      </c>
      <c r="L1387" s="24">
        <v>2.867273</v>
      </c>
      <c r="M1387" s="24">
        <v>16.0486</v>
      </c>
      <c r="N1387" s="24">
        <v>9.82537834691502</v>
      </c>
      <c r="O1387" s="24">
        <v>3.3734939759036142</v>
      </c>
      <c r="P1387" s="24">
        <v>10</v>
      </c>
      <c r="Q1387" s="24">
        <v>0.28040295655832037</v>
      </c>
      <c r="R1387" s="24">
        <v>2.67</v>
      </c>
      <c r="S1387" s="24">
        <v>4.3846201620098366</v>
      </c>
      <c r="T1387" s="24">
        <v>0.28652010649495752</v>
      </c>
      <c r="U1387" s="24" t="s">
        <v>3274</v>
      </c>
      <c r="V1387">
        <v>0</v>
      </c>
      <c r="W1387" s="21">
        <v>1</v>
      </c>
      <c r="X1387" s="56" t="str">
        <f>IFERROR(VLOOKUP(A1387,Output!A:F,6,0),"-")</f>
        <v>-</v>
      </c>
    </row>
    <row r="1388" spans="1:24" hidden="1" x14ac:dyDescent="0.25">
      <c r="A1388" s="21" t="s">
        <v>1829</v>
      </c>
      <c r="B1388" s="40" t="s">
        <v>1830</v>
      </c>
      <c r="C1388" s="21" t="s">
        <v>252</v>
      </c>
      <c r="D1388" s="21" t="s">
        <v>74</v>
      </c>
      <c r="E1388" s="21" t="s">
        <v>102</v>
      </c>
      <c r="F1388" s="55">
        <v>5.2389108199242063E-5</v>
      </c>
      <c r="G1388" s="21">
        <v>3.6420650000000001</v>
      </c>
      <c r="H1388" s="21">
        <v>5.3524799999999999</v>
      </c>
      <c r="I1388" s="21">
        <v>3.9924019999999998</v>
      </c>
      <c r="J1388" s="21">
        <v>4.0542150000000001</v>
      </c>
      <c r="K1388" s="24">
        <v>2.5920899999999998</v>
      </c>
      <c r="L1388" s="24">
        <v>4.314095</v>
      </c>
      <c r="M1388" s="24">
        <v>74.719499999999996</v>
      </c>
      <c r="N1388" s="24">
        <v>10</v>
      </c>
      <c r="O1388" s="24">
        <v>6.3736263736263732</v>
      </c>
      <c r="P1388" s="24">
        <v>2.0426829268292681</v>
      </c>
      <c r="Q1388" s="24">
        <v>3.2193357897331558</v>
      </c>
      <c r="R1388" s="24">
        <v>4.37</v>
      </c>
      <c r="S1388" s="24">
        <v>3.2176331733841037</v>
      </c>
      <c r="T1388" s="24">
        <v>0.33034189863409763</v>
      </c>
      <c r="U1388" s="24" t="s">
        <v>3565</v>
      </c>
      <c r="V1388">
        <v>0</v>
      </c>
      <c r="W1388" s="21">
        <v>1</v>
      </c>
      <c r="X1388" s="56" t="str">
        <f>IFERROR(VLOOKUP(A1388,Output!A:F,6,0),"-")</f>
        <v>-</v>
      </c>
    </row>
    <row r="1389" spans="1:24" hidden="1" x14ac:dyDescent="0.25">
      <c r="A1389" s="21" t="s">
        <v>450</v>
      </c>
      <c r="B1389" s="40" t="s">
        <v>687</v>
      </c>
      <c r="C1389" s="21" t="s">
        <v>244</v>
      </c>
      <c r="D1389" s="21" t="s">
        <v>73</v>
      </c>
      <c r="E1389" s="21" t="s">
        <v>102</v>
      </c>
      <c r="F1389" s="55">
        <v>5.2205540261862834E-5</v>
      </c>
      <c r="G1389" s="24">
        <v>4.0815099999999997</v>
      </c>
      <c r="H1389" s="24">
        <v>3.3022529999999999</v>
      </c>
      <c r="I1389" s="24">
        <v>5.4995339999999997</v>
      </c>
      <c r="J1389" s="24">
        <v>4.209263</v>
      </c>
      <c r="K1389" s="24">
        <v>5.7142860000000004</v>
      </c>
      <c r="L1389" s="24">
        <v>-1.382177</v>
      </c>
      <c r="M1389" s="24">
        <v>1623.1179999999999</v>
      </c>
      <c r="N1389" s="24">
        <v>10</v>
      </c>
      <c r="O1389" s="24">
        <v>0.20618556701030924</v>
      </c>
      <c r="P1389" s="24">
        <v>2.3809523809523809</v>
      </c>
      <c r="Q1389" s="24">
        <v>2.7142173288654856</v>
      </c>
      <c r="R1389" s="24">
        <v>7.45</v>
      </c>
      <c r="S1389" s="24">
        <v>4.6818315610111929</v>
      </c>
      <c r="T1389" s="24">
        <v>1.1461749736090732</v>
      </c>
      <c r="U1389" s="24" t="s">
        <v>2909</v>
      </c>
      <c r="V1389">
        <v>0</v>
      </c>
      <c r="W1389" s="21">
        <v>1</v>
      </c>
      <c r="X1389" s="56" t="str">
        <f>IFERROR(VLOOKUP(A1389,Output!A:F,6,0),"-")</f>
        <v>-</v>
      </c>
    </row>
    <row r="1390" spans="1:24" x14ac:dyDescent="0.25">
      <c r="A1390" s="21" t="s">
        <v>1073</v>
      </c>
      <c r="B1390" s="40" t="s">
        <v>1074</v>
      </c>
      <c r="C1390" s="21" t="s">
        <v>255</v>
      </c>
      <c r="D1390" s="21" t="s">
        <v>75</v>
      </c>
      <c r="E1390" s="21" t="s">
        <v>97</v>
      </c>
      <c r="F1390" s="55">
        <v>5.2199735225149709E-5</v>
      </c>
      <c r="G1390" s="21">
        <v>4.4670649999999998</v>
      </c>
      <c r="H1390" s="21">
        <v>8.2985819999999997</v>
      </c>
      <c r="I1390" s="21">
        <v>2.1331030000000002</v>
      </c>
      <c r="J1390" s="21">
        <v>4.2997839999999998</v>
      </c>
      <c r="K1390" s="24">
        <v>5.9484079999999997</v>
      </c>
      <c r="L1390" s="24">
        <v>4.2912249999999998</v>
      </c>
      <c r="M1390" s="24">
        <v>81.674499999999995</v>
      </c>
      <c r="N1390" s="24">
        <v>7.1237897897897895</v>
      </c>
      <c r="O1390" s="24">
        <v>4.5054945054945046</v>
      </c>
      <c r="P1390" s="24">
        <v>6.1440677966101687</v>
      </c>
      <c r="Q1390" s="24">
        <v>3.8653936571677856</v>
      </c>
      <c r="R1390" s="24">
        <v>5.84</v>
      </c>
      <c r="S1390" s="24">
        <v>5.1060937697810527</v>
      </c>
      <c r="T1390" s="24">
        <v>0.27968339801715059</v>
      </c>
      <c r="U1390" s="24" t="s">
        <v>3184</v>
      </c>
      <c r="V1390">
        <v>0</v>
      </c>
      <c r="W1390" s="21">
        <v>1</v>
      </c>
      <c r="X1390" s="56" t="str">
        <f>IFERROR(VLOOKUP(A1390,Output!A:F,6,0),"-")</f>
        <v>-</v>
      </c>
    </row>
    <row r="1391" spans="1:24" hidden="1" x14ac:dyDescent="0.25">
      <c r="A1391" s="21" t="s">
        <v>1534</v>
      </c>
      <c r="B1391" s="40" t="s">
        <v>1535</v>
      </c>
      <c r="C1391" s="21" t="s">
        <v>249</v>
      </c>
      <c r="D1391" s="21" t="s">
        <v>74</v>
      </c>
      <c r="E1391" s="21" t="s">
        <v>96</v>
      </c>
      <c r="F1391" s="55">
        <v>5.2031228188913569E-5</v>
      </c>
      <c r="G1391" s="24">
        <v>4.903041</v>
      </c>
      <c r="H1391" s="24">
        <v>6.6215469999999996</v>
      </c>
      <c r="I1391" s="24">
        <v>5.4515520000000004</v>
      </c>
      <c r="J1391" s="24">
        <v>5.6587129999999997</v>
      </c>
      <c r="K1391" s="24">
        <v>2.5808520000000001</v>
      </c>
      <c r="L1391" s="24">
        <v>7.8422299999999998</v>
      </c>
      <c r="M1391" s="24">
        <v>30.030999999999999</v>
      </c>
      <c r="N1391" s="24">
        <v>5.308600663929167</v>
      </c>
      <c r="O1391" s="24">
        <v>3.8383838383838382</v>
      </c>
      <c r="P1391" s="24">
        <v>3.7091988130563802</v>
      </c>
      <c r="Q1391" s="24">
        <v>6.628710933308307</v>
      </c>
      <c r="R1391" s="24">
        <v>5.73</v>
      </c>
      <c r="S1391" s="24">
        <v>5.6243426841770692</v>
      </c>
      <c r="T1391" s="24">
        <v>0.46375681013253828</v>
      </c>
      <c r="U1391" s="24" t="s">
        <v>3405</v>
      </c>
      <c r="V1391">
        <v>0</v>
      </c>
      <c r="W1391" s="21">
        <v>0</v>
      </c>
      <c r="X1391" s="56" t="str">
        <f>IFERROR(VLOOKUP(A1391,Output!A:F,6,0),"-")</f>
        <v>-</v>
      </c>
    </row>
    <row r="1392" spans="1:24" hidden="1" x14ac:dyDescent="0.25">
      <c r="A1392" s="21" t="s">
        <v>1442</v>
      </c>
      <c r="B1392" s="40" t="s">
        <v>1443</v>
      </c>
      <c r="C1392" s="21" t="s">
        <v>254</v>
      </c>
      <c r="D1392" s="21" t="s">
        <v>74</v>
      </c>
      <c r="E1392" s="21" t="s">
        <v>87</v>
      </c>
      <c r="F1392" s="55">
        <v>5.1691497721445551E-5</v>
      </c>
      <c r="G1392" s="21">
        <v>6.0907830000000001</v>
      </c>
      <c r="H1392" s="21">
        <v>7.9387379999999999</v>
      </c>
      <c r="I1392" s="21">
        <v>7.3712730000000004</v>
      </c>
      <c r="J1392" s="21">
        <v>7.1335980000000001</v>
      </c>
      <c r="K1392" s="24">
        <v>3.6796630000000001</v>
      </c>
      <c r="L1392" s="24">
        <v>5.8883710000000002</v>
      </c>
      <c r="M1392" s="24">
        <v>375.43759999999997</v>
      </c>
      <c r="N1392" s="24">
        <v>3.4485051628276415</v>
      </c>
      <c r="O1392" s="24">
        <v>1.8556701030927831</v>
      </c>
      <c r="P1392" s="24">
        <v>5.7704918032786887</v>
      </c>
      <c r="Q1392" s="24">
        <v>4.7655883189459169</v>
      </c>
      <c r="R1392" s="24">
        <v>4.58</v>
      </c>
      <c r="S1392" s="24">
        <v>5.1628751206726191</v>
      </c>
      <c r="T1392" s="24">
        <v>0.42976604526343926</v>
      </c>
      <c r="U1392" s="24" t="s">
        <v>3368</v>
      </c>
      <c r="V1392">
        <v>0</v>
      </c>
      <c r="W1392" s="21">
        <v>0</v>
      </c>
      <c r="X1392" s="56" t="str">
        <f>IFERROR(VLOOKUP(A1392,Output!A:F,6,0),"-")</f>
        <v>-</v>
      </c>
    </row>
    <row r="1393" spans="1:24" hidden="1" x14ac:dyDescent="0.25">
      <c r="A1393" s="21" t="s">
        <v>1490</v>
      </c>
      <c r="B1393" s="40" t="s">
        <v>4590</v>
      </c>
      <c r="C1393" s="21" t="s">
        <v>249</v>
      </c>
      <c r="D1393" s="21" t="s">
        <v>74</v>
      </c>
      <c r="E1393" s="21" t="s">
        <v>89</v>
      </c>
      <c r="F1393" s="55">
        <v>5.1160392196166099E-5</v>
      </c>
      <c r="G1393" s="24">
        <v>6.5429430000000002</v>
      </c>
      <c r="H1393" s="24">
        <v>5.7830849999999998</v>
      </c>
      <c r="I1393" s="24">
        <v>5.4469570000000003</v>
      </c>
      <c r="J1393" s="24">
        <v>5.8933980000000004</v>
      </c>
      <c r="K1393" s="24">
        <v>3.1560760000000001</v>
      </c>
      <c r="L1393" s="24">
        <v>10.71677</v>
      </c>
      <c r="M1393" s="24">
        <v>2.6731000000000001E-2</v>
      </c>
      <c r="N1393" s="24">
        <v>7.4058316582959494</v>
      </c>
      <c r="O1393" s="24">
        <v>4.3434343434343434</v>
      </c>
      <c r="P1393" s="24">
        <v>9.6315778947368411</v>
      </c>
      <c r="Q1393" s="24">
        <v>7.3566703417861063</v>
      </c>
      <c r="R1393" s="24">
        <v>3.01</v>
      </c>
      <c r="S1393" s="24">
        <v>6.5719346066740627</v>
      </c>
      <c r="T1393" s="24">
        <v>0.60236538814362683</v>
      </c>
      <c r="U1393" s="24" t="s">
        <v>3365</v>
      </c>
      <c r="V1393">
        <v>0</v>
      </c>
      <c r="W1393" s="21">
        <v>0</v>
      </c>
      <c r="X1393" s="56" t="str">
        <f>IFERROR(VLOOKUP(A1393,Output!A:F,6,0),"-")</f>
        <v>-</v>
      </c>
    </row>
    <row r="1394" spans="1:24" hidden="1" x14ac:dyDescent="0.25">
      <c r="A1394" s="21" t="s">
        <v>1815</v>
      </c>
      <c r="B1394" s="40" t="s">
        <v>1816</v>
      </c>
      <c r="C1394" s="21" t="s">
        <v>247</v>
      </c>
      <c r="D1394" s="21" t="s">
        <v>74</v>
      </c>
      <c r="E1394" s="21" t="s">
        <v>89</v>
      </c>
      <c r="F1394" s="55">
        <v>5.0879265435550749E-5</v>
      </c>
      <c r="G1394" s="24">
        <v>7.5380380000000002</v>
      </c>
      <c r="H1394" s="24">
        <v>4.1175629999999996</v>
      </c>
      <c r="I1394" s="24">
        <v>5.1833030000000004</v>
      </c>
      <c r="J1394" s="24">
        <v>5.5167149999999996</v>
      </c>
      <c r="K1394" s="24">
        <v>5.848624</v>
      </c>
      <c r="L1394" s="24">
        <v>7.8536849999999996</v>
      </c>
      <c r="M1394" s="24">
        <v>5.2474999999999996</v>
      </c>
      <c r="N1394" s="24">
        <v>5.0585226693783927</v>
      </c>
      <c r="O1394" s="24">
        <v>1.4141414141414141</v>
      </c>
      <c r="P1394" s="24">
        <v>3.7894736842105265</v>
      </c>
      <c r="Q1394" s="24">
        <v>4.0104740904079375</v>
      </c>
      <c r="R1394" s="24">
        <v>5</v>
      </c>
      <c r="S1394" s="24">
        <v>4.3993735087848602</v>
      </c>
      <c r="T1394" s="24">
        <v>0.55411713185964218</v>
      </c>
      <c r="U1394" s="24" t="s">
        <v>3557</v>
      </c>
      <c r="V1394">
        <v>0</v>
      </c>
      <c r="W1394" s="21">
        <v>0</v>
      </c>
      <c r="X1394" s="56" t="str">
        <f>IFERROR(VLOOKUP(A1394,Output!A:F,6,0),"-")</f>
        <v>-</v>
      </c>
    </row>
    <row r="1395" spans="1:24" hidden="1" x14ac:dyDescent="0.25">
      <c r="A1395" s="21" t="s">
        <v>1347</v>
      </c>
      <c r="B1395" s="40" t="s">
        <v>1348</v>
      </c>
      <c r="C1395" s="21" t="s">
        <v>250</v>
      </c>
      <c r="D1395" s="21" t="s">
        <v>76</v>
      </c>
      <c r="E1395" s="21" t="s">
        <v>101</v>
      </c>
      <c r="F1395" s="55">
        <v>5.0406069427291727E-5</v>
      </c>
      <c r="G1395" s="24">
        <v>4.2567380000000004</v>
      </c>
      <c r="H1395" s="24">
        <v>6.2270089999999998</v>
      </c>
      <c r="I1395" s="24">
        <v>7.9794869999999998</v>
      </c>
      <c r="J1395" s="24">
        <v>5.9646439999999998</v>
      </c>
      <c r="K1395" s="24">
        <v>0.15352589999999999</v>
      </c>
      <c r="L1395" s="24">
        <v>14.48943</v>
      </c>
      <c r="M1395" s="24">
        <v>83.495400000000004</v>
      </c>
      <c r="N1395" s="24">
        <v>4.6138653465346522</v>
      </c>
      <c r="O1395" s="24">
        <v>3.0555555555555562</v>
      </c>
      <c r="P1395" s="24">
        <v>7.7358490566037688</v>
      </c>
      <c r="Q1395" s="24">
        <v>10</v>
      </c>
      <c r="R1395" s="24" t="e">
        <v>#N/A</v>
      </c>
      <c r="S1395" s="24">
        <v>6.6706280880792939</v>
      </c>
      <c r="T1395" s="24">
        <v>0.36867855872191624</v>
      </c>
      <c r="U1395" s="24" t="s">
        <v>3288</v>
      </c>
      <c r="V1395">
        <v>0</v>
      </c>
      <c r="W1395" s="21">
        <v>0</v>
      </c>
      <c r="X1395" s="56" t="str">
        <f>IFERROR(VLOOKUP(A1395,Output!A:F,6,0),"-")</f>
        <v>-</v>
      </c>
    </row>
    <row r="1396" spans="1:24" hidden="1" x14ac:dyDescent="0.25">
      <c r="A1396" s="21" t="s">
        <v>4184</v>
      </c>
      <c r="B1396" s="40" t="s">
        <v>4185</v>
      </c>
      <c r="C1396" s="21" t="s">
        <v>968</v>
      </c>
      <c r="D1396" s="21" t="s">
        <v>76</v>
      </c>
      <c r="E1396" s="21" t="s">
        <v>91</v>
      </c>
      <c r="F1396" s="55">
        <v>5.0031267282211964E-5</v>
      </c>
      <c r="G1396" s="24">
        <v>4.3275750000000004</v>
      </c>
      <c r="H1396" s="24">
        <v>5.7938720000000004</v>
      </c>
      <c r="I1396" s="24">
        <v>5.6286459999999998</v>
      </c>
      <c r="J1396" s="24">
        <v>5.4345220000000003</v>
      </c>
      <c r="K1396" s="24">
        <v>3.5375070000000002</v>
      </c>
      <c r="L1396" s="24">
        <v>4.6162799999999997</v>
      </c>
      <c r="M1396" s="24">
        <v>2.4390999999999998</v>
      </c>
      <c r="N1396" s="24">
        <v>4.1462272886416205</v>
      </c>
      <c r="O1396" s="24">
        <v>2.4719101123595508</v>
      </c>
      <c r="P1396" s="24">
        <v>4.1203703703703711</v>
      </c>
      <c r="Q1396" s="24">
        <v>10</v>
      </c>
      <c r="R1396" s="24">
        <v>7.97</v>
      </c>
      <c r="S1396" s="24">
        <v>6.1520266858888357</v>
      </c>
      <c r="T1396" s="24">
        <v>0.29666001244775625</v>
      </c>
      <c r="U1396" s="24" t="s">
        <v>4186</v>
      </c>
      <c r="V1396">
        <v>0</v>
      </c>
      <c r="W1396" s="21">
        <v>0</v>
      </c>
      <c r="X1396" s="56" t="str">
        <f>IFERROR(VLOOKUP(A1396,Output!A:F,6,0),"-")</f>
        <v>-</v>
      </c>
    </row>
    <row r="1397" spans="1:24" x14ac:dyDescent="0.25">
      <c r="A1397" s="21" t="s">
        <v>4577</v>
      </c>
      <c r="B1397" s="40" t="s">
        <v>4578</v>
      </c>
      <c r="C1397" s="21" t="s">
        <v>253</v>
      </c>
      <c r="D1397" s="21" t="s">
        <v>75</v>
      </c>
      <c r="E1397" s="21" t="s">
        <v>97</v>
      </c>
      <c r="F1397" s="55">
        <v>4.9778582183274303E-5</v>
      </c>
      <c r="G1397" s="21">
        <v>2.3433890000000002</v>
      </c>
      <c r="H1397" s="21">
        <v>4.5247310000000001</v>
      </c>
      <c r="I1397" s="21">
        <v>3.908261</v>
      </c>
      <c r="J1397" s="21">
        <v>3.6545640000000001</v>
      </c>
      <c r="K1397" s="24">
        <v>1.642582</v>
      </c>
      <c r="L1397" s="24">
        <v>5.7799490000000002</v>
      </c>
      <c r="M1397" s="24">
        <v>5.7327000000000004</v>
      </c>
      <c r="N1397" s="24">
        <v>2.71605005005005</v>
      </c>
      <c r="O1397" s="24">
        <v>7.2527472527472518</v>
      </c>
      <c r="P1397" s="24">
        <v>5.9322033898305087</v>
      </c>
      <c r="Q1397" s="24">
        <v>7.8220829890725598</v>
      </c>
      <c r="R1397" s="24">
        <v>4.2699999999999996</v>
      </c>
      <c r="S1397" s="24">
        <v>4.4468942364245176</v>
      </c>
      <c r="T1397" s="24">
        <v>0.55434526064515166</v>
      </c>
      <c r="U1397" s="24" t="s">
        <v>4579</v>
      </c>
      <c r="V1397">
        <v>0</v>
      </c>
      <c r="W1397" s="21">
        <v>1</v>
      </c>
      <c r="X1397" s="56" t="str">
        <f>IFERROR(VLOOKUP(A1397,Output!A:F,6,0),"-")</f>
        <v>-</v>
      </c>
    </row>
    <row r="1398" spans="1:24" hidden="1" x14ac:dyDescent="0.25">
      <c r="A1398" s="21" t="s">
        <v>1660</v>
      </c>
      <c r="B1398" s="40" t="s">
        <v>1661</v>
      </c>
      <c r="C1398" s="21" t="s">
        <v>252</v>
      </c>
      <c r="D1398" s="21" t="s">
        <v>74</v>
      </c>
      <c r="E1398" s="21" t="s">
        <v>89</v>
      </c>
      <c r="F1398" s="55">
        <v>4.968106360292701E-5</v>
      </c>
      <c r="G1398" s="24">
        <v>6.0149790000000003</v>
      </c>
      <c r="H1398" s="24">
        <v>4.6564899999999998</v>
      </c>
      <c r="I1398" s="24">
        <v>3.9533049999999998</v>
      </c>
      <c r="J1398" s="24">
        <v>4.8179220000000003</v>
      </c>
      <c r="K1398" s="24">
        <v>1.6778519999999999</v>
      </c>
      <c r="L1398" s="24">
        <v>-1.3862019999999999</v>
      </c>
      <c r="M1398" s="24">
        <v>0.37534000000000001</v>
      </c>
      <c r="N1398" s="24">
        <v>2.2217494974887844</v>
      </c>
      <c r="O1398" s="24">
        <v>1.2121212121212119</v>
      </c>
      <c r="P1398" s="24">
        <v>0</v>
      </c>
      <c r="Q1398" s="24">
        <v>7.0369349503858878</v>
      </c>
      <c r="R1398" s="24">
        <v>1.68</v>
      </c>
      <c r="S1398" s="24">
        <v>2.3429385980881929</v>
      </c>
      <c r="T1398" s="24">
        <v>0.65719436417620913</v>
      </c>
      <c r="U1398" s="24" t="s">
        <v>3473</v>
      </c>
      <c r="V1398">
        <v>0</v>
      </c>
      <c r="W1398" s="21">
        <v>0</v>
      </c>
      <c r="X1398" s="56" t="str">
        <f>IFERROR(VLOOKUP(A1398,Output!A:F,6,0),"-")</f>
        <v>-</v>
      </c>
    </row>
    <row r="1399" spans="1:24" hidden="1" x14ac:dyDescent="0.25">
      <c r="A1399" s="21" t="s">
        <v>4154</v>
      </c>
      <c r="B1399" s="40" t="s">
        <v>4155</v>
      </c>
      <c r="C1399" s="21" t="s">
        <v>254</v>
      </c>
      <c r="D1399" s="21" t="s">
        <v>74</v>
      </c>
      <c r="E1399" s="21" t="s">
        <v>85</v>
      </c>
      <c r="F1399" s="55">
        <v>4.9475341955249147E-5</v>
      </c>
      <c r="G1399" s="24">
        <v>4.8269489999999999</v>
      </c>
      <c r="H1399" s="24">
        <v>5.9275260000000003</v>
      </c>
      <c r="I1399" s="24">
        <v>5.6768159999999996</v>
      </c>
      <c r="J1399" s="24">
        <v>5.5096040000000004</v>
      </c>
      <c r="K1399" s="24">
        <v>4.254302</v>
      </c>
      <c r="L1399" s="24">
        <v>4.7865279999999997</v>
      </c>
      <c r="M1399" s="24">
        <v>10.077500000000001</v>
      </c>
      <c r="N1399" s="24">
        <v>5.4171104845380293</v>
      </c>
      <c r="O1399" s="24">
        <v>2.8282828282828283</v>
      </c>
      <c r="P1399" s="24">
        <v>6.1929821052631571</v>
      </c>
      <c r="Q1399" s="24">
        <v>1.9239250275633957</v>
      </c>
      <c r="R1399" s="24">
        <v>4.42</v>
      </c>
      <c r="S1399" s="24">
        <v>4.5655322141500658</v>
      </c>
      <c r="T1399" s="24">
        <v>0.12057742115779291</v>
      </c>
      <c r="U1399" s="24" t="s">
        <v>4156</v>
      </c>
      <c r="V1399">
        <v>0</v>
      </c>
      <c r="W1399" s="21">
        <v>0</v>
      </c>
      <c r="X1399" s="56" t="str">
        <f>IFERROR(VLOOKUP(A1399,Output!A:F,6,0),"-")</f>
        <v>-</v>
      </c>
    </row>
    <row r="1400" spans="1:24" hidden="1" x14ac:dyDescent="0.25">
      <c r="A1400" s="21" t="s">
        <v>4414</v>
      </c>
      <c r="B1400" s="40" t="s">
        <v>4516</v>
      </c>
      <c r="C1400" s="21" t="s">
        <v>244</v>
      </c>
      <c r="D1400" s="21" t="s">
        <v>73</v>
      </c>
      <c r="E1400" s="21" t="s">
        <v>98</v>
      </c>
      <c r="F1400" s="55">
        <v>4.9471005783978156E-5</v>
      </c>
      <c r="G1400" s="24">
        <v>0</v>
      </c>
      <c r="H1400" s="24">
        <v>0</v>
      </c>
      <c r="I1400" s="24">
        <v>0</v>
      </c>
      <c r="J1400" s="24">
        <v>0</v>
      </c>
      <c r="K1400" s="24">
        <v>0</v>
      </c>
      <c r="L1400" s="24">
        <v>-1.3308279999999999</v>
      </c>
      <c r="M1400" s="24">
        <v>9.4251000000000005</v>
      </c>
      <c r="N1400" s="24">
        <v>7.5295616603989313</v>
      </c>
      <c r="O1400" s="24">
        <v>3.0612244897959178</v>
      </c>
      <c r="P1400" s="24">
        <v>3.3493747578416739</v>
      </c>
      <c r="Q1400" s="24">
        <v>1.9329223659410313</v>
      </c>
      <c r="R1400" s="24" t="e">
        <v>#N/A</v>
      </c>
      <c r="S1400" s="24">
        <v>2.826033658424973</v>
      </c>
      <c r="T1400" s="24">
        <v>1.0320017041910183</v>
      </c>
      <c r="U1400" s="24" t="s">
        <v>4517</v>
      </c>
      <c r="V1400">
        <v>0</v>
      </c>
      <c r="W1400" s="21">
        <v>1</v>
      </c>
      <c r="X1400" s="56" t="str">
        <f>IFERROR(VLOOKUP(A1400,Output!A:F,6,0),"-")</f>
        <v>-</v>
      </c>
    </row>
    <row r="1401" spans="1:24" x14ac:dyDescent="0.25">
      <c r="A1401" s="21" t="s">
        <v>4193</v>
      </c>
      <c r="B1401" s="40" t="s">
        <v>4194</v>
      </c>
      <c r="C1401" s="21" t="s">
        <v>255</v>
      </c>
      <c r="D1401" s="21" t="s">
        <v>75</v>
      </c>
      <c r="E1401" s="21" t="s">
        <v>92</v>
      </c>
      <c r="F1401" s="55">
        <v>4.9047026828753181E-5</v>
      </c>
      <c r="G1401" s="21">
        <v>2.3092519999999999</v>
      </c>
      <c r="H1401" s="21">
        <v>5.3425209999999996</v>
      </c>
      <c r="I1401" s="21">
        <v>1.7485200000000001</v>
      </c>
      <c r="J1401" s="21">
        <v>3.0510130000000002</v>
      </c>
      <c r="K1401" s="24">
        <v>0.23809520000000001</v>
      </c>
      <c r="L1401" s="24">
        <v>1.8473930000000001</v>
      </c>
      <c r="M1401" s="24">
        <v>117.9785</v>
      </c>
      <c r="N1401" s="24">
        <v>2.235217054950545</v>
      </c>
      <c r="O1401" s="24">
        <v>0.84210526315789469</v>
      </c>
      <c r="P1401" s="24">
        <v>0</v>
      </c>
      <c r="Q1401" s="24">
        <v>6.4232035854549014</v>
      </c>
      <c r="R1401" s="24" t="e">
        <v>#N/A</v>
      </c>
      <c r="S1401" s="24">
        <v>1.9245440105939242</v>
      </c>
      <c r="T1401" s="24">
        <v>5.7229613634271904E-2</v>
      </c>
      <c r="U1401" s="24" t="s">
        <v>4195</v>
      </c>
      <c r="V1401">
        <v>0</v>
      </c>
      <c r="W1401" s="21">
        <v>1</v>
      </c>
      <c r="X1401" s="56" t="str">
        <f>IFERROR(VLOOKUP(A1401,Output!A:F,6,0),"-")</f>
        <v>-</v>
      </c>
    </row>
    <row r="1402" spans="1:24" hidden="1" x14ac:dyDescent="0.25">
      <c r="A1402" s="21" t="s">
        <v>1542</v>
      </c>
      <c r="B1402" s="40" t="s">
        <v>1543</v>
      </c>
      <c r="C1402" s="21" t="s">
        <v>669</v>
      </c>
      <c r="D1402" s="21" t="s">
        <v>74</v>
      </c>
      <c r="E1402" s="21" t="s">
        <v>86</v>
      </c>
      <c r="F1402" s="55">
        <v>4.8972889366813713E-5</v>
      </c>
      <c r="G1402" s="24">
        <v>4.3033299999999999</v>
      </c>
      <c r="H1402" s="24">
        <v>5.4062140000000003</v>
      </c>
      <c r="I1402" s="24">
        <v>3.895384</v>
      </c>
      <c r="J1402" s="24">
        <v>4.5349760000000003</v>
      </c>
      <c r="K1402" s="24">
        <v>3.4652759999999998</v>
      </c>
      <c r="L1402" s="24">
        <v>8.1563359999999996</v>
      </c>
      <c r="M1402" s="24">
        <v>1392.864</v>
      </c>
      <c r="N1402" s="24">
        <v>4.6306592533756952</v>
      </c>
      <c r="O1402" s="24">
        <v>6.5979381443298966</v>
      </c>
      <c r="P1402" s="24">
        <v>5.1475409836065573</v>
      </c>
      <c r="Q1402" s="24">
        <v>10</v>
      </c>
      <c r="R1402" s="24">
        <v>3.76</v>
      </c>
      <c r="S1402" s="24">
        <v>6.8886350424513054</v>
      </c>
      <c r="T1402" s="24">
        <v>0.56672734558751536</v>
      </c>
      <c r="U1402" s="24" t="s">
        <v>3410</v>
      </c>
      <c r="V1402">
        <v>0</v>
      </c>
      <c r="W1402" s="21">
        <v>1</v>
      </c>
      <c r="X1402" s="56" t="str">
        <f>IFERROR(VLOOKUP(A1402,Output!A:F,6,0),"-")</f>
        <v>-</v>
      </c>
    </row>
    <row r="1403" spans="1:24" hidden="1" x14ac:dyDescent="0.25">
      <c r="A1403" s="21" t="s">
        <v>1325</v>
      </c>
      <c r="B1403" s="40" t="s">
        <v>1326</v>
      </c>
      <c r="C1403" s="21" t="s">
        <v>247</v>
      </c>
      <c r="D1403" s="21" t="s">
        <v>74</v>
      </c>
      <c r="E1403" s="21" t="s">
        <v>89</v>
      </c>
      <c r="F1403" s="55">
        <v>4.8262421286037346E-5</v>
      </c>
      <c r="G1403" s="24">
        <v>7.1975689999999997</v>
      </c>
      <c r="H1403" s="24">
        <v>6.1607329999999996</v>
      </c>
      <c r="I1403" s="24">
        <v>5.1040260000000002</v>
      </c>
      <c r="J1403" s="24">
        <v>6.1019360000000002</v>
      </c>
      <c r="K1403" s="24">
        <v>6.1225620000000003</v>
      </c>
      <c r="L1403" s="24">
        <v>7.8781660000000002</v>
      </c>
      <c r="M1403" s="53">
        <v>3.2118000000000002</v>
      </c>
      <c r="N1403" s="24">
        <v>2.7644181965880565</v>
      </c>
      <c r="O1403" s="24">
        <v>4.0404040404040407</v>
      </c>
      <c r="P1403" s="24">
        <v>9.7368421052631575</v>
      </c>
      <c r="Q1403" s="24">
        <v>2.8721058434399116</v>
      </c>
      <c r="R1403" s="24">
        <v>6.01</v>
      </c>
      <c r="S1403" s="24">
        <v>4.6910486297683498</v>
      </c>
      <c r="T1403" s="24">
        <v>0.36783912113060302</v>
      </c>
      <c r="U1403" s="24" t="s">
        <v>3300</v>
      </c>
      <c r="V1403">
        <v>0</v>
      </c>
      <c r="W1403" s="21">
        <v>0</v>
      </c>
      <c r="X1403" s="56" t="str">
        <f>IFERROR(VLOOKUP(A1403,Output!A:F,6,0),"-")</f>
        <v>-</v>
      </c>
    </row>
    <row r="1404" spans="1:24" x14ac:dyDescent="0.25">
      <c r="A1404" s="21" t="s">
        <v>569</v>
      </c>
      <c r="B1404" s="40" t="s">
        <v>1018</v>
      </c>
      <c r="C1404" s="21" t="s">
        <v>248</v>
      </c>
      <c r="D1404" s="21" t="s">
        <v>75</v>
      </c>
      <c r="E1404" s="21" t="s">
        <v>99</v>
      </c>
      <c r="F1404" s="55">
        <v>4.7900597472603915E-5</v>
      </c>
      <c r="G1404" s="24">
        <v>3.9107769999999999</v>
      </c>
      <c r="H1404" s="24">
        <v>5.1511810000000002</v>
      </c>
      <c r="I1404" s="24">
        <v>3.493331</v>
      </c>
      <c r="J1404" s="24">
        <v>4.23996</v>
      </c>
      <c r="K1404" s="24">
        <v>1.66978</v>
      </c>
      <c r="L1404" s="24">
        <v>4.1279870000000001</v>
      </c>
      <c r="M1404" s="24">
        <v>4.1596000000000002</v>
      </c>
      <c r="N1404" s="24">
        <v>2.683118544663615</v>
      </c>
      <c r="O1404" s="24">
        <v>3.870967741935484</v>
      </c>
      <c r="P1404" s="24">
        <v>6.5530303030303028</v>
      </c>
      <c r="Q1404" s="24">
        <v>4.5016189190598537</v>
      </c>
      <c r="R1404" s="24">
        <v>4.43</v>
      </c>
      <c r="S1404" s="24">
        <v>4.0948393299850991</v>
      </c>
      <c r="T1404" s="24">
        <v>0.14675397790526493</v>
      </c>
      <c r="U1404" s="24" t="s">
        <v>3143</v>
      </c>
      <c r="V1404">
        <v>0</v>
      </c>
      <c r="W1404" s="21">
        <v>1</v>
      </c>
      <c r="X1404" s="56" t="str">
        <f>IFERROR(VLOOKUP(A1404,Output!A:F,6,0),"-")</f>
        <v>-</v>
      </c>
    </row>
    <row r="1405" spans="1:24" hidden="1" x14ac:dyDescent="0.25">
      <c r="A1405" s="21" t="s">
        <v>1385</v>
      </c>
      <c r="B1405" s="40" t="s">
        <v>1386</v>
      </c>
      <c r="C1405" s="21" t="s">
        <v>247</v>
      </c>
      <c r="D1405" s="21" t="s">
        <v>74</v>
      </c>
      <c r="E1405" s="21" t="s">
        <v>89</v>
      </c>
      <c r="F1405" s="55">
        <v>4.7867960489766133E-5</v>
      </c>
      <c r="G1405" s="24">
        <v>5.9180999999999999</v>
      </c>
      <c r="H1405" s="24">
        <v>5.27271</v>
      </c>
      <c r="I1405" s="24">
        <v>7.7679710000000002</v>
      </c>
      <c r="J1405" s="24">
        <v>6.3396679999999996</v>
      </c>
      <c r="K1405" s="24">
        <v>10.45096</v>
      </c>
      <c r="L1405" s="24">
        <v>6.8708980000000004</v>
      </c>
      <c r="M1405" s="24">
        <v>1.7232000000000001</v>
      </c>
      <c r="N1405" s="24">
        <v>1.1257719621853131</v>
      </c>
      <c r="O1405" s="24">
        <v>5.5555555555555554</v>
      </c>
      <c r="P1405" s="24">
        <v>1.368421052631579</v>
      </c>
      <c r="Q1405" s="24">
        <v>5.5333517089305397</v>
      </c>
      <c r="R1405" s="24">
        <v>7.14</v>
      </c>
      <c r="S1405" s="24">
        <v>3.2190293490760014</v>
      </c>
      <c r="T1405" s="24">
        <v>0.74176534638688918</v>
      </c>
      <c r="U1405" s="24" t="s">
        <v>3339</v>
      </c>
      <c r="V1405">
        <v>0</v>
      </c>
      <c r="W1405" s="21">
        <v>0</v>
      </c>
      <c r="X1405" s="56" t="str">
        <f>IFERROR(VLOOKUP(A1405,Output!A:F,6,0),"-")</f>
        <v>-</v>
      </c>
    </row>
    <row r="1406" spans="1:24" hidden="1" x14ac:dyDescent="0.25">
      <c r="A1406" s="21" t="s">
        <v>444</v>
      </c>
      <c r="B1406" s="40" t="s">
        <v>679</v>
      </c>
      <c r="C1406" s="21" t="s">
        <v>244</v>
      </c>
      <c r="D1406" s="21" t="s">
        <v>73</v>
      </c>
      <c r="E1406" s="21" t="s">
        <v>89</v>
      </c>
      <c r="F1406" s="55">
        <v>4.7790261532165582E-5</v>
      </c>
      <c r="G1406" s="21">
        <v>1.2309300000000001</v>
      </c>
      <c r="H1406" s="21">
        <v>3.7755369999999999</v>
      </c>
      <c r="I1406" s="21">
        <v>2.4515880000000001</v>
      </c>
      <c r="J1406" s="21">
        <v>2.5487730000000002</v>
      </c>
      <c r="K1406" s="24">
        <v>0</v>
      </c>
      <c r="L1406" s="24">
        <v>8.1953320000000005</v>
      </c>
      <c r="M1406" s="24">
        <v>7.5780000000000003</v>
      </c>
      <c r="N1406" s="24">
        <v>8.8368059895833326</v>
      </c>
      <c r="O1406" s="24">
        <v>4.5360824742268031</v>
      </c>
      <c r="P1406" s="24">
        <v>6.9948186528497427</v>
      </c>
      <c r="Q1406" s="24">
        <v>5.9391584515243556</v>
      </c>
      <c r="R1406" s="24" t="e">
        <v>#N/A</v>
      </c>
      <c r="S1406" s="24">
        <v>5.5003752639691754</v>
      </c>
      <c r="T1406" s="24">
        <v>1.2844352712115954</v>
      </c>
      <c r="U1406" s="24" t="s">
        <v>2899</v>
      </c>
      <c r="V1406">
        <v>0</v>
      </c>
      <c r="W1406" s="21">
        <v>1</v>
      </c>
      <c r="X1406" s="56" t="str">
        <f>IFERROR(VLOOKUP(A1406,Output!A:F,6,0),"-")</f>
        <v>-</v>
      </c>
    </row>
    <row r="1407" spans="1:24" hidden="1" x14ac:dyDescent="0.25">
      <c r="A1407" s="21" t="s">
        <v>4157</v>
      </c>
      <c r="B1407" s="40" t="s">
        <v>4158</v>
      </c>
      <c r="C1407" s="21" t="s">
        <v>246</v>
      </c>
      <c r="D1407" s="21" t="s">
        <v>74</v>
      </c>
      <c r="E1407" s="21" t="s">
        <v>86</v>
      </c>
      <c r="F1407" s="55">
        <v>4.7346593743582536E-5</v>
      </c>
      <c r="G1407" s="24">
        <v>7.3761029999999996</v>
      </c>
      <c r="H1407" s="24">
        <v>7.3190439999999999</v>
      </c>
      <c r="I1407" s="24">
        <v>5.0883010000000004</v>
      </c>
      <c r="J1407" s="24">
        <v>6.5944820000000002</v>
      </c>
      <c r="K1407" s="24">
        <v>2.5013130000000001</v>
      </c>
      <c r="L1407" s="24">
        <v>4.0956950000000001</v>
      </c>
      <c r="M1407" s="24">
        <v>79.779700000000005</v>
      </c>
      <c r="N1407" s="24">
        <v>0</v>
      </c>
      <c r="O1407" s="24">
        <v>5.2577319587628866</v>
      </c>
      <c r="P1407" s="24">
        <v>5.2131147540983598</v>
      </c>
      <c r="Q1407" s="24">
        <v>3.4039345399462251</v>
      </c>
      <c r="R1407" s="24">
        <v>3.86</v>
      </c>
      <c r="S1407" s="24">
        <v>4.2552639653245956</v>
      </c>
      <c r="T1407" s="24">
        <v>0.44632716497145702</v>
      </c>
      <c r="U1407" s="24" t="s">
        <v>4159</v>
      </c>
      <c r="V1407">
        <v>0</v>
      </c>
      <c r="W1407" s="21">
        <v>0</v>
      </c>
      <c r="X1407" s="56" t="str">
        <f>IFERROR(VLOOKUP(A1407,Output!A:F,6,0),"-")</f>
        <v>-</v>
      </c>
    </row>
    <row r="1408" spans="1:24" hidden="1" x14ac:dyDescent="0.25">
      <c r="A1408" s="21" t="s">
        <v>1754</v>
      </c>
      <c r="B1408" s="40" t="s">
        <v>1755</v>
      </c>
      <c r="C1408" s="21" t="s">
        <v>247</v>
      </c>
      <c r="D1408" s="21" t="s">
        <v>74</v>
      </c>
      <c r="E1408" s="21" t="s">
        <v>89</v>
      </c>
      <c r="F1408" s="55">
        <v>4.6133914531703683E-5</v>
      </c>
      <c r="G1408" s="21">
        <v>8.5820539999999994</v>
      </c>
      <c r="H1408" s="21">
        <v>6.418444</v>
      </c>
      <c r="I1408" s="21">
        <v>5.3461800000000004</v>
      </c>
      <c r="J1408" s="21">
        <v>6.6922350000000002</v>
      </c>
      <c r="K1408" s="24">
        <v>4.8556429999999997</v>
      </c>
      <c r="L1408" s="24">
        <v>10.157450000000001</v>
      </c>
      <c r="M1408" s="24">
        <v>0.12415</v>
      </c>
      <c r="N1408" s="24">
        <v>4.9946805698812993</v>
      </c>
      <c r="O1408" s="24">
        <v>5.1515151515151514</v>
      </c>
      <c r="P1408" s="24">
        <v>0.36842105263157893</v>
      </c>
      <c r="Q1408" s="24">
        <v>6.165931642778391</v>
      </c>
      <c r="R1408" s="24">
        <v>2.0699999999999998</v>
      </c>
      <c r="S1408" s="24">
        <v>2.9692305193010311</v>
      </c>
      <c r="T1408" s="24">
        <v>0.49865581685485172</v>
      </c>
      <c r="U1408" s="24" t="s">
        <v>3489</v>
      </c>
      <c r="V1408">
        <v>0</v>
      </c>
      <c r="W1408" s="21">
        <v>0</v>
      </c>
      <c r="X1408" s="56" t="str">
        <f>IFERROR(VLOOKUP(A1408,Output!A:F,6,0),"-")</f>
        <v>-</v>
      </c>
    </row>
    <row r="1409" spans="1:24" hidden="1" x14ac:dyDescent="0.25">
      <c r="A1409" s="21" t="s">
        <v>4190</v>
      </c>
      <c r="B1409" s="40" t="s">
        <v>4191</v>
      </c>
      <c r="C1409" s="21" t="s">
        <v>256</v>
      </c>
      <c r="D1409" s="21" t="s">
        <v>74</v>
      </c>
      <c r="E1409" s="21" t="s">
        <v>88</v>
      </c>
      <c r="F1409" s="55">
        <v>4.5979703781722944E-5</v>
      </c>
      <c r="G1409" s="21">
        <v>6.6487629999999998</v>
      </c>
      <c r="H1409" s="21">
        <v>4.944534</v>
      </c>
      <c r="I1409" s="21">
        <v>5.7699619999999996</v>
      </c>
      <c r="J1409" s="21">
        <v>6.1321570000000003</v>
      </c>
      <c r="K1409" s="24">
        <v>4.3391029999999997</v>
      </c>
      <c r="L1409" s="24">
        <v>5.7086880000000004</v>
      </c>
      <c r="M1409" s="24">
        <v>35.132599999999996</v>
      </c>
      <c r="N1409" s="24">
        <v>5.4074074074074074</v>
      </c>
      <c r="O1409" s="24">
        <v>0.30612244897959179</v>
      </c>
      <c r="P1409" s="24">
        <v>1.4794520547945202</v>
      </c>
      <c r="Q1409" s="24">
        <v>7.9393541317030527</v>
      </c>
      <c r="R1409" s="24">
        <v>5.56</v>
      </c>
      <c r="S1409" s="24">
        <v>4.7852495516235471</v>
      </c>
      <c r="T1409" s="24">
        <v>0.433970156575056</v>
      </c>
      <c r="U1409" s="24" t="s">
        <v>4192</v>
      </c>
      <c r="V1409">
        <v>0</v>
      </c>
      <c r="W1409" s="21">
        <v>0</v>
      </c>
      <c r="X1409" s="56" t="str">
        <f>IFERROR(VLOOKUP(A1409,Output!A:F,6,0),"-")</f>
        <v>-</v>
      </c>
    </row>
    <row r="1410" spans="1:24" hidden="1" x14ac:dyDescent="0.25">
      <c r="A1410" s="21" t="s">
        <v>1723</v>
      </c>
      <c r="B1410" s="40" t="s">
        <v>1724</v>
      </c>
      <c r="C1410" s="21" t="s">
        <v>251</v>
      </c>
      <c r="D1410" s="21" t="s">
        <v>74</v>
      </c>
      <c r="E1410" s="21" t="s">
        <v>93</v>
      </c>
      <c r="F1410" s="55">
        <v>4.5036682107144056E-5</v>
      </c>
      <c r="G1410" s="21">
        <v>6.7027619999999999</v>
      </c>
      <c r="H1410" s="21">
        <v>6.7063449999999998</v>
      </c>
      <c r="I1410" s="21">
        <v>5.6885839999999996</v>
      </c>
      <c r="J1410" s="21">
        <v>6.3490539999999998</v>
      </c>
      <c r="K1410" s="24">
        <v>5.9783229999999996</v>
      </c>
      <c r="L1410" s="24">
        <v>5.5736920000000003</v>
      </c>
      <c r="M1410" s="24">
        <v>0.31291999999999998</v>
      </c>
      <c r="N1410" s="24">
        <v>6.9121103989879042</v>
      </c>
      <c r="O1410" s="24">
        <v>0.70707070707070707</v>
      </c>
      <c r="P1410" s="24">
        <v>7.3684210526315788</v>
      </c>
      <c r="Q1410" s="24">
        <v>1.5573318632855568</v>
      </c>
      <c r="R1410" s="24">
        <v>5.95</v>
      </c>
      <c r="S1410" s="24">
        <v>4.98094343722871</v>
      </c>
      <c r="T1410" s="24">
        <v>0.18986289122399611</v>
      </c>
      <c r="U1410" s="24" t="s">
        <v>3506</v>
      </c>
      <c r="V1410">
        <v>0</v>
      </c>
      <c r="W1410" s="21">
        <v>0</v>
      </c>
      <c r="X1410" s="56" t="str">
        <f>IFERROR(VLOOKUP(A1410,Output!A:F,6,0),"-")</f>
        <v>-</v>
      </c>
    </row>
    <row r="1411" spans="1:24" hidden="1" x14ac:dyDescent="0.25">
      <c r="A1411" s="21" t="s">
        <v>762</v>
      </c>
      <c r="B1411" s="40" t="s">
        <v>1930</v>
      </c>
      <c r="C1411" s="21" t="s">
        <v>249</v>
      </c>
      <c r="D1411" s="21" t="s">
        <v>74</v>
      </c>
      <c r="E1411" s="21" t="s">
        <v>92</v>
      </c>
      <c r="F1411" s="55">
        <v>4.4433089078366997E-5</v>
      </c>
      <c r="G1411" s="24">
        <v>6.7706770000000001</v>
      </c>
      <c r="H1411" s="24">
        <v>6.2986259999999996</v>
      </c>
      <c r="I1411" s="24">
        <v>5.1020839999999996</v>
      </c>
      <c r="J1411" s="24">
        <v>6.0214509999999999</v>
      </c>
      <c r="K1411" s="24">
        <v>0</v>
      </c>
      <c r="L1411" s="24">
        <v>12.82423</v>
      </c>
      <c r="M1411" s="24">
        <v>5.3540000000000001</v>
      </c>
      <c r="N1411" s="24">
        <v>2.0444444444444447</v>
      </c>
      <c r="O1411" s="24">
        <v>1.5306122448979589</v>
      </c>
      <c r="P1411" s="24">
        <v>1.6712328767123288</v>
      </c>
      <c r="Q1411" s="24">
        <v>8.7586434628000411</v>
      </c>
      <c r="R1411" s="24" t="e">
        <v>#N/A</v>
      </c>
      <c r="S1411" s="24">
        <v>4.0484956340037535</v>
      </c>
      <c r="T1411" s="24">
        <v>1.1957082078646304</v>
      </c>
      <c r="U1411" s="24" t="s">
        <v>3629</v>
      </c>
      <c r="V1411">
        <v>0</v>
      </c>
      <c r="W1411" s="21">
        <v>0</v>
      </c>
      <c r="X1411" s="56" t="str">
        <f>IFERROR(VLOOKUP(A1411,Output!A:F,6,0),"-")</f>
        <v>-</v>
      </c>
    </row>
    <row r="1412" spans="1:24" x14ac:dyDescent="0.25">
      <c r="A1412" s="21" t="s">
        <v>592</v>
      </c>
      <c r="B1412" s="40" t="s">
        <v>901</v>
      </c>
      <c r="C1412" s="21" t="s">
        <v>248</v>
      </c>
      <c r="D1412" s="21" t="s">
        <v>75</v>
      </c>
      <c r="E1412" s="21" t="s">
        <v>88</v>
      </c>
      <c r="F1412" s="55">
        <v>4.431197810444553E-5</v>
      </c>
      <c r="G1412" s="24">
        <v>6.384398</v>
      </c>
      <c r="H1412" s="24">
        <v>5.5556219999999996</v>
      </c>
      <c r="I1412" s="24">
        <v>3.1377359999999999</v>
      </c>
      <c r="J1412" s="24">
        <v>5.1617670000000002</v>
      </c>
      <c r="K1412" s="24">
        <v>2.1818179999999998</v>
      </c>
      <c r="L1412" s="24">
        <v>2.869888</v>
      </c>
      <c r="M1412" s="24">
        <v>20.996700000000001</v>
      </c>
      <c r="N1412" s="24">
        <v>4.9934827851230434E-2</v>
      </c>
      <c r="O1412" s="24">
        <v>2.8421052631578947</v>
      </c>
      <c r="P1412" s="24">
        <v>1.0514289805061037</v>
      </c>
      <c r="Q1412" s="24">
        <v>6.4064771253294737</v>
      </c>
      <c r="R1412" s="24">
        <v>4.91</v>
      </c>
      <c r="S1412" s="24">
        <v>2.7447333603395041</v>
      </c>
      <c r="T1412" s="24">
        <v>0.11974104075728807</v>
      </c>
      <c r="U1412" s="24" t="s">
        <v>3043</v>
      </c>
      <c r="V1412">
        <v>0</v>
      </c>
      <c r="W1412" s="21">
        <v>0</v>
      </c>
      <c r="X1412" s="56" t="str">
        <f>IFERROR(VLOOKUP(A1412,Output!A:F,6,0),"-")</f>
        <v>-</v>
      </c>
    </row>
    <row r="1413" spans="1:24" hidden="1" x14ac:dyDescent="0.25">
      <c r="A1413" s="21" t="s">
        <v>446</v>
      </c>
      <c r="B1413" s="40" t="s">
        <v>698</v>
      </c>
      <c r="C1413" s="21" t="s">
        <v>245</v>
      </c>
      <c r="D1413" s="21" t="s">
        <v>73</v>
      </c>
      <c r="E1413" s="21" t="s">
        <v>102</v>
      </c>
      <c r="F1413" s="55">
        <v>4.4064766038388196E-5</v>
      </c>
      <c r="G1413" s="24">
        <v>4.3489240000000002</v>
      </c>
      <c r="H1413" s="24">
        <v>3.7689569999999999</v>
      </c>
      <c r="I1413" s="24">
        <v>3.3729490000000002</v>
      </c>
      <c r="J1413" s="24">
        <v>4.0377349999999996</v>
      </c>
      <c r="K1413" s="24">
        <v>6.0059699999999996</v>
      </c>
      <c r="L1413" s="24">
        <v>7.3106020000000003</v>
      </c>
      <c r="M1413" s="24">
        <v>4183.1899999999996</v>
      </c>
      <c r="N1413" s="24">
        <v>6.094737779501286</v>
      </c>
      <c r="O1413" s="24">
        <v>3.608247422680412</v>
      </c>
      <c r="P1413" s="24">
        <v>3.8492063492063489</v>
      </c>
      <c r="Q1413" s="24">
        <v>4.8838236918658167</v>
      </c>
      <c r="R1413" s="24">
        <v>8.01</v>
      </c>
      <c r="S1413" s="24">
        <v>6.5178602738499434</v>
      </c>
      <c r="T1413" s="24">
        <v>0.55095963959189753</v>
      </c>
      <c r="U1413" s="24" t="s">
        <v>2927</v>
      </c>
      <c r="V1413">
        <v>0</v>
      </c>
      <c r="W1413" s="21">
        <v>1</v>
      </c>
      <c r="X1413" s="56" t="str">
        <f>IFERROR(VLOOKUP(A1413,Output!A:F,6,0),"-")</f>
        <v>-</v>
      </c>
    </row>
    <row r="1414" spans="1:24" hidden="1" x14ac:dyDescent="0.25">
      <c r="A1414" s="21" t="s">
        <v>1658</v>
      </c>
      <c r="B1414" s="40" t="s">
        <v>1659</v>
      </c>
      <c r="C1414" s="21" t="s">
        <v>254</v>
      </c>
      <c r="D1414" s="21" t="s">
        <v>74</v>
      </c>
      <c r="E1414" s="21" t="s">
        <v>91</v>
      </c>
      <c r="F1414" s="55">
        <v>4.3786486462157283E-5</v>
      </c>
      <c r="G1414" s="24">
        <v>3.6446740000000002</v>
      </c>
      <c r="H1414" s="24">
        <v>4.644164</v>
      </c>
      <c r="I1414" s="24">
        <v>5.4352119999999999</v>
      </c>
      <c r="J1414" s="24">
        <v>4.7606849999999996</v>
      </c>
      <c r="K1414" s="24">
        <v>1.032081</v>
      </c>
      <c r="L1414" s="24">
        <v>2.317313</v>
      </c>
      <c r="M1414" s="24">
        <v>21.438099999999999</v>
      </c>
      <c r="N1414" s="24">
        <v>4.0523317406143358</v>
      </c>
      <c r="O1414" s="24">
        <v>1.6494845360824739</v>
      </c>
      <c r="P1414" s="24">
        <v>6.2962962962962976</v>
      </c>
      <c r="Q1414" s="24">
        <v>0.85307361617599087</v>
      </c>
      <c r="R1414" s="24">
        <v>5.12</v>
      </c>
      <c r="S1414" s="24">
        <v>2.9539406979294176</v>
      </c>
      <c r="T1414" s="24">
        <v>0.81268079377514069</v>
      </c>
      <c r="U1414" s="24" t="s">
        <v>3472</v>
      </c>
      <c r="V1414">
        <v>0</v>
      </c>
      <c r="W1414" s="21">
        <v>0</v>
      </c>
      <c r="X1414" s="56" t="str">
        <f>IFERROR(VLOOKUP(A1414,Output!A:F,6,0),"-")</f>
        <v>-</v>
      </c>
    </row>
    <row r="1415" spans="1:24" hidden="1" x14ac:dyDescent="0.25">
      <c r="A1415" s="21" t="s">
        <v>471</v>
      </c>
      <c r="B1415" s="40" t="s">
        <v>690</v>
      </c>
      <c r="C1415" s="21" t="s">
        <v>245</v>
      </c>
      <c r="D1415" s="21" t="s">
        <v>73</v>
      </c>
      <c r="E1415" s="21" t="s">
        <v>97</v>
      </c>
      <c r="F1415" s="55">
        <v>4.3709914305443853E-5</v>
      </c>
      <c r="G1415" s="21">
        <v>1.797051</v>
      </c>
      <c r="H1415" s="21">
        <v>4.943117</v>
      </c>
      <c r="I1415" s="21">
        <v>5.9755719999999997</v>
      </c>
      <c r="J1415" s="21">
        <v>4.0976720000000002</v>
      </c>
      <c r="K1415" s="24">
        <v>3.28877</v>
      </c>
      <c r="L1415" s="24">
        <v>5.1252779999999998</v>
      </c>
      <c r="M1415" s="24">
        <v>167.45500000000001</v>
      </c>
      <c r="N1415" s="24">
        <v>3.2178212511846116</v>
      </c>
      <c r="O1415" s="24">
        <v>4.8453608247422677</v>
      </c>
      <c r="P1415" s="24">
        <v>1.9999999999999996</v>
      </c>
      <c r="Q1415" s="24">
        <v>3.3733670459334171</v>
      </c>
      <c r="R1415" s="24">
        <v>6.28</v>
      </c>
      <c r="S1415" s="24">
        <v>4.6479519593737662</v>
      </c>
      <c r="T1415" s="24">
        <v>1.1473830368628888</v>
      </c>
      <c r="U1415" s="24" t="s">
        <v>2914</v>
      </c>
      <c r="V1415">
        <v>0</v>
      </c>
      <c r="W1415" s="21">
        <v>1</v>
      </c>
      <c r="X1415" s="56" t="str">
        <f>IFERROR(VLOOKUP(A1415,Output!A:F,6,0),"-")</f>
        <v>-</v>
      </c>
    </row>
    <row r="1416" spans="1:24" hidden="1" x14ac:dyDescent="0.25">
      <c r="A1416" s="21" t="s">
        <v>1065</v>
      </c>
      <c r="B1416" s="40" t="s">
        <v>1066</v>
      </c>
      <c r="C1416" s="21" t="s">
        <v>294</v>
      </c>
      <c r="D1416" s="21" t="s">
        <v>77</v>
      </c>
      <c r="E1416" s="21" t="s">
        <v>97</v>
      </c>
      <c r="F1416" s="55">
        <v>4.3555834344851799E-5</v>
      </c>
      <c r="G1416" s="24">
        <v>3.5836579999999998</v>
      </c>
      <c r="H1416" s="24">
        <v>4.7636240000000001</v>
      </c>
      <c r="I1416" s="24">
        <v>4.8425000000000002</v>
      </c>
      <c r="J1416" s="24">
        <v>4.323188</v>
      </c>
      <c r="K1416" s="24">
        <v>2.618817</v>
      </c>
      <c r="L1416" s="24">
        <v>4.5765070000000003</v>
      </c>
      <c r="M1416" s="24">
        <v>57.655200000000001</v>
      </c>
      <c r="N1416" s="24" t="e">
        <v>#N/A</v>
      </c>
      <c r="O1416" s="24" t="e">
        <v>#N/A</v>
      </c>
      <c r="P1416" s="24" t="e">
        <v>#N/A</v>
      </c>
      <c r="Q1416" s="24" t="e">
        <v>#N/A</v>
      </c>
      <c r="R1416" s="24">
        <v>4.83</v>
      </c>
      <c r="S1416" s="24" t="e">
        <v>#N/A</v>
      </c>
      <c r="T1416" s="24">
        <v>0.53881910339010053</v>
      </c>
      <c r="U1416" s="24" t="s">
        <v>3180</v>
      </c>
      <c r="V1416">
        <v>0</v>
      </c>
      <c r="W1416" s="21">
        <v>1</v>
      </c>
      <c r="X1416" s="56" t="str">
        <f>IFERROR(VLOOKUP(A1416,Output!A:F,6,0),"-")</f>
        <v>-</v>
      </c>
    </row>
    <row r="1417" spans="1:24" x14ac:dyDescent="0.25">
      <c r="A1417" s="21" t="s">
        <v>1191</v>
      </c>
      <c r="B1417" s="40" t="s">
        <v>1192</v>
      </c>
      <c r="C1417" s="21" t="s">
        <v>248</v>
      </c>
      <c r="D1417" s="21" t="s">
        <v>75</v>
      </c>
      <c r="E1417" s="21" t="s">
        <v>96</v>
      </c>
      <c r="F1417" s="55">
        <v>4.3368564061700595E-5</v>
      </c>
      <c r="G1417" s="21">
        <v>4.1686300000000003</v>
      </c>
      <c r="H1417" s="21">
        <v>7.6858930000000001</v>
      </c>
      <c r="I1417" s="21">
        <v>2.7463009999999999</v>
      </c>
      <c r="J1417" s="21">
        <v>4.8669409999999997</v>
      </c>
      <c r="K1417" s="24">
        <v>2.2874810000000001</v>
      </c>
      <c r="L1417" s="24">
        <v>3.0033050000000001</v>
      </c>
      <c r="M1417" s="24">
        <v>57.667200000000001</v>
      </c>
      <c r="N1417" s="24">
        <v>0.273037031926334</v>
      </c>
      <c r="O1417" s="24">
        <v>0</v>
      </c>
      <c r="P1417" s="24">
        <v>4.0909090909090908</v>
      </c>
      <c r="Q1417" s="24">
        <v>4.8310192864473409</v>
      </c>
      <c r="R1417" s="24">
        <v>5.3</v>
      </c>
      <c r="S1417" s="24">
        <v>3.6191188551851812</v>
      </c>
      <c r="T1417" s="24">
        <v>0.37362146329365159</v>
      </c>
      <c r="U1417" s="24" t="s">
        <v>3245</v>
      </c>
      <c r="V1417">
        <v>0</v>
      </c>
      <c r="W1417" s="21">
        <v>0</v>
      </c>
      <c r="X1417" s="56" t="str">
        <f>IFERROR(VLOOKUP(A1417,Output!A:F,6,0),"-")</f>
        <v>-</v>
      </c>
    </row>
    <row r="1418" spans="1:24" hidden="1" x14ac:dyDescent="0.25">
      <c r="A1418" s="21" t="s">
        <v>1448</v>
      </c>
      <c r="B1418" s="40" t="s">
        <v>1449</v>
      </c>
      <c r="C1418" s="21" t="s">
        <v>305</v>
      </c>
      <c r="D1418" s="21" t="s">
        <v>74</v>
      </c>
      <c r="E1418" s="21" t="s">
        <v>88</v>
      </c>
      <c r="F1418" s="55">
        <v>4.2818272739173405E-5</v>
      </c>
      <c r="G1418" s="24">
        <v>4.9779220000000004</v>
      </c>
      <c r="H1418" s="24">
        <v>3.8854829999999998</v>
      </c>
      <c r="I1418" s="24">
        <v>4.0924009999999997</v>
      </c>
      <c r="J1418" s="24">
        <v>4.3845340000000004</v>
      </c>
      <c r="K1418" s="24">
        <v>1.948024</v>
      </c>
      <c r="L1418" s="24">
        <v>6.7691920000000003</v>
      </c>
      <c r="M1418" s="24">
        <v>712.19010000000003</v>
      </c>
      <c r="N1418" s="24">
        <v>3.2740740740740741</v>
      </c>
      <c r="O1418" s="24">
        <v>9.1836734693877542</v>
      </c>
      <c r="P1418" s="24">
        <v>6.4383561643835616</v>
      </c>
      <c r="Q1418" s="24">
        <v>6.5016334990683404</v>
      </c>
      <c r="R1418" s="24">
        <v>3.84</v>
      </c>
      <c r="S1418" s="24">
        <v>5.31690288820172</v>
      </c>
      <c r="T1418" s="24">
        <v>0.61952824496248315</v>
      </c>
      <c r="U1418" s="24" t="s">
        <v>3326</v>
      </c>
      <c r="V1418">
        <v>0</v>
      </c>
      <c r="W1418" s="21">
        <v>1</v>
      </c>
      <c r="X1418" s="56" t="str">
        <f>IFERROR(VLOOKUP(A1418,Output!A:F,6,0),"-")</f>
        <v>-</v>
      </c>
    </row>
    <row r="1419" spans="1:24" hidden="1" x14ac:dyDescent="0.25">
      <c r="A1419" s="21" t="s">
        <v>604</v>
      </c>
      <c r="B1419" s="40" t="s">
        <v>967</v>
      </c>
      <c r="C1419" s="21" t="s">
        <v>968</v>
      </c>
      <c r="D1419" s="21" t="s">
        <v>76</v>
      </c>
      <c r="E1419" s="21" t="s">
        <v>102</v>
      </c>
      <c r="F1419" s="55">
        <v>4.2697896197973012E-5</v>
      </c>
      <c r="G1419" s="24">
        <v>4.6497400000000004</v>
      </c>
      <c r="H1419" s="24">
        <v>4.1952769999999999</v>
      </c>
      <c r="I1419" s="24">
        <v>6.1152610000000003</v>
      </c>
      <c r="J1419" s="24">
        <v>4.8519519999999998</v>
      </c>
      <c r="K1419" s="24">
        <v>3.387283</v>
      </c>
      <c r="L1419" s="24">
        <v>3.3221240000000001</v>
      </c>
      <c r="M1419" s="24">
        <v>986.83240000000001</v>
      </c>
      <c r="N1419" s="24">
        <v>10</v>
      </c>
      <c r="O1419" s="24">
        <v>0</v>
      </c>
      <c r="P1419" s="24">
        <v>0</v>
      </c>
      <c r="Q1419" s="24">
        <v>4.6836216069979244</v>
      </c>
      <c r="R1419" s="24">
        <v>6.59</v>
      </c>
      <c r="S1419" s="24">
        <v>5.1867243213995851</v>
      </c>
      <c r="T1419" s="24">
        <v>0.26700930932076489</v>
      </c>
      <c r="U1419" s="24" t="s">
        <v>3075</v>
      </c>
      <c r="V1419">
        <v>0</v>
      </c>
      <c r="W1419" s="21">
        <v>0</v>
      </c>
      <c r="X1419" s="56" t="str">
        <f>IFERROR(VLOOKUP(A1419,Output!A:F,6,0),"-")</f>
        <v>-</v>
      </c>
    </row>
    <row r="1420" spans="1:24" hidden="1" x14ac:dyDescent="0.25">
      <c r="A1420" s="21" t="s">
        <v>1554</v>
      </c>
      <c r="B1420" s="40" t="s">
        <v>1555</v>
      </c>
      <c r="C1420" s="21" t="s">
        <v>256</v>
      </c>
      <c r="D1420" s="21" t="s">
        <v>74</v>
      </c>
      <c r="E1420" s="21" t="s">
        <v>91</v>
      </c>
      <c r="F1420" s="55">
        <v>4.1672467147800948E-5</v>
      </c>
      <c r="G1420" s="21">
        <v>5.0507879999999998</v>
      </c>
      <c r="H1420" s="21">
        <v>4.2819989999999999</v>
      </c>
      <c r="I1420" s="21">
        <v>6.1346600000000002</v>
      </c>
      <c r="J1420" s="21">
        <v>5.1768210000000003</v>
      </c>
      <c r="K1420" s="21">
        <v>0</v>
      </c>
      <c r="L1420" s="21">
        <v>5.4031950000000002</v>
      </c>
      <c r="M1420" s="21">
        <v>53.682299999999998</v>
      </c>
      <c r="N1420" s="21">
        <v>5.7087604095563149</v>
      </c>
      <c r="O1420" s="21">
        <v>0.82474226804123707</v>
      </c>
      <c r="P1420" s="21">
        <v>0.45584045584045585</v>
      </c>
      <c r="Q1420" s="21">
        <v>7.3188247502149482</v>
      </c>
      <c r="R1420" s="21" t="e">
        <v>#N/A</v>
      </c>
      <c r="S1420" s="21">
        <v>3.275502540070697</v>
      </c>
      <c r="T1420" s="21">
        <v>0.57718232562903504</v>
      </c>
      <c r="U1420" s="21" t="s">
        <v>3416</v>
      </c>
      <c r="V1420">
        <v>0</v>
      </c>
      <c r="W1420" s="21">
        <v>0</v>
      </c>
      <c r="X1420" s="56" t="str">
        <f>IFERROR(VLOOKUP(A1420,Output!A:F,6,0),"-")</f>
        <v>-</v>
      </c>
    </row>
    <row r="1421" spans="1:24" hidden="1" x14ac:dyDescent="0.25">
      <c r="A1421" s="21" t="s">
        <v>2198</v>
      </c>
      <c r="B1421" s="40" t="s">
        <v>2199</v>
      </c>
      <c r="C1421" s="21" t="s">
        <v>254</v>
      </c>
      <c r="D1421" s="21" t="s">
        <v>74</v>
      </c>
      <c r="E1421" s="21" t="s">
        <v>96</v>
      </c>
      <c r="F1421" s="55">
        <v>4.1251979263181607E-5</v>
      </c>
      <c r="G1421" s="24">
        <v>7.040019</v>
      </c>
      <c r="H1421" s="24">
        <v>3.578084</v>
      </c>
      <c r="I1421" s="24">
        <v>2.547272</v>
      </c>
      <c r="J1421" s="24">
        <v>4.388458</v>
      </c>
      <c r="K1421" s="24">
        <v>3.4759250000000002</v>
      </c>
      <c r="L1421" s="24">
        <v>7.1032650000000004</v>
      </c>
      <c r="M1421" s="24">
        <v>55.753599999999999</v>
      </c>
      <c r="N1421" s="24">
        <v>5.2076231336896859</v>
      </c>
      <c r="O1421" s="24">
        <v>0.50505050505050508</v>
      </c>
      <c r="P1421" s="24">
        <v>5.2225519287833837</v>
      </c>
      <c r="Q1421" s="24">
        <v>8.5227192709091693</v>
      </c>
      <c r="R1421" s="24">
        <v>5.43</v>
      </c>
      <c r="S1421" s="24">
        <v>6.3534545437192689</v>
      </c>
      <c r="T1421" s="24">
        <v>0.5158236909057885</v>
      </c>
      <c r="U1421" s="24" t="s">
        <v>3731</v>
      </c>
      <c r="V1421">
        <v>0</v>
      </c>
      <c r="W1421" s="21">
        <v>1</v>
      </c>
      <c r="X1421" s="56" t="str">
        <f>IFERROR(VLOOKUP(A1421,Output!A:F,6,0),"-")</f>
        <v>-</v>
      </c>
    </row>
    <row r="1422" spans="1:24" hidden="1" x14ac:dyDescent="0.25">
      <c r="A1422" s="21" t="s">
        <v>1444</v>
      </c>
      <c r="B1422" s="40" t="s">
        <v>1445</v>
      </c>
      <c r="C1422" s="21" t="s">
        <v>249</v>
      </c>
      <c r="D1422" s="21" t="s">
        <v>74</v>
      </c>
      <c r="E1422" s="21" t="s">
        <v>97</v>
      </c>
      <c r="F1422" s="55">
        <v>4.0164495678440042E-5</v>
      </c>
      <c r="G1422" s="21">
        <v>7.426196</v>
      </c>
      <c r="H1422" s="21">
        <v>7.0610249999999999</v>
      </c>
      <c r="I1422" s="21">
        <v>6.394177</v>
      </c>
      <c r="J1422" s="21">
        <v>6.9403540000000001</v>
      </c>
      <c r="K1422" s="24">
        <v>7.2421049999999996</v>
      </c>
      <c r="L1422" s="24">
        <v>8.7926839999999995</v>
      </c>
      <c r="M1422" s="24">
        <v>20.834399999999999</v>
      </c>
      <c r="N1422" s="24">
        <v>1.591836508701117</v>
      </c>
      <c r="O1422" s="24">
        <v>3.5802469135802468</v>
      </c>
      <c r="P1422" s="24">
        <v>2.5609756097560976</v>
      </c>
      <c r="Q1422" s="24">
        <v>8.9331925112785431</v>
      </c>
      <c r="R1422" s="24">
        <v>5.43</v>
      </c>
      <c r="S1422" s="24">
        <v>4.9495625070168554</v>
      </c>
      <c r="T1422" s="24">
        <v>0.41604009546144383</v>
      </c>
      <c r="U1422" s="24" t="s">
        <v>3370</v>
      </c>
      <c r="V1422">
        <v>0</v>
      </c>
      <c r="W1422" s="21">
        <v>0</v>
      </c>
      <c r="X1422" s="56" t="str">
        <f>IFERROR(VLOOKUP(A1422,Output!A:F,6,0),"-")</f>
        <v>-</v>
      </c>
    </row>
    <row r="1423" spans="1:24" hidden="1" x14ac:dyDescent="0.25">
      <c r="A1423" s="21" t="s">
        <v>402</v>
      </c>
      <c r="B1423" s="40" t="s">
        <v>403</v>
      </c>
      <c r="C1423" s="21" t="s">
        <v>245</v>
      </c>
      <c r="D1423" s="21" t="s">
        <v>73</v>
      </c>
      <c r="E1423" s="21" t="s">
        <v>101</v>
      </c>
      <c r="F1423" s="55">
        <v>4.0012568712400167E-5</v>
      </c>
      <c r="G1423" s="24">
        <v>4.5202039999999997</v>
      </c>
      <c r="H1423" s="24">
        <v>3.0087540000000002</v>
      </c>
      <c r="I1423" s="24">
        <v>5.7195390000000002</v>
      </c>
      <c r="J1423" s="24">
        <v>4.4265699999999999</v>
      </c>
      <c r="K1423" s="24">
        <v>0</v>
      </c>
      <c r="L1423" s="24">
        <v>19.521439999999998</v>
      </c>
      <c r="M1423" s="24">
        <v>1106.4760000000001</v>
      </c>
      <c r="N1423" s="24">
        <v>4.5903719747249969</v>
      </c>
      <c r="O1423" s="24">
        <v>6.7346938775510203</v>
      </c>
      <c r="P1423" s="24">
        <v>6.737247340663127</v>
      </c>
      <c r="Q1423" s="24">
        <v>8.0776543862384784</v>
      </c>
      <c r="R1423" s="24" t="e">
        <v>#N/A</v>
      </c>
      <c r="S1423" s="24">
        <v>6.8255877887798349</v>
      </c>
      <c r="T1423" s="24">
        <v>1.0076853612307521</v>
      </c>
      <c r="U1423" s="24" t="s">
        <v>2895</v>
      </c>
      <c r="V1423">
        <v>0</v>
      </c>
      <c r="W1423" s="21">
        <v>1</v>
      </c>
      <c r="X1423" s="56" t="str">
        <f>IFERROR(VLOOKUP(A1423,Output!A:F,6,0),"-")</f>
        <v>-</v>
      </c>
    </row>
    <row r="1424" spans="1:24" x14ac:dyDescent="0.25">
      <c r="A1424" s="21" t="s">
        <v>1353</v>
      </c>
      <c r="B1424" s="40" t="s">
        <v>1354</v>
      </c>
      <c r="C1424" s="21" t="s">
        <v>253</v>
      </c>
      <c r="D1424" s="21" t="s">
        <v>75</v>
      </c>
      <c r="E1424" s="21" t="s">
        <v>97</v>
      </c>
      <c r="F1424" s="55">
        <v>3.9643943850755168E-5</v>
      </c>
      <c r="G1424" s="21">
        <v>4.4038300000000001</v>
      </c>
      <c r="H1424" s="21">
        <v>5.2268160000000004</v>
      </c>
      <c r="I1424" s="21">
        <v>6.1579139999999999</v>
      </c>
      <c r="J1424" s="21">
        <v>5.2700610000000001</v>
      </c>
      <c r="K1424" s="24">
        <v>9.6894410000000004</v>
      </c>
      <c r="L1424" s="24">
        <v>9.1208159999999996</v>
      </c>
      <c r="M1424" s="24">
        <v>186.43020000000001</v>
      </c>
      <c r="N1424" s="24">
        <v>8.7854534534534547</v>
      </c>
      <c r="O1424" s="24">
        <v>0</v>
      </c>
      <c r="P1424" s="24">
        <v>4.6610169491525424</v>
      </c>
      <c r="Q1424" s="24">
        <v>10</v>
      </c>
      <c r="R1424" s="24">
        <v>7.38</v>
      </c>
      <c r="S1424" s="24">
        <v>6.9013074685704527</v>
      </c>
      <c r="T1424" s="24">
        <v>0.58683161690330021</v>
      </c>
      <c r="U1424" s="24" t="s">
        <v>3303</v>
      </c>
      <c r="V1424">
        <v>0</v>
      </c>
      <c r="W1424" s="21">
        <v>0</v>
      </c>
      <c r="X1424" s="56" t="str">
        <f>IFERROR(VLOOKUP(A1424,Output!A:F,6,0),"-")</f>
        <v>-</v>
      </c>
    </row>
    <row r="1425" spans="1:24" hidden="1" x14ac:dyDescent="0.25">
      <c r="A1425" s="21" t="s">
        <v>4148</v>
      </c>
      <c r="B1425" s="40" t="s">
        <v>4149</v>
      </c>
      <c r="C1425" s="21" t="s">
        <v>245</v>
      </c>
      <c r="D1425" s="21" t="s">
        <v>73</v>
      </c>
      <c r="E1425" s="21" t="s">
        <v>92</v>
      </c>
      <c r="F1425" s="55">
        <v>3.9116097999470609E-5</v>
      </c>
      <c r="G1425" s="24">
        <v>0</v>
      </c>
      <c r="H1425" s="24">
        <v>4.7013160000000003</v>
      </c>
      <c r="I1425" s="24">
        <v>2.5451999999999999</v>
      </c>
      <c r="J1425" s="24">
        <v>2.415505</v>
      </c>
      <c r="K1425" s="24">
        <v>0.75103589999999998</v>
      </c>
      <c r="L1425" s="24">
        <v>9.2127140000000001</v>
      </c>
      <c r="M1425" s="24">
        <v>21.485700000000001</v>
      </c>
      <c r="N1425" s="24">
        <v>4.7466860795454551</v>
      </c>
      <c r="O1425" s="24">
        <v>1.6161616161616164</v>
      </c>
      <c r="P1425" s="24">
        <v>9.196704431733453</v>
      </c>
      <c r="Q1425" s="24">
        <v>6.3074064242102468</v>
      </c>
      <c r="R1425" s="24">
        <v>6.68</v>
      </c>
      <c r="S1425" s="24">
        <v>6.86459251914206</v>
      </c>
      <c r="T1425" s="24">
        <v>1.0248595337458306</v>
      </c>
      <c r="U1425" s="24" t="s">
        <v>4150</v>
      </c>
      <c r="V1425">
        <v>0</v>
      </c>
      <c r="W1425" s="21">
        <v>1</v>
      </c>
      <c r="X1425" s="56" t="str">
        <f>IFERROR(VLOOKUP(A1425,Output!A:F,6,0),"-")</f>
        <v>-</v>
      </c>
    </row>
    <row r="1426" spans="1:24" hidden="1" x14ac:dyDescent="0.25">
      <c r="A1426" s="21" t="s">
        <v>1756</v>
      </c>
      <c r="B1426" s="40" t="s">
        <v>1757</v>
      </c>
      <c r="C1426" s="21" t="s">
        <v>251</v>
      </c>
      <c r="D1426" s="21" t="s">
        <v>74</v>
      </c>
      <c r="E1426" s="21" t="s">
        <v>94</v>
      </c>
      <c r="F1426" s="55">
        <v>3.9079386424139211E-5</v>
      </c>
      <c r="G1426" s="24">
        <v>4.1217180000000004</v>
      </c>
      <c r="H1426" s="24">
        <v>6.0561980000000002</v>
      </c>
      <c r="I1426" s="24">
        <v>5.9525430000000004</v>
      </c>
      <c r="J1426" s="24">
        <v>5.62784</v>
      </c>
      <c r="K1426" s="24">
        <v>0</v>
      </c>
      <c r="L1426" s="24">
        <v>2.9447749999999999</v>
      </c>
      <c r="M1426" s="24">
        <v>7.9080000000000004</v>
      </c>
      <c r="N1426" s="24">
        <v>7.5936012202259375</v>
      </c>
      <c r="O1426" s="24">
        <v>8.4848484848484844</v>
      </c>
      <c r="P1426" s="24">
        <v>2.1068249258160239</v>
      </c>
      <c r="Q1426" s="24">
        <v>2.3312984926315377</v>
      </c>
      <c r="R1426" s="24" t="e">
        <v>#N/A</v>
      </c>
      <c r="S1426" s="24">
        <v>3.2018330383320008</v>
      </c>
      <c r="T1426" s="24">
        <v>0.24874508578422705</v>
      </c>
      <c r="U1426" s="24" t="s">
        <v>3523</v>
      </c>
      <c r="V1426">
        <v>0</v>
      </c>
      <c r="W1426" s="21">
        <v>0</v>
      </c>
      <c r="X1426" s="56" t="str">
        <f>IFERROR(VLOOKUP(A1426,Output!A:F,6,0),"-")</f>
        <v>-</v>
      </c>
    </row>
    <row r="1427" spans="1:24" x14ac:dyDescent="0.25">
      <c r="A1427" s="21" t="s">
        <v>526</v>
      </c>
      <c r="B1427" s="40" t="s">
        <v>948</v>
      </c>
      <c r="C1427" s="21" t="s">
        <v>248</v>
      </c>
      <c r="D1427" s="21" t="s">
        <v>75</v>
      </c>
      <c r="E1427" s="21" t="s">
        <v>92</v>
      </c>
      <c r="F1427" s="55">
        <v>3.883966959612569E-5</v>
      </c>
      <c r="G1427" s="24">
        <v>4.9837030000000002</v>
      </c>
      <c r="H1427" s="24">
        <v>4.8662960000000002</v>
      </c>
      <c r="I1427" s="24">
        <v>2.671783</v>
      </c>
      <c r="J1427" s="24">
        <v>4.2549049999999999</v>
      </c>
      <c r="K1427" s="24">
        <v>1.239328</v>
      </c>
      <c r="L1427" s="24">
        <v>6.3409259999999996</v>
      </c>
      <c r="M1427" s="53">
        <v>45.819400000000002</v>
      </c>
      <c r="N1427" s="24">
        <v>5.1879111892679308</v>
      </c>
      <c r="O1427" s="24">
        <v>8.9473684210526319</v>
      </c>
      <c r="P1427" s="24">
        <v>3.0400003181714137</v>
      </c>
      <c r="Q1427" s="24">
        <v>3.9571415730493964</v>
      </c>
      <c r="R1427" s="24">
        <v>4.03</v>
      </c>
      <c r="S1427" s="24">
        <v>4.7211775606155753</v>
      </c>
      <c r="T1427" s="24">
        <v>0.39350841708607692</v>
      </c>
      <c r="U1427" s="24" t="s">
        <v>3090</v>
      </c>
      <c r="V1427">
        <v>0</v>
      </c>
      <c r="W1427" s="21">
        <v>1</v>
      </c>
      <c r="X1427" s="56" t="str">
        <f>IFERROR(VLOOKUP(A1427,Output!A:F,6,0),"-")</f>
        <v>-</v>
      </c>
    </row>
    <row r="1428" spans="1:24" hidden="1" x14ac:dyDescent="0.25">
      <c r="A1428" s="21" t="s">
        <v>1435</v>
      </c>
      <c r="B1428" s="40" t="s">
        <v>1436</v>
      </c>
      <c r="C1428" s="21" t="s">
        <v>247</v>
      </c>
      <c r="D1428" s="21" t="s">
        <v>74</v>
      </c>
      <c r="E1428" s="21" t="s">
        <v>98</v>
      </c>
      <c r="F1428" s="55">
        <v>3.8806237816233598E-5</v>
      </c>
      <c r="G1428" s="24">
        <v>2.8585539999999998</v>
      </c>
      <c r="H1428" s="24">
        <v>5.3929349999999996</v>
      </c>
      <c r="I1428" s="24">
        <v>6.388865</v>
      </c>
      <c r="J1428" s="24">
        <v>5.2844309999999997</v>
      </c>
      <c r="K1428" s="24">
        <v>0</v>
      </c>
      <c r="L1428" s="24">
        <v>-7.0690379999999999</v>
      </c>
      <c r="M1428" s="24">
        <v>39.950800000000001</v>
      </c>
      <c r="N1428" s="24">
        <v>2.1182561486288418</v>
      </c>
      <c r="O1428" s="24">
        <v>6.526315789473685</v>
      </c>
      <c r="P1428" s="24">
        <v>0</v>
      </c>
      <c r="Q1428" s="24">
        <v>3.1694891644331538</v>
      </c>
      <c r="R1428" s="24" t="e">
        <v>#N/A</v>
      </c>
      <c r="S1428" s="24">
        <v>0.95163625518095707</v>
      </c>
      <c r="T1428" s="24">
        <v>0.88906517827133769</v>
      </c>
      <c r="U1428" s="24" t="s">
        <v>3343</v>
      </c>
      <c r="V1428">
        <v>0</v>
      </c>
      <c r="W1428" s="21">
        <v>0</v>
      </c>
      <c r="X1428" s="56" t="str">
        <f>IFERROR(VLOOKUP(A1428,Output!A:F,6,0),"-")</f>
        <v>-</v>
      </c>
    </row>
    <row r="1429" spans="1:24" hidden="1" x14ac:dyDescent="0.25">
      <c r="A1429" s="21" t="s">
        <v>559</v>
      </c>
      <c r="B1429" s="40" t="s">
        <v>990</v>
      </c>
      <c r="C1429" s="21" t="s">
        <v>244</v>
      </c>
      <c r="D1429" s="21" t="s">
        <v>73</v>
      </c>
      <c r="E1429" s="21" t="s">
        <v>94</v>
      </c>
      <c r="F1429" s="55">
        <v>3.8480330781077263E-5</v>
      </c>
      <c r="G1429" s="24">
        <v>2.8061349999999998</v>
      </c>
      <c r="H1429" s="24">
        <v>4.0540330000000004</v>
      </c>
      <c r="I1429" s="24">
        <v>3.2952279999999998</v>
      </c>
      <c r="J1429" s="24">
        <v>3.5009320000000002</v>
      </c>
      <c r="K1429" s="24">
        <v>2.984553</v>
      </c>
      <c r="L1429" s="24">
        <v>5.5915889999999999</v>
      </c>
      <c r="M1429" s="24">
        <v>7.4835000000000003</v>
      </c>
      <c r="N1429" s="24">
        <v>1.3830230376728105</v>
      </c>
      <c r="O1429" s="24">
        <v>2.2448979591836729</v>
      </c>
      <c r="P1429" s="24">
        <v>5.8132819858066682</v>
      </c>
      <c r="Q1429" s="24">
        <v>6.5833235757149886</v>
      </c>
      <c r="R1429" s="24">
        <v>7.64</v>
      </c>
      <c r="S1429" s="24">
        <v>4.9626450080505391</v>
      </c>
      <c r="T1429" s="24">
        <v>1.1045373339322753</v>
      </c>
      <c r="U1429" s="24" t="s">
        <v>3083</v>
      </c>
      <c r="V1429">
        <v>0</v>
      </c>
      <c r="W1429" s="21">
        <v>1</v>
      </c>
      <c r="X1429" s="56" t="str">
        <f>IFERROR(VLOOKUP(A1429,Output!A:F,6,0),"-")</f>
        <v>-</v>
      </c>
    </row>
    <row r="1430" spans="1:24" hidden="1" x14ac:dyDescent="0.25">
      <c r="A1430" s="21" t="s">
        <v>1758</v>
      </c>
      <c r="B1430" s="40" t="s">
        <v>1759</v>
      </c>
      <c r="C1430" s="21" t="s">
        <v>245</v>
      </c>
      <c r="D1430" s="21" t="s">
        <v>73</v>
      </c>
      <c r="E1430" s="21" t="s">
        <v>100</v>
      </c>
      <c r="F1430" s="55">
        <v>3.7669869182290806E-5</v>
      </c>
      <c r="G1430" s="24">
        <v>7.0080689999999999</v>
      </c>
      <c r="H1430" s="24">
        <v>6.054246</v>
      </c>
      <c r="I1430" s="24">
        <v>6.7275390000000002</v>
      </c>
      <c r="J1430" s="24">
        <v>6.5966180000000003</v>
      </c>
      <c r="K1430" s="24">
        <v>8.9215470000000003</v>
      </c>
      <c r="L1430" s="24">
        <v>5.8368669999999998</v>
      </c>
      <c r="M1430" s="24">
        <v>55.589700000000001</v>
      </c>
      <c r="N1430" s="24">
        <v>1.5937414318318501</v>
      </c>
      <c r="O1430" s="24">
        <v>1.2222222222222223</v>
      </c>
      <c r="P1430" s="24">
        <v>4.117647058823529</v>
      </c>
      <c r="Q1430" s="24">
        <v>4.9724873261093929</v>
      </c>
      <c r="R1430" s="24">
        <v>8.7899999999999991</v>
      </c>
      <c r="S1430" s="24">
        <v>5.0908816540757389</v>
      </c>
      <c r="T1430" s="24">
        <v>0.40411961433887844</v>
      </c>
      <c r="U1430" s="24" t="s">
        <v>3586</v>
      </c>
      <c r="V1430">
        <v>0</v>
      </c>
      <c r="W1430" s="21">
        <v>0</v>
      </c>
      <c r="X1430" s="56" t="str">
        <f>IFERROR(VLOOKUP(A1430,Output!A:F,6,0),"-")</f>
        <v>-</v>
      </c>
    </row>
    <row r="1431" spans="1:24" hidden="1" x14ac:dyDescent="0.25">
      <c r="A1431" s="21" t="s">
        <v>4142</v>
      </c>
      <c r="B1431" s="40" t="s">
        <v>4143</v>
      </c>
      <c r="C1431" s="21" t="s">
        <v>298</v>
      </c>
      <c r="D1431" s="21" t="s">
        <v>74</v>
      </c>
      <c r="E1431" s="21" t="s">
        <v>87</v>
      </c>
      <c r="F1431" s="55">
        <v>3.7655079920647301E-5</v>
      </c>
      <c r="G1431" s="24">
        <v>3.3177650000000001</v>
      </c>
      <c r="H1431" s="24">
        <v>5.7802309999999997</v>
      </c>
      <c r="I1431" s="24">
        <v>4.0889569999999997</v>
      </c>
      <c r="J1431" s="24">
        <v>4.395651</v>
      </c>
      <c r="K1431" s="24">
        <v>4.8049280000000003</v>
      </c>
      <c r="L1431" s="24">
        <v>4.2646480000000002</v>
      </c>
      <c r="M1431" s="24">
        <v>2673.2249999999999</v>
      </c>
      <c r="N1431" s="24">
        <v>3.3042096902303419</v>
      </c>
      <c r="O1431" s="24">
        <v>2.5773195876288657</v>
      </c>
      <c r="P1431" s="24">
        <v>0.49180327868852458</v>
      </c>
      <c r="Q1431" s="24">
        <v>3.6538189812028659</v>
      </c>
      <c r="R1431" s="24">
        <v>5.71</v>
      </c>
      <c r="S1431" s="24">
        <v>2.854151037962394</v>
      </c>
      <c r="T1431" s="24">
        <v>0.10250718288233306</v>
      </c>
      <c r="U1431" s="24" t="s">
        <v>4144</v>
      </c>
      <c r="V1431">
        <v>0</v>
      </c>
      <c r="W1431" s="21">
        <v>1</v>
      </c>
      <c r="X1431" s="56" t="str">
        <f>IFERROR(VLOOKUP(A1431,Output!A:F,6,0),"-")</f>
        <v>-</v>
      </c>
    </row>
    <row r="1432" spans="1:24" hidden="1" x14ac:dyDescent="0.25">
      <c r="A1432" s="21" t="s">
        <v>1596</v>
      </c>
      <c r="B1432" s="40" t="s">
        <v>1597</v>
      </c>
      <c r="C1432" s="21" t="s">
        <v>258</v>
      </c>
      <c r="D1432" s="21" t="s">
        <v>74</v>
      </c>
      <c r="E1432" s="21" t="s">
        <v>100</v>
      </c>
      <c r="F1432" s="55">
        <v>3.6383394573027511E-5</v>
      </c>
      <c r="G1432" s="24">
        <v>4.1237560000000002</v>
      </c>
      <c r="H1432" s="24">
        <v>6.8295700000000004</v>
      </c>
      <c r="I1432" s="24">
        <v>4.1902119999999998</v>
      </c>
      <c r="J1432" s="24">
        <v>5.0478459999999998</v>
      </c>
      <c r="K1432" s="24">
        <v>3.7471779999999999</v>
      </c>
      <c r="L1432" s="24">
        <v>-2.2239390000000001</v>
      </c>
      <c r="M1432" s="24">
        <v>37.2425</v>
      </c>
      <c r="N1432" s="24">
        <v>1.5889257652076896</v>
      </c>
      <c r="O1432" s="24">
        <v>6.1111111111111116</v>
      </c>
      <c r="P1432" s="24">
        <v>0</v>
      </c>
      <c r="Q1432" s="24">
        <v>7.9134300699284594</v>
      </c>
      <c r="R1432" s="24" t="e">
        <v>#N/A</v>
      </c>
      <c r="S1432" s="24">
        <v>1.8876915454335121</v>
      </c>
      <c r="T1432" s="24">
        <v>0.10511297182225239</v>
      </c>
      <c r="U1432" s="24" t="s">
        <v>3412</v>
      </c>
      <c r="V1432">
        <v>0</v>
      </c>
      <c r="W1432" s="21">
        <v>0</v>
      </c>
      <c r="X1432" s="56" t="str">
        <f>IFERROR(VLOOKUP(A1432,Output!A:F,6,0),"-")</f>
        <v>-</v>
      </c>
    </row>
    <row r="1433" spans="1:24" x14ac:dyDescent="0.25">
      <c r="A1433" s="21" t="s">
        <v>1640</v>
      </c>
      <c r="B1433" s="40" t="s">
        <v>1641</v>
      </c>
      <c r="C1433" s="21" t="s">
        <v>253</v>
      </c>
      <c r="D1433" s="21" t="s">
        <v>75</v>
      </c>
      <c r="E1433" s="21" t="s">
        <v>97</v>
      </c>
      <c r="F1433" s="55">
        <v>3.6173799547300161E-5</v>
      </c>
      <c r="G1433" s="24">
        <v>4.2579459999999996</v>
      </c>
      <c r="H1433" s="24">
        <v>5.7769050000000002</v>
      </c>
      <c r="I1433" s="24">
        <v>5.6121179999999997</v>
      </c>
      <c r="J1433" s="24">
        <v>5.1034069999999998</v>
      </c>
      <c r="K1433" s="24">
        <v>7.1813729999999998</v>
      </c>
      <c r="L1433" s="24">
        <v>6.9114690000000003</v>
      </c>
      <c r="M1433" s="24">
        <v>42.653300000000002</v>
      </c>
      <c r="N1433" s="24">
        <v>2.1354694694694696</v>
      </c>
      <c r="O1433" s="24">
        <v>2.5274725274725269</v>
      </c>
      <c r="P1433" s="24">
        <v>5.7627118644067803</v>
      </c>
      <c r="Q1433" s="24">
        <v>9.8860173500908726</v>
      </c>
      <c r="R1433" s="24">
        <v>6.54</v>
      </c>
      <c r="S1433" s="24">
        <v>6.4979520726715299</v>
      </c>
      <c r="T1433" s="24">
        <v>0.4946714996572848</v>
      </c>
      <c r="U1433" s="24" t="s">
        <v>3461</v>
      </c>
      <c r="V1433">
        <v>0</v>
      </c>
      <c r="W1433" s="21">
        <v>0</v>
      </c>
      <c r="X1433" s="56" t="str">
        <f>IFERROR(VLOOKUP(A1433,Output!A:F,6,0),"-")</f>
        <v>-</v>
      </c>
    </row>
    <row r="1434" spans="1:24" hidden="1" x14ac:dyDescent="0.25">
      <c r="A1434" s="21" t="s">
        <v>612</v>
      </c>
      <c r="B1434" s="40" t="s">
        <v>942</v>
      </c>
      <c r="C1434" s="21" t="s">
        <v>250</v>
      </c>
      <c r="D1434" s="21" t="s">
        <v>76</v>
      </c>
      <c r="E1434" s="21" t="s">
        <v>98</v>
      </c>
      <c r="F1434" s="55">
        <v>3.5906657190551807E-5</v>
      </c>
      <c r="G1434" s="24">
        <v>4.749841</v>
      </c>
      <c r="H1434" s="24">
        <v>6.0136719999999997</v>
      </c>
      <c r="I1434" s="24">
        <v>6.3387979999999997</v>
      </c>
      <c r="J1434" s="24">
        <v>5.8909560000000001</v>
      </c>
      <c r="K1434" s="24">
        <v>2.591799</v>
      </c>
      <c r="L1434" s="24">
        <v>2.8284090000000002</v>
      </c>
      <c r="M1434" s="24">
        <v>13.2547</v>
      </c>
      <c r="N1434" s="24">
        <v>10</v>
      </c>
      <c r="O1434" s="24">
        <v>0</v>
      </c>
      <c r="P1434" s="24">
        <v>10</v>
      </c>
      <c r="Q1434" s="24">
        <v>0</v>
      </c>
      <c r="R1434" s="24">
        <v>6.11</v>
      </c>
      <c r="S1434" s="24">
        <v>4.5</v>
      </c>
      <c r="T1434" s="24">
        <v>0.58888465553936442</v>
      </c>
      <c r="U1434" s="24" t="s">
        <v>3050</v>
      </c>
      <c r="V1434">
        <v>0</v>
      </c>
      <c r="W1434" s="21">
        <v>0</v>
      </c>
      <c r="X1434" s="56" t="str">
        <f>IFERROR(VLOOKUP(A1434,Output!A:F,6,0),"-")</f>
        <v>-</v>
      </c>
    </row>
    <row r="1435" spans="1:24" hidden="1" x14ac:dyDescent="0.25">
      <c r="A1435" s="21" t="s">
        <v>412</v>
      </c>
      <c r="B1435" s="40" t="s">
        <v>677</v>
      </c>
      <c r="C1435" s="21" t="s">
        <v>245</v>
      </c>
      <c r="D1435" s="21" t="s">
        <v>73</v>
      </c>
      <c r="E1435" s="21" t="s">
        <v>97</v>
      </c>
      <c r="F1435" s="55">
        <v>3.4791858745019687E-5</v>
      </c>
      <c r="G1435" s="24">
        <v>4.8051349999999999</v>
      </c>
      <c r="H1435" s="24">
        <v>5.4415699999999996</v>
      </c>
      <c r="I1435" s="24">
        <v>7.0898399999999997</v>
      </c>
      <c r="J1435" s="24">
        <v>5.8463039999999999</v>
      </c>
      <c r="K1435" s="24">
        <v>6.0562230000000001</v>
      </c>
      <c r="L1435" s="24">
        <v>9.4188209999999994</v>
      </c>
      <c r="M1435" s="24">
        <v>27.1922</v>
      </c>
      <c r="N1435" s="24">
        <v>4.6727170507067575</v>
      </c>
      <c r="O1435" s="24">
        <v>4.2268041237113403</v>
      </c>
      <c r="P1435" s="24">
        <v>2.6818181818181817</v>
      </c>
      <c r="Q1435" s="24">
        <v>4.0374350330102544</v>
      </c>
      <c r="R1435" s="24">
        <v>7.7</v>
      </c>
      <c r="S1435" s="24">
        <v>5.9887689763388483</v>
      </c>
      <c r="T1435" s="24">
        <v>0.96662738417386196</v>
      </c>
      <c r="U1435" s="24" t="s">
        <v>2901</v>
      </c>
      <c r="V1435">
        <v>0</v>
      </c>
      <c r="W1435" s="21">
        <v>0</v>
      </c>
      <c r="X1435" s="56" t="str">
        <f>IFERROR(VLOOKUP(A1435,Output!A:F,6,0),"-")</f>
        <v>-</v>
      </c>
    </row>
    <row r="1436" spans="1:24" hidden="1" x14ac:dyDescent="0.25">
      <c r="A1436" s="21" t="s">
        <v>1794</v>
      </c>
      <c r="B1436" s="40" t="s">
        <v>1795</v>
      </c>
      <c r="C1436" s="21" t="s">
        <v>249</v>
      </c>
      <c r="D1436" s="21" t="s">
        <v>74</v>
      </c>
      <c r="E1436" s="21" t="s">
        <v>90</v>
      </c>
      <c r="F1436" s="55">
        <v>3.3964424707870911E-5</v>
      </c>
      <c r="G1436" s="24">
        <v>5.9001479999999997</v>
      </c>
      <c r="H1436" s="24">
        <v>6.170725</v>
      </c>
      <c r="I1436" s="24">
        <v>3.3720530000000002</v>
      </c>
      <c r="J1436" s="24">
        <v>5.2228919999999999</v>
      </c>
      <c r="K1436" s="24">
        <v>2.1272820000000001</v>
      </c>
      <c r="L1436" s="24">
        <v>2.174499</v>
      </c>
      <c r="M1436" s="24">
        <v>7.7786999999999997</v>
      </c>
      <c r="N1436" s="24">
        <v>4.5717771759693326E-2</v>
      </c>
      <c r="O1436" s="24">
        <v>0</v>
      </c>
      <c r="P1436" s="24">
        <v>5.7446808510638299</v>
      </c>
      <c r="Q1436" s="24">
        <v>2.078019525954816</v>
      </c>
      <c r="R1436" s="24">
        <v>2.78</v>
      </c>
      <c r="S1436" s="24">
        <v>2.1985971827223239</v>
      </c>
      <c r="T1436" s="24">
        <v>0.37258162248357762</v>
      </c>
      <c r="U1436" s="24" t="s">
        <v>3515</v>
      </c>
      <c r="V1436">
        <v>0</v>
      </c>
      <c r="W1436" s="21">
        <v>0</v>
      </c>
      <c r="X1436" s="56" t="str">
        <f>IFERROR(VLOOKUP(A1436,Output!A:F,6,0),"-")</f>
        <v>-</v>
      </c>
    </row>
    <row r="1437" spans="1:24" hidden="1" x14ac:dyDescent="0.25">
      <c r="A1437" s="21" t="s">
        <v>2091</v>
      </c>
      <c r="B1437" s="40" t="s">
        <v>2092</v>
      </c>
      <c r="C1437" s="21" t="s">
        <v>298</v>
      </c>
      <c r="D1437" s="21" t="s">
        <v>74</v>
      </c>
      <c r="E1437" s="21" t="s">
        <v>90</v>
      </c>
      <c r="F1437" s="55">
        <v>3.3592992904730311E-5</v>
      </c>
      <c r="G1437" s="24">
        <v>8.0937219999999996</v>
      </c>
      <c r="H1437" s="24">
        <v>6.0932779999999998</v>
      </c>
      <c r="I1437" s="24">
        <v>5.6725199999999996</v>
      </c>
      <c r="J1437" s="24">
        <v>6.7672280000000002</v>
      </c>
      <c r="K1437" s="24">
        <v>3.6051880000000001</v>
      </c>
      <c r="L1437" s="24">
        <v>7.1072689999999996</v>
      </c>
      <c r="M1437" s="24">
        <v>78.311099999999996</v>
      </c>
      <c r="N1437" s="24">
        <v>4.9558064587507742</v>
      </c>
      <c r="O1437" s="24">
        <v>0.73684210526315796</v>
      </c>
      <c r="P1437" s="24">
        <v>1.446808510638298</v>
      </c>
      <c r="Q1437" s="24">
        <v>6.4532818768091493</v>
      </c>
      <c r="R1437" s="24">
        <v>4.07</v>
      </c>
      <c r="S1437" s="24">
        <v>5.387078947415012</v>
      </c>
      <c r="T1437" s="24">
        <v>0.12622608386857842</v>
      </c>
      <c r="U1437" s="24" t="s">
        <v>3713</v>
      </c>
      <c r="V1437">
        <v>0</v>
      </c>
      <c r="W1437" s="21">
        <v>0</v>
      </c>
      <c r="X1437" s="56" t="str">
        <f>IFERROR(VLOOKUP(A1437,Output!A:F,6,0),"-")</f>
        <v>-</v>
      </c>
    </row>
    <row r="1438" spans="1:24" hidden="1" x14ac:dyDescent="0.25">
      <c r="A1438" s="21" t="s">
        <v>1486</v>
      </c>
      <c r="B1438" s="40" t="s">
        <v>1487</v>
      </c>
      <c r="C1438" s="21" t="s">
        <v>258</v>
      </c>
      <c r="D1438" s="21" t="s">
        <v>74</v>
      </c>
      <c r="E1438" s="21" t="s">
        <v>91</v>
      </c>
      <c r="F1438" s="55">
        <v>3.350404605970293E-5</v>
      </c>
      <c r="G1438" s="24">
        <v>4.7085460000000001</v>
      </c>
      <c r="H1438" s="24">
        <v>6.9510860000000001</v>
      </c>
      <c r="I1438" s="24">
        <v>3.3909539999999998</v>
      </c>
      <c r="J1438" s="24">
        <v>5.0785260000000001</v>
      </c>
      <c r="K1438" s="24">
        <v>0.86041780000000001</v>
      </c>
      <c r="L1438" s="24">
        <v>3.7377530000000001</v>
      </c>
      <c r="M1438" s="24">
        <v>15.5824</v>
      </c>
      <c r="N1438" s="24">
        <v>1.9920354948805465</v>
      </c>
      <c r="O1438" s="24">
        <v>7.5257731958762886</v>
      </c>
      <c r="P1438" s="24">
        <v>7.5213675213675231</v>
      </c>
      <c r="Q1438" s="24">
        <v>5.1060914939666162</v>
      </c>
      <c r="R1438" s="24">
        <v>3.09</v>
      </c>
      <c r="S1438" s="24">
        <v>4.6442613066983149</v>
      </c>
      <c r="T1438" s="24">
        <v>0.4796434236613909</v>
      </c>
      <c r="U1438" s="24" t="s">
        <v>3387</v>
      </c>
      <c r="V1438">
        <v>0</v>
      </c>
      <c r="W1438" s="21">
        <v>0</v>
      </c>
      <c r="X1438" s="56" t="str">
        <f>IFERROR(VLOOKUP(A1438,Output!A:F,6,0),"-")</f>
        <v>-</v>
      </c>
    </row>
    <row r="1439" spans="1:24" hidden="1" x14ac:dyDescent="0.25">
      <c r="A1439" s="21" t="s">
        <v>420</v>
      </c>
      <c r="B1439" s="40" t="s">
        <v>697</v>
      </c>
      <c r="C1439" s="21" t="s">
        <v>245</v>
      </c>
      <c r="D1439" s="21" t="s">
        <v>73</v>
      </c>
      <c r="E1439" s="21" t="s">
        <v>89</v>
      </c>
      <c r="F1439" s="55">
        <v>3.312815735662486E-5</v>
      </c>
      <c r="G1439" s="21">
        <v>7.5456580000000004</v>
      </c>
      <c r="H1439" s="21">
        <v>5.6885669999999999</v>
      </c>
      <c r="I1439" s="21">
        <v>4.7986209999999998</v>
      </c>
      <c r="J1439" s="21">
        <v>5.9342129999999997</v>
      </c>
      <c r="K1439" s="24">
        <v>6.5808720000000003</v>
      </c>
      <c r="L1439" s="24">
        <v>10.60731</v>
      </c>
      <c r="M1439" s="24">
        <v>1.3965999999999999E-2</v>
      </c>
      <c r="N1439" s="24">
        <v>6.9487851562500005</v>
      </c>
      <c r="O1439" s="24">
        <v>4.2268041237113394</v>
      </c>
      <c r="P1439" s="24">
        <v>5.6476683937823848</v>
      </c>
      <c r="Q1439" s="24">
        <v>6.489596040798272</v>
      </c>
      <c r="R1439" s="24">
        <v>7.6799989999999996</v>
      </c>
      <c r="S1439" s="24">
        <v>7.3835142624901788</v>
      </c>
      <c r="T1439" s="24">
        <v>0.94356686940508017</v>
      </c>
      <c r="U1439" s="24" t="s">
        <v>2923</v>
      </c>
      <c r="V1439">
        <v>0</v>
      </c>
      <c r="W1439" s="21">
        <v>0</v>
      </c>
      <c r="X1439" s="56" t="str">
        <f>IFERROR(VLOOKUP(A1439,Output!A:F,6,0),"-")</f>
        <v>-</v>
      </c>
    </row>
    <row r="1440" spans="1:24" x14ac:dyDescent="0.25">
      <c r="A1440" s="21" t="s">
        <v>1218</v>
      </c>
      <c r="B1440" s="40" t="s">
        <v>1219</v>
      </c>
      <c r="C1440" s="21" t="s">
        <v>255</v>
      </c>
      <c r="D1440" s="21" t="s">
        <v>75</v>
      </c>
      <c r="E1440" s="21" t="s">
        <v>97</v>
      </c>
      <c r="F1440" s="55">
        <v>3.2729943910970644E-5</v>
      </c>
      <c r="G1440" s="21">
        <v>5.6022239999999996</v>
      </c>
      <c r="H1440" s="21">
        <v>4.195837</v>
      </c>
      <c r="I1440" s="21">
        <v>4.3067169999999999</v>
      </c>
      <c r="J1440" s="21">
        <v>4.8027439999999997</v>
      </c>
      <c r="K1440" s="24">
        <v>6.6550479999999999</v>
      </c>
      <c r="L1440" s="24">
        <v>4.8221550000000004</v>
      </c>
      <c r="M1440" s="24">
        <v>67.847099999999998</v>
      </c>
      <c r="N1440" s="24">
        <v>5.4304304304304303</v>
      </c>
      <c r="O1440" s="24">
        <v>5.3846153846153832</v>
      </c>
      <c r="P1440" s="24">
        <v>5.8474576271186436</v>
      </c>
      <c r="Q1440" s="24">
        <v>5.7934719027779309</v>
      </c>
      <c r="R1440" s="24">
        <v>6.07</v>
      </c>
      <c r="S1440" s="24">
        <v>5.2756594449212644</v>
      </c>
      <c r="T1440" s="24">
        <v>0.38552513700020763</v>
      </c>
      <c r="U1440" s="24" t="s">
        <v>3222</v>
      </c>
      <c r="V1440">
        <v>0</v>
      </c>
      <c r="W1440" s="21">
        <v>0</v>
      </c>
      <c r="X1440" s="56" t="str">
        <f>IFERROR(VLOOKUP(A1440,Output!A:F,6,0),"-")</f>
        <v>-</v>
      </c>
    </row>
    <row r="1441" spans="1:24" x14ac:dyDescent="0.25">
      <c r="A1441" s="21" t="s">
        <v>1059</v>
      </c>
      <c r="B1441" s="40" t="s">
        <v>1060</v>
      </c>
      <c r="C1441" s="21" t="s">
        <v>248</v>
      </c>
      <c r="D1441" s="21" t="s">
        <v>75</v>
      </c>
      <c r="E1441" s="21" t="s">
        <v>93</v>
      </c>
      <c r="F1441" s="55">
        <v>3.2636962716338463E-5</v>
      </c>
      <c r="G1441" s="24">
        <v>7.0098019999999996</v>
      </c>
      <c r="H1441" s="24">
        <v>7.6145949999999996</v>
      </c>
      <c r="I1441" s="24">
        <v>3.284481</v>
      </c>
      <c r="J1441" s="24">
        <v>5.9176169999999999</v>
      </c>
      <c r="K1441" s="24">
        <v>3.3127749999999998</v>
      </c>
      <c r="L1441" s="24">
        <v>9.1628329999999991</v>
      </c>
      <c r="M1441" s="24">
        <v>0.45837</v>
      </c>
      <c r="N1441" s="24">
        <v>0.97248760300245163</v>
      </c>
      <c r="O1441" s="24">
        <v>3.333333333333333</v>
      </c>
      <c r="P1441" s="24">
        <v>0.44198895027624308</v>
      </c>
      <c r="Q1441" s="24">
        <v>9.9482839680300899</v>
      </c>
      <c r="R1441" s="24">
        <v>4.4400009999999996</v>
      </c>
      <c r="S1441" s="24">
        <v>3.9724736049439482</v>
      </c>
      <c r="T1441" s="24">
        <v>0.26107337548536874</v>
      </c>
      <c r="U1441" s="24" t="s">
        <v>3176</v>
      </c>
      <c r="V1441">
        <v>0</v>
      </c>
      <c r="W1441" s="21">
        <v>0</v>
      </c>
      <c r="X1441" s="56" t="str">
        <f>IFERROR(VLOOKUP(A1441,Output!A:F,6,0),"-")</f>
        <v>-</v>
      </c>
    </row>
    <row r="1442" spans="1:24" hidden="1" x14ac:dyDescent="0.25">
      <c r="A1442" s="21" t="s">
        <v>4145</v>
      </c>
      <c r="B1442" s="40" t="s">
        <v>4146</v>
      </c>
      <c r="C1442" s="21" t="s">
        <v>246</v>
      </c>
      <c r="D1442" s="21" t="s">
        <v>74</v>
      </c>
      <c r="E1442" s="21" t="s">
        <v>103</v>
      </c>
      <c r="F1442" s="55">
        <v>3.240316159298235E-5</v>
      </c>
      <c r="G1442" s="24">
        <v>5.4637479999999998</v>
      </c>
      <c r="H1442" s="24">
        <v>6.1992779999999996</v>
      </c>
      <c r="I1442" s="24">
        <v>6.2430260000000004</v>
      </c>
      <c r="J1442" s="24">
        <v>5.9181900000000001</v>
      </c>
      <c r="K1442" s="24">
        <v>0</v>
      </c>
      <c r="L1442" s="24">
        <v>17.821529999999999</v>
      </c>
      <c r="M1442" s="24">
        <v>32.866</v>
      </c>
      <c r="N1442" s="24">
        <v>8.7134105533881261</v>
      </c>
      <c r="O1442" s="24">
        <v>4.7474747474747474</v>
      </c>
      <c r="P1442" s="24">
        <v>5.6973293768545998</v>
      </c>
      <c r="Q1442" s="24">
        <v>9.0058853233833105</v>
      </c>
      <c r="R1442" s="24" t="e">
        <v>#N/A</v>
      </c>
      <c r="S1442" s="24">
        <v>5.865589489515056</v>
      </c>
      <c r="T1442" s="24">
        <v>1.0411728924549748</v>
      </c>
      <c r="U1442" s="24" t="s">
        <v>4147</v>
      </c>
      <c r="V1442">
        <v>0</v>
      </c>
      <c r="W1442" s="21">
        <v>0</v>
      </c>
      <c r="X1442" s="56" t="str">
        <f>IFERROR(VLOOKUP(A1442,Output!A:F,6,0),"-")</f>
        <v>-</v>
      </c>
    </row>
    <row r="1443" spans="1:24" x14ac:dyDescent="0.25">
      <c r="A1443" s="21" t="s">
        <v>548</v>
      </c>
      <c r="B1443" s="40" t="s">
        <v>937</v>
      </c>
      <c r="C1443" s="21" t="s">
        <v>248</v>
      </c>
      <c r="D1443" s="21" t="s">
        <v>75</v>
      </c>
      <c r="E1443" s="21" t="s">
        <v>99</v>
      </c>
      <c r="F1443" s="55">
        <v>3.2296326783871864E-5</v>
      </c>
      <c r="G1443" s="24">
        <v>4.2281899999999997</v>
      </c>
      <c r="H1443" s="24">
        <v>3.3170250000000001</v>
      </c>
      <c r="I1443" s="24">
        <v>2.7415600000000002</v>
      </c>
      <c r="J1443" s="24">
        <v>3.5088520000000001</v>
      </c>
      <c r="K1443" s="24">
        <v>2.8673829999999998</v>
      </c>
      <c r="L1443" s="24">
        <v>3.9575990000000001</v>
      </c>
      <c r="M1443" s="24">
        <v>136.87090000000001</v>
      </c>
      <c r="N1443" s="24">
        <v>2.9411760468893182</v>
      </c>
      <c r="O1443" s="24">
        <v>0.66666666666666674</v>
      </c>
      <c r="P1443" s="24">
        <v>5.4260089686098647</v>
      </c>
      <c r="Q1443" s="24">
        <v>6.1255068391998027</v>
      </c>
      <c r="R1443" s="24">
        <v>6.69</v>
      </c>
      <c r="S1443" s="24">
        <v>5.6004740862207676</v>
      </c>
      <c r="T1443" s="24">
        <v>0.2430764609762292</v>
      </c>
      <c r="U1443" s="24" t="s">
        <v>3068</v>
      </c>
      <c r="V1443">
        <v>0</v>
      </c>
      <c r="W1443" s="21">
        <v>1</v>
      </c>
      <c r="X1443" s="56" t="str">
        <f>IFERROR(VLOOKUP(A1443,Output!A:F,6,0),"-")</f>
        <v>-</v>
      </c>
    </row>
    <row r="1444" spans="1:24" x14ac:dyDescent="0.25">
      <c r="A1444" s="21" t="s">
        <v>1061</v>
      </c>
      <c r="B1444" s="40" t="s">
        <v>1062</v>
      </c>
      <c r="C1444" s="21" t="s">
        <v>248</v>
      </c>
      <c r="D1444" s="21" t="s">
        <v>75</v>
      </c>
      <c r="E1444" s="21" t="s">
        <v>100</v>
      </c>
      <c r="F1444" s="55">
        <v>3.219832528885866E-5</v>
      </c>
      <c r="G1444" s="21">
        <v>3.5705450000000001</v>
      </c>
      <c r="H1444" s="21">
        <v>4.568695</v>
      </c>
      <c r="I1444" s="21">
        <v>0.64653579999999999</v>
      </c>
      <c r="J1444" s="21">
        <v>2.9927869999999999</v>
      </c>
      <c r="K1444" s="24">
        <v>2.1318679999999999</v>
      </c>
      <c r="L1444" s="24">
        <v>9.6306729999999998</v>
      </c>
      <c r="M1444" s="24">
        <v>4.6101000000000001</v>
      </c>
      <c r="N1444" s="57">
        <v>10</v>
      </c>
      <c r="O1444" s="24">
        <v>2.1212121212121202</v>
      </c>
      <c r="P1444" s="24">
        <v>7.2820512820512819</v>
      </c>
      <c r="Q1444" s="24">
        <v>5.4903328690274069</v>
      </c>
      <c r="R1444" s="24">
        <v>4.34</v>
      </c>
      <c r="S1444" s="24">
        <v>6.8786824102343882</v>
      </c>
      <c r="T1444" s="24">
        <v>0.46001368962203121</v>
      </c>
      <c r="U1444" s="24" t="s">
        <v>3160</v>
      </c>
      <c r="V1444">
        <v>0</v>
      </c>
      <c r="W1444" s="21">
        <v>1</v>
      </c>
      <c r="X1444" s="56" t="str">
        <f>IFERROR(VLOOKUP(A1444,Output!A:F,6,0),"-")</f>
        <v>-</v>
      </c>
    </row>
    <row r="1445" spans="1:24" x14ac:dyDescent="0.25">
      <c r="A1445" s="21" t="s">
        <v>501</v>
      </c>
      <c r="B1445" s="40" t="s">
        <v>895</v>
      </c>
      <c r="C1445" s="21" t="s">
        <v>248</v>
      </c>
      <c r="D1445" s="21" t="s">
        <v>75</v>
      </c>
      <c r="E1445" s="21" t="s">
        <v>98</v>
      </c>
      <c r="F1445" s="55">
        <v>3.1414041689253423E-5</v>
      </c>
      <c r="G1445" s="24">
        <v>2.9227810000000001</v>
      </c>
      <c r="H1445" s="24">
        <v>5.374619</v>
      </c>
      <c r="I1445" s="24">
        <v>1.070592</v>
      </c>
      <c r="J1445" s="24">
        <v>3.1626409999999998</v>
      </c>
      <c r="K1445" s="24">
        <v>2.9837020000000001</v>
      </c>
      <c r="L1445" s="24">
        <v>5.2125469999999998</v>
      </c>
      <c r="M1445" s="24">
        <v>76.144099999999995</v>
      </c>
      <c r="N1445" s="24">
        <v>3.3420836619629117</v>
      </c>
      <c r="O1445" s="24">
        <v>6.236559139784946</v>
      </c>
      <c r="P1445" s="24">
        <v>7.1590909090909092</v>
      </c>
      <c r="Q1445" s="24">
        <v>3.172851335361174</v>
      </c>
      <c r="R1445" s="24">
        <v>6.45</v>
      </c>
      <c r="S1445" s="24">
        <v>5.5205103353567555</v>
      </c>
      <c r="T1445" s="24">
        <v>0.10733496793942625</v>
      </c>
      <c r="U1445" s="24" t="s">
        <v>2999</v>
      </c>
      <c r="V1445">
        <v>0</v>
      </c>
      <c r="W1445" s="21">
        <v>1</v>
      </c>
      <c r="X1445" s="56" t="str">
        <f>IFERROR(VLOOKUP(A1445,Output!A:F,6,0),"-")</f>
        <v>-</v>
      </c>
    </row>
    <row r="1446" spans="1:24" x14ac:dyDescent="0.25">
      <c r="A1446" s="21" t="s">
        <v>1290</v>
      </c>
      <c r="B1446" s="40" t="s">
        <v>1291</v>
      </c>
      <c r="C1446" s="21" t="s">
        <v>253</v>
      </c>
      <c r="D1446" s="21" t="s">
        <v>75</v>
      </c>
      <c r="E1446" s="21" t="s">
        <v>97</v>
      </c>
      <c r="F1446" s="55">
        <v>3.1130228715808962E-5</v>
      </c>
      <c r="G1446" s="24">
        <v>4.0491989999999998</v>
      </c>
      <c r="H1446" s="24">
        <v>5.0733259999999998</v>
      </c>
      <c r="I1446" s="24">
        <v>6.0003419999999998</v>
      </c>
      <c r="J1446" s="24">
        <v>5.0344819999999997</v>
      </c>
      <c r="K1446" s="24">
        <v>2.9513590000000001</v>
      </c>
      <c r="L1446" s="24">
        <v>7.4037579999999998</v>
      </c>
      <c r="M1446" s="24">
        <v>163.23490000000001</v>
      </c>
      <c r="N1446" s="24">
        <v>7.8978978978978986</v>
      </c>
      <c r="O1446" s="24">
        <v>0.98901098901098894</v>
      </c>
      <c r="P1446" s="24">
        <v>2.7966101694915251</v>
      </c>
      <c r="Q1446" s="24">
        <v>8.0295361071133016</v>
      </c>
      <c r="R1446" s="24">
        <v>3.24</v>
      </c>
      <c r="S1446" s="24">
        <v>4.4897444484802262</v>
      </c>
      <c r="T1446" s="24">
        <v>0.66772566738806238</v>
      </c>
      <c r="U1446" s="24" t="s">
        <v>3218</v>
      </c>
      <c r="V1446">
        <v>0</v>
      </c>
      <c r="W1446" s="21">
        <v>0</v>
      </c>
      <c r="X1446" s="56" t="str">
        <f>IFERROR(VLOOKUP(A1446,Output!A:F,6,0),"-")</f>
        <v>-</v>
      </c>
    </row>
    <row r="1447" spans="1:24" x14ac:dyDescent="0.25">
      <c r="A1447" s="21" t="s">
        <v>1939</v>
      </c>
      <c r="B1447" s="40" t="s">
        <v>1940</v>
      </c>
      <c r="C1447" s="21" t="s">
        <v>253</v>
      </c>
      <c r="D1447" s="21" t="s">
        <v>75</v>
      </c>
      <c r="E1447" s="21" t="s">
        <v>97</v>
      </c>
      <c r="F1447" s="55">
        <v>3.1076967252447915E-5</v>
      </c>
      <c r="G1447" s="21">
        <v>4.6410590000000003</v>
      </c>
      <c r="H1447" s="21">
        <v>4.8024820000000004</v>
      </c>
      <c r="I1447" s="21">
        <v>5.7698109999999998</v>
      </c>
      <c r="J1447" s="21">
        <v>5.1248449999999997</v>
      </c>
      <c r="K1447" s="24">
        <v>6.8348329999999997</v>
      </c>
      <c r="L1447" s="24">
        <v>8.2132629999999995</v>
      </c>
      <c r="M1447" s="24">
        <v>66.743799999999993</v>
      </c>
      <c r="N1447" s="24">
        <v>2.686018018018018</v>
      </c>
      <c r="O1447" s="24">
        <v>2.8571428571428563</v>
      </c>
      <c r="P1447" s="24">
        <v>4.8728813559322033</v>
      </c>
      <c r="Q1447" s="24">
        <v>8.4073534753328865</v>
      </c>
      <c r="R1447" s="24">
        <v>8.1199999999999992</v>
      </c>
      <c r="S1447" s="24">
        <v>5.7352093993721986</v>
      </c>
      <c r="T1447" s="24">
        <v>0.46912516807625193</v>
      </c>
      <c r="U1447" s="24" t="s">
        <v>3632</v>
      </c>
      <c r="V1447">
        <v>0</v>
      </c>
      <c r="W1447" s="21">
        <v>0</v>
      </c>
      <c r="X1447" s="56" t="str">
        <f>IFERROR(VLOOKUP(A1447,Output!A:F,6,0),"-")</f>
        <v>-</v>
      </c>
    </row>
    <row r="1448" spans="1:24" x14ac:dyDescent="0.25">
      <c r="A1448" s="21" t="s">
        <v>1564</v>
      </c>
      <c r="B1448" s="40" t="s">
        <v>1565</v>
      </c>
      <c r="C1448" s="21" t="s">
        <v>248</v>
      </c>
      <c r="D1448" s="21" t="s">
        <v>75</v>
      </c>
      <c r="E1448" s="21" t="s">
        <v>101</v>
      </c>
      <c r="F1448" s="55">
        <v>2.9352458859037202E-5</v>
      </c>
      <c r="G1448" s="21">
        <v>4.5208740000000001</v>
      </c>
      <c r="H1448" s="21">
        <v>5.9862460000000004</v>
      </c>
      <c r="I1448" s="21">
        <v>2.6306729999999998</v>
      </c>
      <c r="J1448" s="21">
        <v>4.3934249999999997</v>
      </c>
      <c r="K1448" s="21">
        <v>0.93363200000000002</v>
      </c>
      <c r="L1448" s="21">
        <v>8.8045059999999999</v>
      </c>
      <c r="M1448" s="21">
        <v>976.9778</v>
      </c>
      <c r="N1448" s="21">
        <v>6.6211602321428327</v>
      </c>
      <c r="O1448" s="21">
        <v>8.387096774193548</v>
      </c>
      <c r="P1448" s="21">
        <v>5.4166666666666661</v>
      </c>
      <c r="Q1448" s="21">
        <v>7.7842711212911331</v>
      </c>
      <c r="R1448" s="21" t="e">
        <v>#N/A</v>
      </c>
      <c r="S1448" s="21">
        <v>6.563769393831425</v>
      </c>
      <c r="T1448" s="21">
        <v>0.24283901022108709</v>
      </c>
      <c r="U1448" s="21" t="s">
        <v>3423</v>
      </c>
      <c r="V1448">
        <v>0</v>
      </c>
      <c r="W1448" s="21">
        <v>1</v>
      </c>
      <c r="X1448" s="56" t="str">
        <f>IFERROR(VLOOKUP(A1448,Output!A:F,6,0),"-")</f>
        <v>-</v>
      </c>
    </row>
    <row r="1449" spans="1:24" x14ac:dyDescent="0.25">
      <c r="A1449" s="21" t="s">
        <v>426</v>
      </c>
      <c r="B1449" s="40" t="s">
        <v>862</v>
      </c>
      <c r="C1449" s="21" t="s">
        <v>248</v>
      </c>
      <c r="D1449" s="21" t="s">
        <v>75</v>
      </c>
      <c r="E1449" s="21" t="s">
        <v>92</v>
      </c>
      <c r="F1449" s="55">
        <v>2.921133710864707E-5</v>
      </c>
      <c r="G1449" s="21">
        <v>5.4250889999999998</v>
      </c>
      <c r="H1449" s="21">
        <v>3.503193</v>
      </c>
      <c r="I1449" s="21">
        <v>2.4882740000000001</v>
      </c>
      <c r="J1449" s="21">
        <v>3.967476</v>
      </c>
      <c r="K1449" s="24">
        <v>1.8089770000000001</v>
      </c>
      <c r="L1449" s="24">
        <v>5.1369730000000002</v>
      </c>
      <c r="M1449" s="24">
        <v>10.050000000000001</v>
      </c>
      <c r="N1449" s="24">
        <v>4.3626816675618043</v>
      </c>
      <c r="O1449" s="24">
        <v>6.1052631578947372</v>
      </c>
      <c r="P1449" s="24">
        <v>9.3828571710693875</v>
      </c>
      <c r="Q1449" s="24">
        <v>3.1848154576926735</v>
      </c>
      <c r="R1449" s="24">
        <v>5.0199999999999996</v>
      </c>
      <c r="S1449" s="24">
        <v>5.5318896376351088</v>
      </c>
      <c r="T1449" s="24">
        <v>0.31843136469092787</v>
      </c>
      <c r="U1449" s="24" t="s">
        <v>2977</v>
      </c>
      <c r="V1449">
        <v>0</v>
      </c>
      <c r="W1449" s="21">
        <v>1</v>
      </c>
      <c r="X1449" s="56" t="str">
        <f>IFERROR(VLOOKUP(A1449,Output!A:F,6,0),"-")</f>
        <v>-</v>
      </c>
    </row>
    <row r="1450" spans="1:24" x14ac:dyDescent="0.25">
      <c r="A1450" s="21" t="s">
        <v>488</v>
      </c>
      <c r="B1450" s="40" t="s">
        <v>869</v>
      </c>
      <c r="C1450" s="21" t="s">
        <v>248</v>
      </c>
      <c r="D1450" s="21" t="s">
        <v>75</v>
      </c>
      <c r="E1450" s="21" t="s">
        <v>97</v>
      </c>
      <c r="F1450" s="55">
        <v>2.9085900024176826E-5</v>
      </c>
      <c r="G1450" s="21">
        <v>6.1522629999999996</v>
      </c>
      <c r="H1450" s="21">
        <v>6.1782700000000004</v>
      </c>
      <c r="I1450" s="21">
        <v>5.7609630000000003</v>
      </c>
      <c r="J1450" s="21">
        <v>6.0009449999999998</v>
      </c>
      <c r="K1450" s="24">
        <v>3.0981890000000001</v>
      </c>
      <c r="L1450" s="24">
        <v>11.465</v>
      </c>
      <c r="M1450" s="24">
        <v>29.445</v>
      </c>
      <c r="N1450" s="24">
        <v>8.0680680680680688</v>
      </c>
      <c r="O1450" s="24">
        <v>7.3626373626373622</v>
      </c>
      <c r="P1450" s="24">
        <v>7.4576271186440675</v>
      </c>
      <c r="Q1450" s="24">
        <v>8.4839766309157145</v>
      </c>
      <c r="R1450" s="24">
        <v>4.1900000000000004</v>
      </c>
      <c r="S1450" s="24">
        <v>7.1660818235764543</v>
      </c>
      <c r="T1450" s="24">
        <v>0.37567093948835478</v>
      </c>
      <c r="U1450" s="24" t="s">
        <v>3019</v>
      </c>
      <c r="V1450">
        <v>0</v>
      </c>
      <c r="W1450" s="21">
        <v>0</v>
      </c>
      <c r="X1450" s="56" t="str">
        <f>IFERROR(VLOOKUP(A1450,Output!A:F,6,0),"-")</f>
        <v>-</v>
      </c>
    </row>
    <row r="1451" spans="1:24" hidden="1" x14ac:dyDescent="0.25">
      <c r="A1451" s="21" t="s">
        <v>1840</v>
      </c>
      <c r="B1451" s="40" t="s">
        <v>4484</v>
      </c>
      <c r="C1451" s="21" t="s">
        <v>256</v>
      </c>
      <c r="D1451" s="21" t="s">
        <v>74</v>
      </c>
      <c r="E1451" s="21" t="s">
        <v>102</v>
      </c>
      <c r="F1451" s="55">
        <v>2.880065842817904E-5</v>
      </c>
      <c r="G1451" s="24">
        <v>6.3500249999999996</v>
      </c>
      <c r="H1451" s="24">
        <v>7.5610379999999999</v>
      </c>
      <c r="I1451" s="24">
        <v>4.2667549999999999</v>
      </c>
      <c r="J1451" s="24">
        <v>6.175573</v>
      </c>
      <c r="K1451" s="24">
        <v>5.1880179999999996</v>
      </c>
      <c r="L1451" s="24">
        <v>6.1931510000000003</v>
      </c>
      <c r="M1451" s="24">
        <v>334.74419999999998</v>
      </c>
      <c r="N1451" s="24">
        <v>0.10007090206885472</v>
      </c>
      <c r="O1451" s="24">
        <v>5.3846153846153841</v>
      </c>
      <c r="P1451" s="24">
        <v>5.4573170731707323</v>
      </c>
      <c r="Q1451" s="24">
        <v>3.8401771213370188</v>
      </c>
      <c r="R1451" s="24">
        <v>4.47</v>
      </c>
      <c r="S1451" s="24">
        <v>4.7830896210251765</v>
      </c>
      <c r="T1451" s="24">
        <v>9.2162148797766241E-2</v>
      </c>
      <c r="U1451" s="24" t="s">
        <v>3569</v>
      </c>
      <c r="V1451">
        <v>0</v>
      </c>
      <c r="W1451" s="21">
        <v>0</v>
      </c>
      <c r="X1451" s="56" t="str">
        <f>IFERROR(VLOOKUP(A1451,Output!A:F,6,0),"-")</f>
        <v>-</v>
      </c>
    </row>
    <row r="1452" spans="1:24" x14ac:dyDescent="0.25">
      <c r="A1452" s="21" t="s">
        <v>4151</v>
      </c>
      <c r="B1452" s="40" t="s">
        <v>4152</v>
      </c>
      <c r="C1452" s="21" t="s">
        <v>255</v>
      </c>
      <c r="D1452" s="21" t="s">
        <v>75</v>
      </c>
      <c r="E1452" s="21" t="s">
        <v>103</v>
      </c>
      <c r="F1452" s="55">
        <v>2.8739358447775026E-5</v>
      </c>
      <c r="G1452" s="24">
        <v>5.1965170000000001</v>
      </c>
      <c r="H1452" s="24">
        <v>6.7372310000000004</v>
      </c>
      <c r="I1452" s="24">
        <v>5.829332</v>
      </c>
      <c r="J1452" s="24">
        <v>5.8485760000000004</v>
      </c>
      <c r="K1452" s="24">
        <v>5.9511859999999999</v>
      </c>
      <c r="L1452" s="24">
        <v>12.044729999999999</v>
      </c>
      <c r="M1452" s="24">
        <v>44.015700000000002</v>
      </c>
      <c r="N1452" s="24">
        <v>4.153320249583631</v>
      </c>
      <c r="O1452" s="24">
        <v>3.5483870967741931</v>
      </c>
      <c r="P1452" s="24">
        <v>5.6060606060606055</v>
      </c>
      <c r="Q1452" s="24">
        <v>8.5513820466973591</v>
      </c>
      <c r="R1452" s="24">
        <v>7.12</v>
      </c>
      <c r="S1452" s="24">
        <v>7.1216919082311634</v>
      </c>
      <c r="T1452" s="24">
        <v>0.46431512366660505</v>
      </c>
      <c r="U1452" s="24" t="s">
        <v>4153</v>
      </c>
      <c r="V1452">
        <v>1</v>
      </c>
      <c r="W1452" s="21">
        <v>0</v>
      </c>
      <c r="X1452" s="56" t="str">
        <f>IFERROR(VLOOKUP(A1452,Output!A:F,6,0),"-")</f>
        <v>-</v>
      </c>
    </row>
    <row r="1453" spans="1:24" x14ac:dyDescent="0.25">
      <c r="A1453" s="21" t="s">
        <v>517</v>
      </c>
      <c r="B1453" s="40" t="s">
        <v>947</v>
      </c>
      <c r="C1453" s="21" t="s">
        <v>248</v>
      </c>
      <c r="D1453" s="21" t="s">
        <v>75</v>
      </c>
      <c r="E1453" s="21" t="s">
        <v>92</v>
      </c>
      <c r="F1453" s="55">
        <v>2.8380512608114721E-5</v>
      </c>
      <c r="G1453" s="24">
        <v>6.4729099999999997</v>
      </c>
      <c r="H1453" s="24">
        <v>5.3967530000000004</v>
      </c>
      <c r="I1453" s="24">
        <v>3.2997169999999998</v>
      </c>
      <c r="J1453" s="24">
        <v>5.198105</v>
      </c>
      <c r="K1453" s="24">
        <v>3.3257819999999998</v>
      </c>
      <c r="L1453" s="24">
        <v>13.03458</v>
      </c>
      <c r="M1453" s="24">
        <v>48.102600000000002</v>
      </c>
      <c r="N1453" s="24">
        <v>9.7634690947142282</v>
      </c>
      <c r="O1453" s="24">
        <v>5.1578947368421062</v>
      </c>
      <c r="P1453" s="24">
        <v>6.7428572917550955</v>
      </c>
      <c r="Q1453" s="24">
        <v>8.4641953394555074</v>
      </c>
      <c r="R1453" s="24">
        <v>6.72</v>
      </c>
      <c r="S1453" s="24">
        <v>7.7493585131239584</v>
      </c>
      <c r="T1453" s="24">
        <v>0.15062842799183834</v>
      </c>
      <c r="U1453" s="24" t="s">
        <v>3087</v>
      </c>
      <c r="V1453">
        <v>0</v>
      </c>
      <c r="W1453" s="21">
        <v>0</v>
      </c>
      <c r="X1453" s="56" t="str">
        <f>IFERROR(VLOOKUP(A1453,Output!A:F,6,0),"-")</f>
        <v>-</v>
      </c>
    </row>
    <row r="1454" spans="1:24" x14ac:dyDescent="0.25">
      <c r="A1454" s="21" t="s">
        <v>595</v>
      </c>
      <c r="B1454" s="40" t="s">
        <v>966</v>
      </c>
      <c r="C1454" s="21" t="s">
        <v>255</v>
      </c>
      <c r="D1454" s="21" t="s">
        <v>75</v>
      </c>
      <c r="E1454" s="21" t="s">
        <v>97</v>
      </c>
      <c r="F1454" s="55">
        <v>2.7515642623635681E-5</v>
      </c>
      <c r="G1454" s="21">
        <v>7.216043</v>
      </c>
      <c r="H1454" s="21">
        <v>4.9385709999999996</v>
      </c>
      <c r="I1454" s="21">
        <v>7.3028709999999997</v>
      </c>
      <c r="J1454" s="21">
        <v>6.79528</v>
      </c>
      <c r="K1454" s="24">
        <v>2.2602090000000001</v>
      </c>
      <c r="L1454" s="24">
        <v>5.47818</v>
      </c>
      <c r="M1454" s="24">
        <v>8.9254999999999995</v>
      </c>
      <c r="N1454" s="24">
        <v>8.7854534534534547</v>
      </c>
      <c r="O1454" s="24">
        <v>2.4175824175824174</v>
      </c>
      <c r="P1454" s="24">
        <v>3.9406779661016951</v>
      </c>
      <c r="Q1454" s="24">
        <v>8.6304295657129941</v>
      </c>
      <c r="R1454" s="24">
        <v>3.38</v>
      </c>
      <c r="S1454" s="24">
        <v>5.5737203475388659</v>
      </c>
      <c r="T1454" s="24">
        <v>0.31384948955309599</v>
      </c>
      <c r="U1454" s="24" t="s">
        <v>3051</v>
      </c>
      <c r="V1454">
        <v>0</v>
      </c>
      <c r="W1454" s="21">
        <v>0</v>
      </c>
      <c r="X1454" s="56" t="str">
        <f>IFERROR(VLOOKUP(A1454,Output!A:F,6,0),"-")</f>
        <v>-</v>
      </c>
    </row>
    <row r="1455" spans="1:24" x14ac:dyDescent="0.25">
      <c r="A1455" s="21" t="s">
        <v>1032</v>
      </c>
      <c r="B1455" s="40" t="s">
        <v>1033</v>
      </c>
      <c r="C1455" s="21" t="s">
        <v>248</v>
      </c>
      <c r="D1455" s="21" t="s">
        <v>75</v>
      </c>
      <c r="E1455" s="21" t="s">
        <v>103</v>
      </c>
      <c r="F1455" s="55">
        <v>2.6924052036450935E-5</v>
      </c>
      <c r="G1455" s="24">
        <v>5.5940370000000001</v>
      </c>
      <c r="H1455" s="24">
        <v>3.3681000000000001</v>
      </c>
      <c r="I1455" s="24">
        <v>3.0915319999999999</v>
      </c>
      <c r="J1455" s="24">
        <v>4.1755050000000002</v>
      </c>
      <c r="K1455" s="24">
        <v>1.9987379999999999</v>
      </c>
      <c r="L1455" s="24">
        <v>5.3688279999999997</v>
      </c>
      <c r="M1455" s="24">
        <v>10.960599999999999</v>
      </c>
      <c r="N1455" s="24">
        <v>4.0745594158340461</v>
      </c>
      <c r="O1455" s="24">
        <v>1.182795698924731</v>
      </c>
      <c r="P1455" s="24">
        <v>5.2272727272727266</v>
      </c>
      <c r="Q1455" s="24">
        <v>7.5428965815723164</v>
      </c>
      <c r="R1455" s="24">
        <v>5.2</v>
      </c>
      <c r="S1455" s="24">
        <v>5.1577115525972941</v>
      </c>
      <c r="T1455" s="24">
        <v>0.27642379104672155</v>
      </c>
      <c r="U1455" s="24" t="s">
        <v>3158</v>
      </c>
      <c r="V1455">
        <v>0</v>
      </c>
      <c r="W1455" s="21">
        <v>1</v>
      </c>
      <c r="X1455" s="56" t="str">
        <f>IFERROR(VLOOKUP(A1455,Output!A:F,6,0),"-")</f>
        <v>-</v>
      </c>
    </row>
    <row r="1456" spans="1:24" x14ac:dyDescent="0.25">
      <c r="A1456" s="21" t="s">
        <v>1188</v>
      </c>
      <c r="B1456" s="40" t="s">
        <v>1189</v>
      </c>
      <c r="C1456" s="21" t="s">
        <v>248</v>
      </c>
      <c r="D1456" s="21" t="s">
        <v>75</v>
      </c>
      <c r="E1456" s="21" t="s">
        <v>98</v>
      </c>
      <c r="F1456" s="55">
        <v>2.5549334832714708E-5</v>
      </c>
      <c r="G1456" s="24">
        <v>4.9228899999999998</v>
      </c>
      <c r="H1456" s="24">
        <v>7.3827119999999997</v>
      </c>
      <c r="I1456" s="24">
        <v>4.3870149999999999</v>
      </c>
      <c r="J1456" s="24">
        <v>5.692469</v>
      </c>
      <c r="K1456" s="24">
        <v>2.6641689999999998</v>
      </c>
      <c r="L1456" s="24">
        <v>4.160164</v>
      </c>
      <c r="M1456" s="24">
        <v>54.532600000000002</v>
      </c>
      <c r="N1456" s="24">
        <v>5.8283016974692403</v>
      </c>
      <c r="O1456" s="24">
        <v>4.8387096774193541</v>
      </c>
      <c r="P1456" s="24">
        <v>10</v>
      </c>
      <c r="Q1456" s="24">
        <v>1.5628841492208227</v>
      </c>
      <c r="R1456" s="24">
        <v>7.5</v>
      </c>
      <c r="S1456" s="24">
        <v>5.5936661564476662</v>
      </c>
      <c r="T1456" s="24">
        <v>0.33001477079231351</v>
      </c>
      <c r="U1456" s="24" t="s">
        <v>3193</v>
      </c>
      <c r="V1456">
        <v>0</v>
      </c>
      <c r="W1456" s="21">
        <v>0</v>
      </c>
      <c r="X1456" s="56" t="str">
        <f>IFERROR(VLOOKUP(A1456,Output!A:F,6,0),"-")</f>
        <v>-</v>
      </c>
    </row>
    <row r="1457" spans="1:24" x14ac:dyDescent="0.25">
      <c r="A1457" s="21" t="s">
        <v>601</v>
      </c>
      <c r="B1457" s="40" t="s">
        <v>916</v>
      </c>
      <c r="C1457" s="21" t="s">
        <v>248</v>
      </c>
      <c r="D1457" s="21" t="s">
        <v>75</v>
      </c>
      <c r="E1457" s="21" t="s">
        <v>99</v>
      </c>
      <c r="F1457" s="55">
        <v>2.5100113525473693E-5</v>
      </c>
      <c r="G1457" s="21">
        <v>6.9172729999999998</v>
      </c>
      <c r="H1457" s="21">
        <v>5.2241900000000001</v>
      </c>
      <c r="I1457" s="21">
        <v>4.2995219999999996</v>
      </c>
      <c r="J1457" s="21">
        <v>5.6240220000000001</v>
      </c>
      <c r="K1457" s="24">
        <v>2.0563729999999998</v>
      </c>
      <c r="L1457" s="24">
        <v>5.9169460000000003</v>
      </c>
      <c r="M1457" s="24">
        <v>59.448099999999997</v>
      </c>
      <c r="N1457" s="24">
        <v>2.5660265645874287</v>
      </c>
      <c r="O1457" s="24">
        <v>6.8888888888888893</v>
      </c>
      <c r="P1457" s="24">
        <v>6.636771300448431</v>
      </c>
      <c r="Q1457" s="24">
        <v>5.7301433585734038</v>
      </c>
      <c r="R1457" s="24">
        <v>5.77</v>
      </c>
      <c r="S1457" s="24">
        <v>6.4965770944181287</v>
      </c>
      <c r="T1457" s="24">
        <v>0.19893458024935701</v>
      </c>
      <c r="U1457" s="24" t="s">
        <v>3034</v>
      </c>
      <c r="V1457">
        <v>0</v>
      </c>
      <c r="W1457" s="21">
        <v>0</v>
      </c>
      <c r="X1457" s="56" t="str">
        <f>IFERROR(VLOOKUP(A1457,Output!A:F,6,0),"-")</f>
        <v>-</v>
      </c>
    </row>
    <row r="1458" spans="1:24" x14ac:dyDescent="0.25">
      <c r="A1458" s="21" t="s">
        <v>1341</v>
      </c>
      <c r="B1458" s="40" t="s">
        <v>1342</v>
      </c>
      <c r="C1458" s="21" t="s">
        <v>248</v>
      </c>
      <c r="D1458" s="21" t="s">
        <v>75</v>
      </c>
      <c r="E1458" s="21" t="s">
        <v>101</v>
      </c>
      <c r="F1458" s="55">
        <v>2.3798296314845536E-5</v>
      </c>
      <c r="G1458" s="21">
        <v>4.0427350000000004</v>
      </c>
      <c r="H1458" s="21">
        <v>5.1661830000000002</v>
      </c>
      <c r="I1458" s="21">
        <v>4.0633179999999998</v>
      </c>
      <c r="J1458" s="21">
        <v>4.3859440000000003</v>
      </c>
      <c r="K1458" s="24">
        <v>2.3764789999999998</v>
      </c>
      <c r="L1458" s="24">
        <v>7.193092</v>
      </c>
      <c r="M1458" s="24">
        <v>1690.3710000000001</v>
      </c>
      <c r="N1458" s="24">
        <v>7.8262009885114718</v>
      </c>
      <c r="O1458" s="24">
        <v>4.5161290322580641</v>
      </c>
      <c r="P1458" s="24">
        <v>4.0530303030303036</v>
      </c>
      <c r="Q1458" s="24">
        <v>6.6216921643022228</v>
      </c>
      <c r="R1458" s="24">
        <v>5.4</v>
      </c>
      <c r="S1458" s="24">
        <v>6.3963655731333526</v>
      </c>
      <c r="T1458" s="24">
        <v>0.24066270852905264</v>
      </c>
      <c r="U1458" s="24" t="s">
        <v>3296</v>
      </c>
      <c r="V1458">
        <v>0</v>
      </c>
      <c r="W1458" s="21">
        <v>1</v>
      </c>
      <c r="X1458" s="56" t="str">
        <f>IFERROR(VLOOKUP(A1458,Output!A:F,6,0),"-")</f>
        <v>-</v>
      </c>
    </row>
    <row r="1459" spans="1:24" x14ac:dyDescent="0.25">
      <c r="A1459" s="21" t="s">
        <v>1411</v>
      </c>
      <c r="B1459" s="40" t="s">
        <v>1412</v>
      </c>
      <c r="C1459" s="21" t="s">
        <v>248</v>
      </c>
      <c r="D1459" s="21" t="s">
        <v>75</v>
      </c>
      <c r="E1459" s="21" t="s">
        <v>99</v>
      </c>
      <c r="F1459" s="55">
        <v>2.3780267500651542E-5</v>
      </c>
      <c r="G1459" s="24">
        <v>4.7593069999999997</v>
      </c>
      <c r="H1459" s="24">
        <v>2.763328</v>
      </c>
      <c r="I1459" s="24">
        <v>6.128031</v>
      </c>
      <c r="J1459" s="24">
        <v>4.5502219999999998</v>
      </c>
      <c r="K1459" s="24">
        <v>1.540019</v>
      </c>
      <c r="L1459" s="24">
        <v>3.7233900000000002</v>
      </c>
      <c r="M1459" s="24">
        <v>19.8538</v>
      </c>
      <c r="N1459" s="24">
        <v>1.5756303466764912</v>
      </c>
      <c r="O1459" s="24">
        <v>4.333333333333333</v>
      </c>
      <c r="P1459" s="24">
        <v>10</v>
      </c>
      <c r="Q1459" s="24">
        <v>3.135944432274079</v>
      </c>
      <c r="R1459" s="24">
        <v>4.7300000000000004</v>
      </c>
      <c r="S1459" s="24">
        <v>5.50842024420988</v>
      </c>
      <c r="T1459" s="24">
        <v>0.19791916781879876</v>
      </c>
      <c r="U1459" s="24" t="s">
        <v>3352</v>
      </c>
      <c r="V1459">
        <v>0</v>
      </c>
      <c r="W1459" s="21">
        <v>1</v>
      </c>
      <c r="X1459" s="56" t="str">
        <f>IFERROR(VLOOKUP(A1459,Output!A:F,6,0),"-")</f>
        <v>-</v>
      </c>
    </row>
    <row r="1460" spans="1:24" x14ac:dyDescent="0.25">
      <c r="A1460" s="21" t="s">
        <v>581</v>
      </c>
      <c r="B1460" s="40" t="s">
        <v>1004</v>
      </c>
      <c r="C1460" s="21" t="s">
        <v>253</v>
      </c>
      <c r="D1460" s="21" t="s">
        <v>75</v>
      </c>
      <c r="E1460" s="21" t="s">
        <v>92</v>
      </c>
      <c r="F1460" s="55">
        <v>2.2974725595024047E-5</v>
      </c>
      <c r="G1460" s="24">
        <v>3.2405910000000002</v>
      </c>
      <c r="H1460" s="24">
        <v>5.2809540000000004</v>
      </c>
      <c r="I1460" s="24">
        <v>4.4243290000000002</v>
      </c>
      <c r="J1460" s="24">
        <v>4.207821</v>
      </c>
      <c r="K1460" s="24">
        <v>7.4628030000000001</v>
      </c>
      <c r="L1460" s="24">
        <v>11.61383</v>
      </c>
      <c r="M1460" s="24">
        <v>646.22360000000003</v>
      </c>
      <c r="N1460" s="24">
        <v>6.5413930661122794</v>
      </c>
      <c r="O1460" s="24">
        <v>1.4736842105263157</v>
      </c>
      <c r="P1460" s="24">
        <v>9.4514285965061209</v>
      </c>
      <c r="Q1460" s="24">
        <v>6.1490350868772339</v>
      </c>
      <c r="R1460" s="24">
        <v>7.62</v>
      </c>
      <c r="S1460" s="24">
        <v>6.774633914445598</v>
      </c>
      <c r="T1460" s="24">
        <v>0.41762057403952635</v>
      </c>
      <c r="U1460" s="24" t="s">
        <v>3060</v>
      </c>
      <c r="V1460">
        <v>0</v>
      </c>
      <c r="W1460" s="21">
        <v>1</v>
      </c>
      <c r="X1460" s="56" t="str">
        <f>IFERROR(VLOOKUP(A1460,Output!A:F,6,0),"-")</f>
        <v>-</v>
      </c>
    </row>
    <row r="1461" spans="1:24" x14ac:dyDescent="0.25">
      <c r="A1461" s="21" t="s">
        <v>565</v>
      </c>
      <c r="B1461" s="40" t="s">
        <v>927</v>
      </c>
      <c r="C1461" s="21" t="s">
        <v>248</v>
      </c>
      <c r="D1461" s="21" t="s">
        <v>75</v>
      </c>
      <c r="E1461" s="21" t="s">
        <v>96</v>
      </c>
      <c r="F1461" s="55">
        <v>1.6232049693693462E-5</v>
      </c>
      <c r="G1461" s="21">
        <v>4.5046650000000001</v>
      </c>
      <c r="H1461" s="21">
        <v>4.500343</v>
      </c>
      <c r="I1461" s="21">
        <v>2.8315100000000002</v>
      </c>
      <c r="J1461" s="21">
        <v>3.945506</v>
      </c>
      <c r="K1461" s="24">
        <v>4.5848190000000004</v>
      </c>
      <c r="L1461" s="24">
        <v>6.6803660000000002</v>
      </c>
      <c r="M1461" s="24">
        <v>4.8409000000000004</v>
      </c>
      <c r="N1461" s="24">
        <v>0</v>
      </c>
      <c r="O1461" s="24">
        <v>1.075268817204301</v>
      </c>
      <c r="P1461" s="24">
        <v>0.75757575757575757</v>
      </c>
      <c r="Q1461" s="24">
        <v>7.2578815179260232</v>
      </c>
      <c r="R1461" s="24">
        <v>7.2600009999999999</v>
      </c>
      <c r="S1461" s="24">
        <v>4.2141844089519083</v>
      </c>
      <c r="T1461" s="24">
        <v>0.21105545568204903</v>
      </c>
      <c r="U1461" s="24" t="s">
        <v>3065</v>
      </c>
      <c r="V1461">
        <v>0</v>
      </c>
      <c r="W1461" s="21">
        <v>1</v>
      </c>
      <c r="X1461" s="56" t="str">
        <f>IFERROR(VLOOKUP(A1461,Output!A:F,6,0),"-")</f>
        <v>-</v>
      </c>
    </row>
    <row r="1462" spans="1:24" x14ac:dyDescent="0.25">
      <c r="A1462" s="21" t="s">
        <v>582</v>
      </c>
      <c r="B1462" s="40" t="s">
        <v>914</v>
      </c>
      <c r="C1462" s="21" t="s">
        <v>248</v>
      </c>
      <c r="D1462" s="21" t="s">
        <v>75</v>
      </c>
      <c r="E1462" s="21" t="s">
        <v>99</v>
      </c>
      <c r="F1462" s="55">
        <v>1.0281625483955634E-5</v>
      </c>
      <c r="G1462" s="24">
        <v>3.8937539999999999</v>
      </c>
      <c r="H1462" s="24">
        <v>6.389132</v>
      </c>
      <c r="I1462" s="24">
        <v>6.4659459999999997</v>
      </c>
      <c r="J1462" s="24">
        <v>5.5829440000000004</v>
      </c>
      <c r="K1462" s="24">
        <v>0.585206</v>
      </c>
      <c r="L1462" s="24">
        <v>5.2184689999999999E-2</v>
      </c>
      <c r="M1462" s="53">
        <v>59.475499999999997</v>
      </c>
      <c r="N1462" s="24">
        <v>0</v>
      </c>
      <c r="O1462" s="24">
        <v>3.8888888888888888</v>
      </c>
      <c r="P1462" s="24">
        <v>4.4843049327354105E-2</v>
      </c>
      <c r="Q1462" s="24">
        <v>4.7290294515223188</v>
      </c>
      <c r="R1462" s="24" t="e">
        <v>#N/A</v>
      </c>
      <c r="S1462" s="24">
        <v>1.4787737674948755</v>
      </c>
      <c r="T1462" s="24">
        <v>0.34324448133054641</v>
      </c>
      <c r="U1462" s="24" t="s">
        <v>3033</v>
      </c>
      <c r="V1462">
        <v>0</v>
      </c>
      <c r="W1462" s="21">
        <v>0</v>
      </c>
      <c r="X1462" s="56" t="str">
        <f>IFERROR(VLOOKUP(A1462,Output!A:F,6,0),"-")</f>
        <v>-</v>
      </c>
    </row>
    <row r="1463" spans="1:24" hidden="1" x14ac:dyDescent="0.25">
      <c r="A1463" s="21" t="s">
        <v>1399</v>
      </c>
      <c r="B1463" s="40" t="s">
        <v>1400</v>
      </c>
      <c r="C1463" s="21" t="s">
        <v>256</v>
      </c>
      <c r="D1463" s="21" t="s">
        <v>74</v>
      </c>
      <c r="E1463" s="21" t="s">
        <v>95</v>
      </c>
      <c r="F1463" s="26">
        <v>9.9303714652723261E-6</v>
      </c>
      <c r="G1463" s="24">
        <v>4.9918889999999996</v>
      </c>
      <c r="H1463" s="24">
        <v>7.7264270000000002</v>
      </c>
      <c r="I1463" s="24">
        <v>5.9440559999999998</v>
      </c>
      <c r="J1463" s="24">
        <v>5.7292300000000003</v>
      </c>
      <c r="K1463" s="24">
        <v>9.0262569999999993</v>
      </c>
      <c r="L1463" s="24">
        <v>6.5469189999999999</v>
      </c>
      <c r="M1463" s="24">
        <v>317.66230000000002</v>
      </c>
      <c r="N1463" s="24">
        <v>0</v>
      </c>
      <c r="O1463" s="24">
        <v>6.2921348314606735</v>
      </c>
      <c r="P1463" s="24">
        <v>3.0566037735849054</v>
      </c>
      <c r="Q1463" s="24">
        <v>3.2535279726594095</v>
      </c>
      <c r="R1463" s="24">
        <v>6.47</v>
      </c>
      <c r="S1463" s="24">
        <v>3.4391101928345522</v>
      </c>
      <c r="T1463" s="24">
        <v>0.1247983585892017</v>
      </c>
      <c r="U1463" s="24" t="s">
        <v>3345</v>
      </c>
      <c r="V1463">
        <v>0</v>
      </c>
      <c r="W1463" s="21">
        <v>0</v>
      </c>
      <c r="X1463" s="56" t="str">
        <f>IFERROR(VLOOKUP(A1463,Output!A:F,6,0),"-")</f>
        <v>-</v>
      </c>
    </row>
    <row r="1464" spans="1:24" hidden="1" x14ac:dyDescent="0.25">
      <c r="A1464" s="21" t="s">
        <v>404</v>
      </c>
      <c r="B1464" s="40" t="s">
        <v>405</v>
      </c>
      <c r="C1464" s="21" t="s">
        <v>294</v>
      </c>
      <c r="D1464" s="21" t="s">
        <v>77</v>
      </c>
      <c r="E1464" s="21" t="s">
        <v>89</v>
      </c>
      <c r="F1464" s="55">
        <v>1.1851530759219552E-9</v>
      </c>
      <c r="G1464" s="21" t="e">
        <v>#N/A</v>
      </c>
      <c r="H1464" s="21" t="e">
        <v>#N/A</v>
      </c>
      <c r="I1464" s="21" t="e">
        <v>#N/A</v>
      </c>
      <c r="J1464" s="21" t="e">
        <v>#N/A</v>
      </c>
      <c r="K1464" s="24">
        <v>2.325418</v>
      </c>
      <c r="L1464" s="24">
        <v>8.0879770000000004</v>
      </c>
      <c r="M1464" s="24" t="e">
        <v>#N/A</v>
      </c>
      <c r="N1464" s="24">
        <v>10</v>
      </c>
      <c r="O1464" s="24">
        <v>10</v>
      </c>
      <c r="P1464" s="24">
        <v>0.32257752341210705</v>
      </c>
      <c r="Q1464" s="24">
        <v>2.6168224299065419</v>
      </c>
      <c r="R1464" s="24" t="e">
        <v>#N/A</v>
      </c>
      <c r="S1464" s="24">
        <v>2.1040088668343353</v>
      </c>
      <c r="T1464" s="24">
        <v>0.22555155723366127</v>
      </c>
      <c r="U1464" s="24" t="s">
        <v>2896</v>
      </c>
      <c r="V1464">
        <v>0</v>
      </c>
      <c r="W1464" s="21">
        <v>0</v>
      </c>
      <c r="X1464" s="56" t="str">
        <f>IFERROR(VLOOKUP(A1464,Output!A:F,6,0),"-")</f>
        <v>-</v>
      </c>
    </row>
    <row r="1465" spans="1:24" hidden="1" x14ac:dyDescent="0.25">
      <c r="F1465" s="55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X1465" s="56" t="str">
        <f>IFERROR(VLOOKUP(A1465,Output!A:F,6,0),"-")</f>
        <v>-</v>
      </c>
    </row>
    <row r="1466" spans="1:24" hidden="1" x14ac:dyDescent="0.25">
      <c r="F1466" s="55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X1466" s="56" t="str">
        <f>IFERROR(VLOOKUP(A1466,Output!A:F,6,0),"-")</f>
        <v>-</v>
      </c>
    </row>
    <row r="1467" spans="1:24" hidden="1" x14ac:dyDescent="0.25">
      <c r="F1467" s="55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X1467" s="56" t="str">
        <f>IFERROR(VLOOKUP(A1467,Output!A:F,6,0),"-")</f>
        <v>-</v>
      </c>
    </row>
    <row r="1468" spans="1:24" hidden="1" x14ac:dyDescent="0.25">
      <c r="F1468" s="55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X1468" s="56" t="str">
        <f>IFERROR(VLOOKUP(A1468,Output!A:F,6,0),"-")</f>
        <v>-</v>
      </c>
    </row>
    <row r="1469" spans="1:24" hidden="1" x14ac:dyDescent="0.25">
      <c r="F1469" s="55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X1469" s="56" t="str">
        <f>IFERROR(VLOOKUP(A1469,Output!A:F,6,0),"-")</f>
        <v>-</v>
      </c>
    </row>
    <row r="1470" spans="1:24" hidden="1" x14ac:dyDescent="0.25">
      <c r="F1470" s="55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X1470" s="56" t="str">
        <f>IFERROR(VLOOKUP(A1470,Output!A:F,6,0),"-")</f>
        <v>-</v>
      </c>
    </row>
    <row r="1471" spans="1:24" hidden="1" x14ac:dyDescent="0.25">
      <c r="F1471" s="55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X1471" s="56" t="str">
        <f>IFERROR(VLOOKUP(A1471,Output!A:F,6,0),"-")</f>
        <v>-</v>
      </c>
    </row>
    <row r="1472" spans="1:24" hidden="1" x14ac:dyDescent="0.25">
      <c r="F1472" s="55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X1472" s="56" t="str">
        <f>IFERROR(VLOOKUP(A1472,Output!A:F,6,0),"-")</f>
        <v>-</v>
      </c>
    </row>
    <row r="1473" spans="6:24" hidden="1" x14ac:dyDescent="0.25">
      <c r="F1473" s="55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X1473" s="56" t="str">
        <f>IFERROR(VLOOKUP(A1473,Output!A:F,6,0),"-")</f>
        <v>-</v>
      </c>
    </row>
    <row r="1474" spans="6:24" hidden="1" x14ac:dyDescent="0.25"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X1474" s="56" t="str">
        <f>IFERROR(VLOOKUP(A1474,Output!A:F,6,0),"-")</f>
        <v>-</v>
      </c>
    </row>
    <row r="1475" spans="6:24" hidden="1" x14ac:dyDescent="0.25">
      <c r="F1475" s="55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X1475" s="56" t="str">
        <f>IFERROR(VLOOKUP(A1475,Output!A:F,6,0),"-")</f>
        <v>-</v>
      </c>
    </row>
    <row r="1476" spans="6:24" hidden="1" x14ac:dyDescent="0.25">
      <c r="F1476" s="55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X1476" s="56" t="str">
        <f>IFERROR(VLOOKUP(A1476,Output!A:F,6,0),"-")</f>
        <v>-</v>
      </c>
    </row>
    <row r="1477" spans="6:24" hidden="1" x14ac:dyDescent="0.25">
      <c r="F1477" s="55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X1477" s="56" t="str">
        <f>IFERROR(VLOOKUP(A1477,Output!A:F,6,0),"-")</f>
        <v>-</v>
      </c>
    </row>
    <row r="1478" spans="6:24" hidden="1" x14ac:dyDescent="0.25">
      <c r="F1478" s="55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X1478" s="56" t="str">
        <f>IFERROR(VLOOKUP(A1478,Output!A:F,6,0),"-")</f>
        <v>-</v>
      </c>
    </row>
    <row r="1479" spans="6:24" hidden="1" x14ac:dyDescent="0.25">
      <c r="F1479" s="55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X1479" s="56" t="str">
        <f>IFERROR(VLOOKUP(A1479,Output!A:F,6,0),"-")</f>
        <v>-</v>
      </c>
    </row>
    <row r="1480" spans="6:24" hidden="1" x14ac:dyDescent="0.25">
      <c r="F1480" s="55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X1480" s="56" t="str">
        <f>IFERROR(VLOOKUP(A1480,Output!A:F,6,0),"-")</f>
        <v>-</v>
      </c>
    </row>
    <row r="1481" spans="6:24" hidden="1" x14ac:dyDescent="0.25">
      <c r="F1481" s="55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X1481" s="56" t="str">
        <f>IFERROR(VLOOKUP(A1481,Output!A:F,6,0),"-")</f>
        <v>-</v>
      </c>
    </row>
    <row r="1482" spans="6:24" hidden="1" x14ac:dyDescent="0.25">
      <c r="F1482" s="55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X1482" s="56" t="str">
        <f>IFERROR(VLOOKUP(A1482,Output!A:F,6,0),"-")</f>
        <v>-</v>
      </c>
    </row>
    <row r="1483" spans="6:24" hidden="1" x14ac:dyDescent="0.25">
      <c r="F1483" s="55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X1483" s="56" t="str">
        <f>IFERROR(VLOOKUP(A1483,Output!A:F,6,0),"-")</f>
        <v>-</v>
      </c>
    </row>
    <row r="1484" spans="6:24" hidden="1" x14ac:dyDescent="0.25">
      <c r="F1484" s="55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X1484" s="56" t="str">
        <f>IFERROR(VLOOKUP(A1484,Output!A:F,6,0),"-")</f>
        <v>-</v>
      </c>
    </row>
    <row r="1485" spans="6:24" hidden="1" x14ac:dyDescent="0.25">
      <c r="F1485" s="55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X1485" s="56" t="str">
        <f>IFERROR(VLOOKUP(A1485,Output!A:F,6,0),"-")</f>
        <v>-</v>
      </c>
    </row>
    <row r="1486" spans="6:24" hidden="1" x14ac:dyDescent="0.25">
      <c r="F1486" s="55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X1486" s="56" t="str">
        <f>IFERROR(VLOOKUP(A1486,Output!A:F,6,0),"-")</f>
        <v>-</v>
      </c>
    </row>
    <row r="1487" spans="6:24" hidden="1" x14ac:dyDescent="0.25">
      <c r="F1487" s="55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X1487" s="56" t="str">
        <f>IFERROR(VLOOKUP(A1487,Output!A:F,6,0),"-")</f>
        <v>-</v>
      </c>
    </row>
    <row r="1488" spans="6:24" hidden="1" x14ac:dyDescent="0.25">
      <c r="F1488" s="55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X1488" s="56" t="str">
        <f>IFERROR(VLOOKUP(A1488,Output!A:F,6,0),"-")</f>
        <v>-</v>
      </c>
    </row>
    <row r="1489" spans="6:24" hidden="1" x14ac:dyDescent="0.25">
      <c r="F1489" s="55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X1489" s="56" t="str">
        <f>IFERROR(VLOOKUP(A1489,Output!A:F,6,0),"-")</f>
        <v>-</v>
      </c>
    </row>
    <row r="1490" spans="6:24" hidden="1" x14ac:dyDescent="0.25">
      <c r="F1490" s="55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X1490" s="56" t="str">
        <f>IFERROR(VLOOKUP(A1490,Output!A:F,6,0),"-")</f>
        <v>-</v>
      </c>
    </row>
    <row r="1491" spans="6:24" hidden="1" x14ac:dyDescent="0.25">
      <c r="F1491" s="55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X1491" s="56" t="str">
        <f>IFERROR(VLOOKUP(A1491,Output!A:F,6,0),"-")</f>
        <v>-</v>
      </c>
    </row>
    <row r="1492" spans="6:24" hidden="1" x14ac:dyDescent="0.25">
      <c r="F1492" s="55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X1492" s="56" t="str">
        <f>IFERROR(VLOOKUP(A1492,Output!A:F,6,0),"-")</f>
        <v>-</v>
      </c>
    </row>
    <row r="1493" spans="6:24" hidden="1" x14ac:dyDescent="0.25">
      <c r="F1493" s="55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X1493" s="56" t="str">
        <f>IFERROR(VLOOKUP(A1493,Output!A:F,6,0),"-")</f>
        <v>-</v>
      </c>
    </row>
    <row r="1494" spans="6:24" hidden="1" x14ac:dyDescent="0.25">
      <c r="F1494" s="55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X1494" s="56" t="str">
        <f>IFERROR(VLOOKUP(A1494,Output!A:F,6,0),"-")</f>
        <v>-</v>
      </c>
    </row>
    <row r="1495" spans="6:24" hidden="1" x14ac:dyDescent="0.25">
      <c r="F1495" s="55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X1495" s="56" t="str">
        <f>IFERROR(VLOOKUP(A1495,Output!A:F,6,0),"-")</f>
        <v>-</v>
      </c>
    </row>
    <row r="1496" spans="6:24" hidden="1" x14ac:dyDescent="0.25">
      <c r="F1496" s="55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X1496" s="56" t="str">
        <f>IFERROR(VLOOKUP(A1496,Output!A:F,6,0),"-")</f>
        <v>-</v>
      </c>
    </row>
    <row r="1497" spans="6:24" hidden="1" x14ac:dyDescent="0.25">
      <c r="F1497" s="55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X1497" s="56" t="str">
        <f>IFERROR(VLOOKUP(A1497,Output!A:F,6,0),"-")</f>
        <v>-</v>
      </c>
    </row>
    <row r="1498" spans="6:24" hidden="1" x14ac:dyDescent="0.25">
      <c r="F1498" s="55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X1498" s="56" t="str">
        <f>IFERROR(VLOOKUP(A1498,Output!A:F,6,0),"-")</f>
        <v>-</v>
      </c>
    </row>
    <row r="1499" spans="6:24" hidden="1" x14ac:dyDescent="0.25">
      <c r="F1499" s="55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X1499" s="56" t="str">
        <f>IFERROR(VLOOKUP(A1499,Output!A:F,6,0),"-")</f>
        <v>-</v>
      </c>
    </row>
    <row r="1500" spans="6:24" hidden="1" x14ac:dyDescent="0.25">
      <c r="F1500" s="55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X1500" s="56" t="str">
        <f>IFERROR(VLOOKUP(A1500,Output!A:F,6,0),"-")</f>
        <v>-</v>
      </c>
    </row>
    <row r="1501" spans="6:24" hidden="1" x14ac:dyDescent="0.25">
      <c r="F1501" s="55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X1501" s="56" t="str">
        <f>IFERROR(VLOOKUP(A1501,Output!A:F,6,0),"-")</f>
        <v>-</v>
      </c>
    </row>
    <row r="1502" spans="6:24" hidden="1" x14ac:dyDescent="0.25">
      <c r="F1502" s="55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X1502" s="56" t="str">
        <f>IFERROR(VLOOKUP(A1502,Output!A:F,6,0),"-")</f>
        <v>-</v>
      </c>
    </row>
    <row r="1503" spans="6:24" hidden="1" x14ac:dyDescent="0.25">
      <c r="F1503" s="55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X1503" s="56" t="str">
        <f>IFERROR(VLOOKUP(A1503,Output!A:F,6,0),"-")</f>
        <v>-</v>
      </c>
    </row>
    <row r="1504" spans="6:24" hidden="1" x14ac:dyDescent="0.25">
      <c r="F1504" s="55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X1504" s="56" t="str">
        <f>IFERROR(VLOOKUP(A1504,Output!A:F,6,0),"-")</f>
        <v>-</v>
      </c>
    </row>
    <row r="1505" spans="6:24" hidden="1" x14ac:dyDescent="0.25">
      <c r="F1505" s="55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X1505" s="56" t="str">
        <f>IFERROR(VLOOKUP(A1505,Output!A:F,6,0),"-")</f>
        <v>-</v>
      </c>
    </row>
    <row r="1506" spans="6:24" hidden="1" x14ac:dyDescent="0.25">
      <c r="F1506" s="55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X1506" s="56" t="str">
        <f>IFERROR(VLOOKUP(A1506,Output!A:F,6,0),"-")</f>
        <v>-</v>
      </c>
    </row>
    <row r="1507" spans="6:24" hidden="1" x14ac:dyDescent="0.25">
      <c r="F1507" s="55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X1507" s="56" t="str">
        <f>IFERROR(VLOOKUP(A1507,Output!A:F,6,0),"-")</f>
        <v>-</v>
      </c>
    </row>
    <row r="1508" spans="6:24" hidden="1" x14ac:dyDescent="0.25">
      <c r="F1508" s="55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X1508" s="41" t="str">
        <f>IFERROR(VLOOKUP(A1508,Output!A:F,6,0),"-")</f>
        <v>-</v>
      </c>
    </row>
    <row r="1509" spans="6:24" hidden="1" x14ac:dyDescent="0.25"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X1509" s="41" t="str">
        <f>IFERROR(VLOOKUP(A1509,Output!A:F,6,0),"-")</f>
        <v>-</v>
      </c>
    </row>
    <row r="1510" spans="6:24" hidden="1" x14ac:dyDescent="0.25">
      <c r="F1510" s="55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X1510" s="41" t="str">
        <f>IFERROR(VLOOKUP(A1510,Output!A:F,6,0),"-")</f>
        <v>-</v>
      </c>
    </row>
    <row r="1511" spans="6:24" hidden="1" x14ac:dyDescent="0.25"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X1511" s="41" t="str">
        <f>IFERROR(VLOOKUP(A1511,Output!A:F,6,0),"-")</f>
        <v>-</v>
      </c>
    </row>
    <row r="1512" spans="6:24" hidden="1" x14ac:dyDescent="0.25"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X1512" s="41" t="str">
        <f>IFERROR(VLOOKUP(A1512,Output!A:F,6,0),"-")</f>
        <v>-</v>
      </c>
    </row>
    <row r="1513" spans="6:24" hidden="1" x14ac:dyDescent="0.25"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X1513" s="41" t="str">
        <f>IFERROR(VLOOKUP(A1513,Output!A:F,6,0),"-")</f>
        <v>-</v>
      </c>
    </row>
    <row r="1514" spans="6:24" hidden="1" x14ac:dyDescent="0.25"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X1514" s="41" t="str">
        <f>IFERROR(VLOOKUP(A1514,Output!A:F,6,0),"-")</f>
        <v>-</v>
      </c>
    </row>
    <row r="1515" spans="6:24" hidden="1" x14ac:dyDescent="0.25"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X1515" s="41" t="str">
        <f>IFERROR(VLOOKUP(A1515,Output!A:F,6,0),"-")</f>
        <v>-</v>
      </c>
    </row>
    <row r="1516" spans="6:24" hidden="1" x14ac:dyDescent="0.25">
      <c r="K1516" s="24"/>
      <c r="L1516" s="24"/>
      <c r="M1516" s="24"/>
      <c r="N1516" s="42"/>
      <c r="O1516" s="24"/>
      <c r="P1516" s="24"/>
      <c r="Q1516" s="24"/>
      <c r="R1516" s="24"/>
      <c r="S1516" s="24"/>
      <c r="T1516" s="24"/>
      <c r="U1516" s="24"/>
      <c r="X1516" s="41" t="str">
        <f>IFERROR(VLOOKUP(A1516,Output!A:F,6,0),"-")</f>
        <v>-</v>
      </c>
    </row>
    <row r="1517" spans="6:24" hidden="1" x14ac:dyDescent="0.25"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X1517" s="41" t="str">
        <f>IFERROR(VLOOKUP(A1517,Output!A:F,6,0),"-")</f>
        <v>-</v>
      </c>
    </row>
    <row r="1518" spans="6:24" hidden="1" x14ac:dyDescent="0.25"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X1518" s="41" t="str">
        <f>IFERROR(VLOOKUP(A1518,Output!A:F,6,0),"-")</f>
        <v>-</v>
      </c>
    </row>
    <row r="1519" spans="6:24" hidden="1" x14ac:dyDescent="0.25"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X1519" s="41" t="str">
        <f>IFERROR(VLOOKUP(A1519,Output!A:F,6,0),"-")</f>
        <v>-</v>
      </c>
    </row>
    <row r="1520" spans="6:24" hidden="1" x14ac:dyDescent="0.25"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X1520" s="41" t="str">
        <f>IFERROR(VLOOKUP(A1520,Output!A:F,6,0),"-")</f>
        <v>-</v>
      </c>
    </row>
    <row r="1521" spans="7:24" hidden="1" x14ac:dyDescent="0.25"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X1521" s="41" t="str">
        <f>IFERROR(VLOOKUP(A1521,Output!A:F,6,0),"-")</f>
        <v>-</v>
      </c>
    </row>
    <row r="1522" spans="7:24" hidden="1" x14ac:dyDescent="0.25"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X1522" s="41" t="str">
        <f>IFERROR(VLOOKUP(A1522,Output!A:F,6,0),"-")</f>
        <v>-</v>
      </c>
    </row>
    <row r="1523" spans="7:24" hidden="1" x14ac:dyDescent="0.25"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X1523" s="41" t="str">
        <f>IFERROR(VLOOKUP(A1523,Output!A:F,6,0),"-")</f>
        <v>-</v>
      </c>
    </row>
    <row r="1524" spans="7:24" hidden="1" x14ac:dyDescent="0.25"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X1524" s="41" t="str">
        <f>IFERROR(VLOOKUP(A1524,Output!A:F,6,0),"-")</f>
        <v>-</v>
      </c>
    </row>
    <row r="1525" spans="7:24" hidden="1" x14ac:dyDescent="0.25"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X1525" s="41" t="str">
        <f>IFERROR(VLOOKUP(A1525,Output!A:F,6,0),"-")</f>
        <v>-</v>
      </c>
    </row>
    <row r="1526" spans="7:24" hidden="1" x14ac:dyDescent="0.25"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X1526" s="41" t="str">
        <f>IFERROR(VLOOKUP(A1526,Output!A:F,6,0),"-")</f>
        <v>-</v>
      </c>
    </row>
    <row r="1527" spans="7:24" hidden="1" x14ac:dyDescent="0.25"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X1527" s="41" t="str">
        <f>IFERROR(VLOOKUP(A1527,Output!A:F,6,0),"-")</f>
        <v>-</v>
      </c>
    </row>
    <row r="1528" spans="7:24" hidden="1" x14ac:dyDescent="0.25"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X1528" s="41" t="str">
        <f>IFERROR(VLOOKUP(A1528,Output!A:F,6,0),"-")</f>
        <v>-</v>
      </c>
    </row>
    <row r="1529" spans="7:24" hidden="1" x14ac:dyDescent="0.25"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X1529" s="41" t="str">
        <f>IFERROR(VLOOKUP(A1529,Output!A:F,6,0),"-")</f>
        <v>-</v>
      </c>
    </row>
    <row r="1530" spans="7:24" hidden="1" x14ac:dyDescent="0.25"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X1530" s="41" t="str">
        <f>IFERROR(VLOOKUP(A1530,Output!A:F,6,0),"-")</f>
        <v>-</v>
      </c>
    </row>
    <row r="1531" spans="7:24" hidden="1" x14ac:dyDescent="0.25"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X1531" s="41" t="str">
        <f>IFERROR(VLOOKUP(A1531,Output!A:F,6,0),"-")</f>
        <v>-</v>
      </c>
    </row>
    <row r="1532" spans="7:24" hidden="1" x14ac:dyDescent="0.25"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X1532" s="41" t="str">
        <f>IFERROR(VLOOKUP(A1532,Output!A:F,6,0),"-")</f>
        <v>-</v>
      </c>
    </row>
    <row r="1533" spans="7:24" hidden="1" x14ac:dyDescent="0.25"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X1533" s="41" t="str">
        <f>IFERROR(VLOOKUP(A1533,Output!A:F,6,0),"-")</f>
        <v>-</v>
      </c>
    </row>
    <row r="1534" spans="7:24" hidden="1" x14ac:dyDescent="0.25"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X1534" s="41" t="str">
        <f>IFERROR(VLOOKUP(A1534,Output!A:F,6,0),"-")</f>
        <v>-</v>
      </c>
    </row>
    <row r="1535" spans="7:24" hidden="1" x14ac:dyDescent="0.25"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X1535" s="41" t="str">
        <f>IFERROR(VLOOKUP(A1535,Output!A:F,6,0),"-")</f>
        <v>-</v>
      </c>
    </row>
    <row r="1536" spans="7:24" hidden="1" x14ac:dyDescent="0.25"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X1536" s="41" t="str">
        <f>IFERROR(VLOOKUP(A1536,Output!A:F,6,0),"-")</f>
        <v>-</v>
      </c>
    </row>
    <row r="1537" spans="7:24" hidden="1" x14ac:dyDescent="0.25">
      <c r="G1537" s="24"/>
      <c r="H1537" s="24"/>
      <c r="I1537" s="24"/>
      <c r="J1537" s="24"/>
      <c r="K1537" s="24"/>
      <c r="L1537" s="24"/>
      <c r="M1537" s="24"/>
      <c r="N1537" s="42"/>
      <c r="O1537" s="24"/>
      <c r="P1537" s="24"/>
      <c r="Q1537" s="24"/>
      <c r="R1537" s="24"/>
      <c r="S1537" s="24"/>
      <c r="T1537" s="24"/>
      <c r="U1537" s="24"/>
      <c r="X1537" s="41" t="str">
        <f>IFERROR(VLOOKUP(A1537,Output!A:F,6,0),"-")</f>
        <v>-</v>
      </c>
    </row>
    <row r="1538" spans="7:24" hidden="1" x14ac:dyDescent="0.25"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X1538" s="41" t="str">
        <f>IFERROR(VLOOKUP(A1538,Output!A:F,6,0),"-")</f>
        <v>-</v>
      </c>
    </row>
    <row r="1539" spans="7:24" hidden="1" x14ac:dyDescent="0.25">
      <c r="M1539" s="21"/>
      <c r="X1539" s="41" t="str">
        <f>IFERROR(VLOOKUP(A1539,Output!A:F,6,0),"-")</f>
        <v>-</v>
      </c>
    </row>
    <row r="1540" spans="7:24" hidden="1" x14ac:dyDescent="0.25">
      <c r="M1540" s="21"/>
      <c r="X1540" s="41" t="str">
        <f>IFERROR(VLOOKUP(A1540,Output!A:F,6,0),"-")</f>
        <v>-</v>
      </c>
    </row>
    <row r="1541" spans="7:24" hidden="1" x14ac:dyDescent="0.25">
      <c r="M1541" s="21"/>
      <c r="X1541" s="41" t="str">
        <f>IFERROR(VLOOKUP(A1541,Output!A:F,6,0),"-")</f>
        <v>-</v>
      </c>
    </row>
    <row r="1542" spans="7:24" hidden="1" x14ac:dyDescent="0.25">
      <c r="M1542" s="21"/>
      <c r="X1542" s="41" t="str">
        <f>IFERROR(VLOOKUP(A1542,Output!A:F,6,0),"-")</f>
        <v>-</v>
      </c>
    </row>
    <row r="1543" spans="7:24" hidden="1" x14ac:dyDescent="0.25">
      <c r="M1543" s="21"/>
      <c r="X1543" s="41" t="str">
        <f>IFERROR(VLOOKUP(A1543,Output!A:F,6,0),"-")</f>
        <v>-</v>
      </c>
    </row>
    <row r="1544" spans="7:24" hidden="1" x14ac:dyDescent="0.25">
      <c r="M1544" s="21"/>
      <c r="X1544" s="41" t="str">
        <f>IFERROR(VLOOKUP(A1544,Output!A:F,6,0),"-")</f>
        <v>-</v>
      </c>
    </row>
    <row r="1545" spans="7:24" hidden="1" x14ac:dyDescent="0.25">
      <c r="M1545" s="21"/>
      <c r="X1545" s="41" t="str">
        <f>IFERROR(VLOOKUP(A1545,Output!A:F,6,0),"-")</f>
        <v>-</v>
      </c>
    </row>
    <row r="1546" spans="7:24" hidden="1" x14ac:dyDescent="0.25">
      <c r="M1546" s="21"/>
      <c r="X1546" s="41" t="str">
        <f>IFERROR(VLOOKUP(A1546,Output!A:F,6,0),"-")</f>
        <v>-</v>
      </c>
    </row>
    <row r="1547" spans="7:24" hidden="1" x14ac:dyDescent="0.25">
      <c r="M1547" s="21"/>
      <c r="X1547" s="41" t="str">
        <f>IFERROR(VLOOKUP(A1547,Output!A:F,6,0),"-")</f>
        <v>-</v>
      </c>
    </row>
    <row r="1548" spans="7:24" hidden="1" x14ac:dyDescent="0.25">
      <c r="M1548" s="21"/>
      <c r="X1548" s="41" t="str">
        <f>IFERROR(VLOOKUP(A1548,Output!A:F,6,0),"-")</f>
        <v>-</v>
      </c>
    </row>
    <row r="1549" spans="7:24" hidden="1" x14ac:dyDescent="0.25">
      <c r="M1549" s="21"/>
      <c r="X1549" s="41" t="str">
        <f>IFERROR(VLOOKUP(A1549,Output!A:F,6,0),"-")</f>
        <v>-</v>
      </c>
    </row>
    <row r="1550" spans="7:24" hidden="1" x14ac:dyDescent="0.25">
      <c r="M1550" s="21"/>
      <c r="X1550" s="41" t="str">
        <f>IFERROR(VLOOKUP(A1550,Output!A:F,6,0),"-")</f>
        <v>-</v>
      </c>
    </row>
    <row r="1551" spans="7:24" hidden="1" x14ac:dyDescent="0.25">
      <c r="M1551" s="21"/>
      <c r="X1551" s="41" t="str">
        <f>IFERROR(VLOOKUP(A1551,Output!A:F,6,0),"-")</f>
        <v>-</v>
      </c>
    </row>
    <row r="1552" spans="7:24" hidden="1" x14ac:dyDescent="0.25">
      <c r="M1552" s="21"/>
      <c r="X1552" s="41" t="str">
        <f>IFERROR(VLOOKUP(A1552,Output!A:F,6,0),"-")</f>
        <v>-</v>
      </c>
    </row>
    <row r="1553" spans="13:24" hidden="1" x14ac:dyDescent="0.25">
      <c r="M1553" s="21"/>
      <c r="X1553" s="41" t="str">
        <f>IFERROR(VLOOKUP(A1553,Output!A:F,6,0),"-")</f>
        <v>-</v>
      </c>
    </row>
    <row r="1554" spans="13:24" hidden="1" x14ac:dyDescent="0.25">
      <c r="M1554" s="21"/>
      <c r="X1554" s="41" t="str">
        <f>IFERROR(VLOOKUP(A1554,Output!A:F,6,0),"-")</f>
        <v>-</v>
      </c>
    </row>
    <row r="1555" spans="13:24" hidden="1" x14ac:dyDescent="0.25">
      <c r="M1555" s="21"/>
      <c r="X1555" s="41" t="str">
        <f>IFERROR(VLOOKUP(A1555,Output!A:F,6,0),"-")</f>
        <v>-</v>
      </c>
    </row>
    <row r="1556" spans="13:24" hidden="1" x14ac:dyDescent="0.25">
      <c r="M1556" s="21"/>
      <c r="X1556" s="41" t="str">
        <f>IFERROR(VLOOKUP(A1556,Output!A:F,6,0),"-")</f>
        <v>-</v>
      </c>
    </row>
    <row r="1557" spans="13:24" hidden="1" x14ac:dyDescent="0.25">
      <c r="M1557" s="21"/>
      <c r="X1557" s="41" t="str">
        <f>IFERROR(VLOOKUP(A1557,Output!A:F,6,0),"-")</f>
        <v>-</v>
      </c>
    </row>
    <row r="1558" spans="13:24" hidden="1" x14ac:dyDescent="0.25">
      <c r="M1558" s="21"/>
      <c r="X1558" s="41" t="str">
        <f>IFERROR(VLOOKUP(A1558,Output!A:F,6,0),"-")</f>
        <v>-</v>
      </c>
    </row>
    <row r="1559" spans="13:24" hidden="1" x14ac:dyDescent="0.25">
      <c r="M1559" s="21"/>
      <c r="X1559" s="41" t="str">
        <f>IFERROR(VLOOKUP(A1559,Output!A:F,6,0),"-")</f>
        <v>-</v>
      </c>
    </row>
    <row r="1560" spans="13:24" hidden="1" x14ac:dyDescent="0.25">
      <c r="M1560" s="21"/>
      <c r="X1560" s="41" t="str">
        <f>IFERROR(VLOOKUP(A1560,Output!A:F,6,0),"-")</f>
        <v>-</v>
      </c>
    </row>
    <row r="1561" spans="13:24" hidden="1" x14ac:dyDescent="0.25">
      <c r="M1561" s="21"/>
      <c r="X1561" s="41" t="str">
        <f>IFERROR(VLOOKUP(A1561,Output!A:F,6,0),"-")</f>
        <v>-</v>
      </c>
    </row>
    <row r="1562" spans="13:24" hidden="1" x14ac:dyDescent="0.25">
      <c r="M1562" s="21"/>
      <c r="X1562" s="41" t="str">
        <f>IFERROR(VLOOKUP(A1562,Output!A:F,6,0),"-")</f>
        <v>-</v>
      </c>
    </row>
  </sheetData>
  <autoFilter ref="A1:X1562" xr:uid="{0E8B6703-45CA-4FA9-8E5C-EB8507E1330B}">
    <filterColumn colId="3">
      <filters>
        <filter val="Asia"/>
      </filters>
    </filterColumn>
  </autoFilter>
  <sortState xmlns:xlrd2="http://schemas.microsoft.com/office/spreadsheetml/2017/richdata2" ref="A2:W1464">
    <sortCondition descending="1" ref="F1:F14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1767C-DC10-4D73-A491-A8C1912A85DC}">
  <sheetPr codeName="Feuil5"/>
  <dimension ref="A1:V40"/>
  <sheetViews>
    <sheetView workbookViewId="0">
      <selection activeCell="E10" sqref="E10"/>
    </sheetView>
  </sheetViews>
  <sheetFormatPr baseColWidth="10" defaultColWidth="11" defaultRowHeight="15" x14ac:dyDescent="0.25"/>
  <cols>
    <col min="1" max="1" width="26.28515625" style="27" customWidth="1"/>
    <col min="2" max="2" width="11" style="27" customWidth="1"/>
    <col min="3" max="3" width="12.5703125" style="27" bestFit="1" customWidth="1"/>
    <col min="4" max="7" width="11" style="27"/>
    <col min="8" max="8" width="2.28515625" style="27" customWidth="1"/>
    <col min="9" max="9" width="17" style="27" bestFit="1" customWidth="1"/>
    <col min="10" max="13" width="11" style="27"/>
    <col min="14" max="14" width="2.28515625" style="27" customWidth="1"/>
    <col min="15" max="15" width="15.5703125" style="27" bestFit="1" customWidth="1"/>
    <col min="16" max="16" width="13.7109375" style="27" customWidth="1"/>
    <col min="17" max="17" width="15.42578125" style="27" bestFit="1" customWidth="1"/>
    <col min="18" max="18" width="14.140625" style="27" bestFit="1" customWidth="1"/>
    <col min="19" max="22" width="11" style="27"/>
    <col min="23" max="23" width="12.28515625" style="27" customWidth="1"/>
    <col min="24" max="16384" width="11" style="27"/>
  </cols>
  <sheetData>
    <row r="1" spans="1:20" x14ac:dyDescent="0.25">
      <c r="A1" s="28" t="s">
        <v>80</v>
      </c>
      <c r="B1" s="28" t="s">
        <v>384</v>
      </c>
      <c r="C1" s="28" t="s">
        <v>379</v>
      </c>
      <c r="D1" s="28" t="s">
        <v>4427</v>
      </c>
      <c r="E1" s="28" t="s">
        <v>381</v>
      </c>
      <c r="F1" s="28" t="s">
        <v>4428</v>
      </c>
      <c r="I1" s="28" t="s">
        <v>4123</v>
      </c>
      <c r="J1" s="28" t="s">
        <v>384</v>
      </c>
      <c r="K1" s="28" t="s">
        <v>379</v>
      </c>
      <c r="L1" s="28" t="s">
        <v>380</v>
      </c>
      <c r="M1" s="28" t="s">
        <v>381</v>
      </c>
      <c r="O1" s="28" t="s">
        <v>4124</v>
      </c>
      <c r="P1" s="28" t="s">
        <v>4135</v>
      </c>
      <c r="Q1" s="28" t="s">
        <v>4426</v>
      </c>
    </row>
    <row r="2" spans="1:20" x14ac:dyDescent="0.25">
      <c r="A2" s="30" t="s">
        <v>103</v>
      </c>
      <c r="B2" s="27">
        <f>COUNTIF(Output!$E:$E,"="&amp;Stats!$A2)</f>
        <v>2</v>
      </c>
      <c r="C2" s="33">
        <f>SUMIF(Output!$E:$E,"="&amp;Stats!$A2,Output!$F:$F)</f>
        <v>9.9999999999999031E-3</v>
      </c>
      <c r="D2" s="33">
        <f>SUMIF(Bench!$E:$E,"="&amp;Stats!$A2,Bench!$F:$F)</f>
        <v>2.297690448587518E-2</v>
      </c>
      <c r="E2" s="9">
        <f t="shared" ref="E2:E20" si="0">C2-D2</f>
        <v>-1.2976904485875277E-2</v>
      </c>
      <c r="F2" s="64" t="str">
        <f>Menu!D26</f>
        <v>=</v>
      </c>
      <c r="G2" s="27" t="str">
        <f>IF(AND(C2&gt;=Menu!F26-$V$33,Stats!C2&lt;=Menu!G26+$V$33),"OK","!! KO !!")</f>
        <v>OK</v>
      </c>
      <c r="I2" s="30" t="s">
        <v>244</v>
      </c>
      <c r="J2" s="27">
        <f>COUNTIF(Output!$C:$C,"="&amp;Stats!$I2)</f>
        <v>60</v>
      </c>
      <c r="K2" s="33">
        <f>SUMIF(Output!$C:$C,"="&amp;Stats!$I2,Output!$F:$F)</f>
        <v>0.71088163755215994</v>
      </c>
      <c r="L2" s="33">
        <f>SUMIF(Bench!$C:$C,"="&amp;Stats!$I2,Bench!$F:$F)</f>
        <v>0.71234131655452226</v>
      </c>
      <c r="M2" s="9">
        <f>K2-L2</f>
        <v>-1.4596790023623241E-3</v>
      </c>
      <c r="O2" s="30" t="s">
        <v>4125</v>
      </c>
      <c r="P2" s="32" cm="1">
        <f t="array" ref="P2">SUMPRODUCT(Output!$F$2:$F$188,IF(ISERROR(Output!N$2:N$188)=FALSE,Output!N$2:N$188))/SUM(IF(ISERROR(Output!N$2:N$188)=FALSE,Output!$F$2:$F$188))</f>
        <v>5.7880888178940788</v>
      </c>
      <c r="Q2" s="32" cm="1">
        <f t="array" ref="Q2">SUMPRODUCT(Bench!$F$2:$F$200,IF(ISERROR(Bench!N$2:N$200)=FALSE,Bench!N$2:N$200))/SUM(IF(ISERROR(Bench!N$2:N$200)=FALSE,Bench!$F$2:$F$200))</f>
        <v>6.8869812761351854</v>
      </c>
    </row>
    <row r="3" spans="1:20" x14ac:dyDescent="0.25">
      <c r="A3" s="30" t="s">
        <v>85</v>
      </c>
      <c r="B3" s="27">
        <f>COUNTIF(Output!$E:$E,"="&amp;Stats!$A3)</f>
        <v>8</v>
      </c>
      <c r="C3" s="33">
        <f>SUMIF(Output!$E:$E,"="&amp;Stats!$A3,Output!$F:$F)</f>
        <v>7.7608733429614815E-2</v>
      </c>
      <c r="D3" s="33">
        <f>SUMIF(Bench!$E:$E,"="&amp;Stats!$A3,Bench!$F:$F)</f>
        <v>5.7608733429614957E-2</v>
      </c>
      <c r="E3" s="9">
        <f t="shared" si="0"/>
        <v>1.9999999999999858E-2</v>
      </c>
      <c r="F3" s="64" t="str">
        <f>Menu!D27</f>
        <v>+</v>
      </c>
      <c r="G3" s="27" t="str">
        <f>IF(AND(C3&gt;=Menu!F27-$V$33,Stats!C3&lt;=Menu!G27+$V$33),"OK","!! KO !!")</f>
        <v>OK</v>
      </c>
      <c r="I3" s="30" t="s">
        <v>254</v>
      </c>
      <c r="J3" s="27">
        <f>COUNTIF(Output!$C:$C,"="&amp;Stats!$I3)</f>
        <v>6</v>
      </c>
      <c r="K3" s="33">
        <f>SUMIF(Output!$C:$C,"="&amp;Stats!$I3,Output!$F:$F)</f>
        <v>3.1670333281485316E-2</v>
      </c>
      <c r="L3" s="33">
        <f>SUMIF(Bench!$C:$C,"="&amp;Stats!$I3,Bench!$F:$F)</f>
        <v>2.427573325957914E-2</v>
      </c>
      <c r="M3" s="9">
        <f t="shared" ref="M3:M24" si="1">K3-L3</f>
        <v>7.394600021906176E-3</v>
      </c>
      <c r="O3" s="30" t="s">
        <v>4126</v>
      </c>
      <c r="P3" s="32" cm="1">
        <f t="array" ref="P3">SUMPRODUCT(Output!$F$2:$F$188,IF(ISERROR(Output!O$2:O$188)=FALSE,Output!O$2:O$188))/SUM(IF(ISERROR(Output!O$2:O$188)=FALSE,Output!$F$2:$F$188))</f>
        <v>5.5423462375501868</v>
      </c>
      <c r="Q3" s="32" cm="1">
        <f t="array" ref="Q3">SUMPRODUCT(Bench!$F$2:$F$200,IF(ISERROR(Bench!O$2:O$200)=FALSE,Bench!O$2:O$200))/SUM(IF(ISERROR(Bench!O$2:O$200)=FALSE,Bench!$F$2:$F$200))</f>
        <v>6.0634798786867812</v>
      </c>
    </row>
    <row r="4" spans="1:20" x14ac:dyDescent="0.25">
      <c r="A4" s="30" t="s">
        <v>86</v>
      </c>
      <c r="B4" s="27">
        <f>COUNTIF(Output!$E:$E,"="&amp;Stats!$A4)</f>
        <v>2</v>
      </c>
      <c r="C4" s="33">
        <f>SUMIF(Output!$E:$E,"="&amp;Stats!$A4,Output!$F:$F)</f>
        <v>7.0000000000000001E-3</v>
      </c>
      <c r="D4" s="33">
        <f>SUMIF(Bench!$E:$E,"="&amp;Stats!$A4,Bench!$F:$F)</f>
        <v>1.5687025058634136E-2</v>
      </c>
      <c r="E4" s="9">
        <f t="shared" si="0"/>
        <v>-8.6870250586341367E-3</v>
      </c>
      <c r="F4" s="64" t="str">
        <f>Menu!D28</f>
        <v>=</v>
      </c>
      <c r="G4" s="27" t="str">
        <f>IF(AND(C4&gt;=Menu!F28-$V$33,Stats!C4&lt;=Menu!G28+$V$33),"OK","!! KO !!")</f>
        <v>OK</v>
      </c>
      <c r="I4" s="30" t="s">
        <v>305</v>
      </c>
      <c r="J4" s="27">
        <f>COUNTIF(Output!$C:$C,"="&amp;Stats!$I4)</f>
        <v>1</v>
      </c>
      <c r="K4" s="33">
        <f>SUMIF(Output!$C:$C,"="&amp;Stats!$I4,Output!$F:$F)</f>
        <v>3.717062436534844E-3</v>
      </c>
      <c r="L4" s="33">
        <f>SUMIF(Bench!$C:$C,"="&amp;Stats!$I4,Bench!$F:$F)</f>
        <v>9.5482540885904604E-3</v>
      </c>
      <c r="M4" s="9">
        <f t="shared" si="1"/>
        <v>-5.8311916520556164E-3</v>
      </c>
      <c r="O4" s="30" t="s">
        <v>4127</v>
      </c>
      <c r="P4" s="32" cm="1">
        <f t="array" ref="P4">SUMPRODUCT(Output!$F$2:$F$188,IF(ISERROR(Output!P$2:P$188)=FALSE,Output!P$2:P$188))/SUM(IF(ISERROR(Output!P$2:P$188)=FALSE,Output!$F$2:$F$188))</f>
        <v>7.0223539451688461</v>
      </c>
      <c r="Q4" s="32" cm="1">
        <f t="array" ref="Q4">SUMPRODUCT(Bench!$F$2:$F$200,IF(ISERROR(Bench!P$2:P$200)=FALSE,Bench!P$2:P$200))/SUM(IF(ISERROR(Bench!P$2:P$200)=FALSE,Bench!$F$2:$F$200))</f>
        <v>6.5874979873804849</v>
      </c>
    </row>
    <row r="5" spans="1:20" x14ac:dyDescent="0.25">
      <c r="A5" s="30" t="s">
        <v>87</v>
      </c>
      <c r="B5" s="27">
        <f>COUNTIF(Output!$E:$E,"="&amp;Stats!$A5)</f>
        <v>2</v>
      </c>
      <c r="C5" s="33">
        <f>SUMIF(Output!$E:$E,"="&amp;Stats!$A5,Output!$F:$F)</f>
        <v>1.4999999999999859E-2</v>
      </c>
      <c r="D5" s="33">
        <f>SUMIF(Bench!$E:$E,"="&amp;Stats!$A5,Bench!$F:$F)</f>
        <v>1.5465979623141937E-2</v>
      </c>
      <c r="E5" s="9">
        <f t="shared" si="0"/>
        <v>-4.6597962314207791E-4</v>
      </c>
      <c r="F5" s="64" t="str">
        <f>Menu!D29</f>
        <v>=</v>
      </c>
      <c r="G5" s="27" t="str">
        <f>IF(AND(C5&gt;=Menu!F29-$V$33,Stats!C5&lt;=Menu!G29+$V$33),"OK","!! KO !!")</f>
        <v>OK</v>
      </c>
      <c r="I5" s="30" t="s">
        <v>249</v>
      </c>
      <c r="J5" s="27">
        <f>COUNTIF(Output!$C:$C,"="&amp;Stats!$I5)</f>
        <v>8</v>
      </c>
      <c r="K5" s="33">
        <f>SUMIF(Output!$C:$C,"="&amp;Stats!$I5,Output!$F:$F)</f>
        <v>3.1405928796111399E-2</v>
      </c>
      <c r="L5" s="33">
        <f>SUMIF(Bench!$C:$C,"="&amp;Stats!$I5,Bench!$F:$F)</f>
        <v>3.1438057266985765E-2</v>
      </c>
      <c r="M5" s="9">
        <f t="shared" si="1"/>
        <v>-3.2128470874366599E-5</v>
      </c>
      <c r="O5" s="30" t="s">
        <v>4128</v>
      </c>
      <c r="P5" s="32" cm="1">
        <f t="array" ref="P5">SUMPRODUCT(Output!$F$2:$F$188,IF(ISERROR(Output!Q$2:Q$188)=FALSE,Output!Q$2:Q$188))/SUM(IF(ISERROR(Output!Q$2:Q$188)=FALSE,Output!$F$2:$F$188))</f>
        <v>5.8722067413122758</v>
      </c>
      <c r="Q5" s="32" cm="1">
        <f t="array" ref="Q5">SUMPRODUCT(Bench!$F$2:$F$200,IF(ISERROR(Bench!Q$2:Q$200)=FALSE,Bench!Q$2:Q$200))/SUM(IF(ISERROR(Bench!Q$2:Q$200)=FALSE,Bench!$F$2:$F$200))</f>
        <v>3.9306525422145917</v>
      </c>
    </row>
    <row r="6" spans="1:20" x14ac:dyDescent="0.25">
      <c r="A6" s="30" t="s">
        <v>88</v>
      </c>
      <c r="B6" s="27">
        <f>COUNTIF(Output!$E:$E,"="&amp;Stats!$A6)</f>
        <v>3</v>
      </c>
      <c r="C6" s="33">
        <f>SUMIF(Output!$E:$E,"="&amp;Stats!$A6,Output!$F:$F)</f>
        <v>8.3376431398394409E-3</v>
      </c>
      <c r="D6" s="33">
        <f>SUMIF(Bench!$E:$E,"="&amp;Stats!$A6,Bench!$F:$F)</f>
        <v>1.3151267130795194E-2</v>
      </c>
      <c r="E6" s="9">
        <f t="shared" si="0"/>
        <v>-4.8136239909557527E-3</v>
      </c>
      <c r="F6" s="64" t="str">
        <f>Menu!D30</f>
        <v>=</v>
      </c>
      <c r="G6" s="27" t="str">
        <f>IF(AND(C6&gt;=Menu!F30-$V$33,Stats!C6&lt;=Menu!G30+$V$33),"OK","!! KO !!")</f>
        <v>OK</v>
      </c>
      <c r="I6" s="30" t="s">
        <v>298</v>
      </c>
      <c r="J6" s="27">
        <f>COUNTIF(Output!$C:$C,"="&amp;Stats!$I6)</f>
        <v>1</v>
      </c>
      <c r="K6" s="33">
        <f>SUMIF(Output!$C:$C,"="&amp;Stats!$I6,Output!$F:$F)</f>
        <v>5.0000000000000001E-3</v>
      </c>
      <c r="L6" s="33">
        <f>SUMIF(Bench!$C:$C,"="&amp;Stats!$I6,Bench!$F:$F)</f>
        <v>1.3065972307807313E-2</v>
      </c>
      <c r="M6" s="9">
        <f t="shared" si="1"/>
        <v>-8.065972307807312E-3</v>
      </c>
      <c r="O6" s="30" t="s">
        <v>4129</v>
      </c>
      <c r="P6" s="32" cm="1">
        <f t="array" ref="P6">SUMPRODUCT(Output!$F$2:$F$188,IF(ISERROR(Output!R$2:R$188)=FALSE,Output!R$2:R$188,0))</f>
        <v>6.4784974460844236</v>
      </c>
      <c r="Q6" s="32" cm="1">
        <f t="array" ref="Q6">SUMPRODUCT(Bench!$F$2:$F$200,IF(ISERROR(Bench!R$2:R$200)=FALSE,Bench!R$2:R$200,0))</f>
        <v>3.1959007820610119</v>
      </c>
    </row>
    <row r="7" spans="1:20" x14ac:dyDescent="0.25">
      <c r="A7" s="30" t="s">
        <v>89</v>
      </c>
      <c r="B7" s="27">
        <f>COUNTIF(Output!$E:$E,"="&amp;Stats!$A7)</f>
        <v>5</v>
      </c>
      <c r="C7" s="33">
        <f>SUMIF(Output!$E:$E,"="&amp;Stats!$A7,Output!$F:$F)</f>
        <v>5.4525367920329436E-2</v>
      </c>
      <c r="D7" s="33">
        <f>SUMIF(Bench!$E:$E,"="&amp;Stats!$A7,Bench!$F:$F)</f>
        <v>4.3315411262187929E-2</v>
      </c>
      <c r="E7" s="9">
        <f t="shared" si="0"/>
        <v>1.1209956658141507E-2</v>
      </c>
      <c r="F7" s="64" t="str">
        <f>Menu!D31</f>
        <v>+</v>
      </c>
      <c r="G7" s="27" t="str">
        <f>IF(AND(C7&gt;=Menu!F31-$V$33,Stats!C7&lt;=Menu!G31+$V$33),"OK","!! KO !!")</f>
        <v>OK</v>
      </c>
      <c r="I7" s="30" t="s">
        <v>247</v>
      </c>
      <c r="J7" s="27">
        <f>COUNTIF(Output!$C:$C,"="&amp;Stats!$I7)</f>
        <v>6</v>
      </c>
      <c r="K7" s="33">
        <f>SUMIF(Output!$C:$C,"="&amp;Stats!$I7,Output!$F:$F)</f>
        <v>4.899999999999978E-2</v>
      </c>
      <c r="L7" s="33">
        <f>SUMIF(Bench!$C:$C,"="&amp;Stats!$I7,Bench!$F:$F)</f>
        <v>3.6515783143688495E-2</v>
      </c>
      <c r="M7" s="9">
        <f t="shared" si="1"/>
        <v>1.2484216856311285E-2</v>
      </c>
    </row>
    <row r="8" spans="1:20" x14ac:dyDescent="0.25">
      <c r="A8" s="30" t="s">
        <v>90</v>
      </c>
      <c r="B8" s="27">
        <f>COUNTIF(Output!$E:$E,"="&amp;Stats!$A8)</f>
        <v>4</v>
      </c>
      <c r="C8" s="33">
        <f>SUMIF(Output!$E:$E,"="&amp;Stats!$A8,Output!$F:$F)</f>
        <v>2.6217062436534738E-2</v>
      </c>
      <c r="D8" s="33">
        <f>SUMIF(Bench!$E:$E,"="&amp;Stats!$A8,Bench!$F:$F)</f>
        <v>3.3411927904003789E-2</v>
      </c>
      <c r="E8" s="9">
        <f t="shared" si="0"/>
        <v>-7.1948654674690513E-3</v>
      </c>
      <c r="F8" s="64" t="str">
        <f>Menu!D32</f>
        <v>=</v>
      </c>
      <c r="G8" s="27" t="str">
        <f>IF(AND(C8&gt;=Menu!F32-$V$33,Stats!C8&lt;=Menu!G32+$V$33),"OK","!! KO !!")</f>
        <v>OK</v>
      </c>
      <c r="I8" s="30" t="s">
        <v>250</v>
      </c>
      <c r="J8" s="27">
        <f>COUNTIF(Output!$C:$C,"="&amp;Stats!$I8)</f>
        <v>5</v>
      </c>
      <c r="K8" s="33">
        <f>SUMIF(Output!$C:$C,"="&amp;Stats!$I8,Output!$F:$F)</f>
        <v>2.0198556647326168E-2</v>
      </c>
      <c r="L8" s="33">
        <f>SUMIF(Bench!$C:$C,"="&amp;Stats!$I8,Bench!$F:$F)</f>
        <v>1.8786806852747546E-2</v>
      </c>
      <c r="M8" s="9">
        <f t="shared" si="1"/>
        <v>1.411749794578622E-3</v>
      </c>
      <c r="O8" s="59" t="s">
        <v>4429</v>
      </c>
      <c r="P8" s="30" t="s">
        <v>4130</v>
      </c>
      <c r="Q8" s="30" t="s">
        <v>4131</v>
      </c>
      <c r="R8" s="30" t="s">
        <v>4132</v>
      </c>
      <c r="S8" s="30" t="s">
        <v>4133</v>
      </c>
      <c r="T8" s="30" t="s">
        <v>4134</v>
      </c>
    </row>
    <row r="9" spans="1:20" x14ac:dyDescent="0.25">
      <c r="A9" s="30" t="s">
        <v>91</v>
      </c>
      <c r="B9" s="27">
        <f>COUNTIF(Output!$E:$E,"="&amp;Stats!$A9)</f>
        <v>15</v>
      </c>
      <c r="C9" s="33">
        <f>SUMIF(Output!$E:$E,"="&amp;Stats!$A9,Output!$F:$F)</f>
        <v>0.13693679274323578</v>
      </c>
      <c r="D9" s="33">
        <f>SUMIF(Bench!$E:$E,"="&amp;Stats!$A9,Bench!$F:$F)</f>
        <v>0.11693679274323554</v>
      </c>
      <c r="E9" s="9">
        <f t="shared" si="0"/>
        <v>2.000000000000024E-2</v>
      </c>
      <c r="F9" s="64" t="str">
        <f>Menu!D33</f>
        <v>+</v>
      </c>
      <c r="G9" s="27" t="str">
        <f>IF(AND(C9&gt;=Menu!F33-$V$33,Stats!C9&lt;=Menu!G33+$V$33),"OK","!! KO !!")</f>
        <v>OK</v>
      </c>
      <c r="I9" s="30" t="s">
        <v>248</v>
      </c>
      <c r="J9" s="27">
        <f>COUNTIF(Output!$C:$C,"="&amp;Stats!$I9)</f>
        <v>9</v>
      </c>
      <c r="K9" s="33">
        <f>SUMIF(Output!$C:$C,"="&amp;Stats!$I9,Output!$F:$F)</f>
        <v>4.5751533659510887E-2</v>
      </c>
      <c r="L9" s="33">
        <f>SUMIF(Bench!$C:$C,"="&amp;Stats!$I9,Bench!$F:$F)</f>
        <v>6.0528814698390408E-2</v>
      </c>
      <c r="M9" s="9">
        <f t="shared" si="1"/>
        <v>-1.4777281038879521E-2</v>
      </c>
      <c r="O9" s="60" t="s">
        <v>4125</v>
      </c>
      <c r="P9" s="61">
        <f>P10-P11</f>
        <v>-0.12268659370473367</v>
      </c>
      <c r="Q9" s="61">
        <f t="shared" ref="Q9" si="2">Q10-Q11</f>
        <v>3.206674196941256E-2</v>
      </c>
      <c r="R9" s="61">
        <f t="shared" ref="R9" si="3">R10-R11</f>
        <v>2.4862467493201701E-2</v>
      </c>
      <c r="S9" s="61">
        <f t="shared" ref="S9" si="4">S10-S11</f>
        <v>6.6502026643731615E-2</v>
      </c>
      <c r="T9" s="61">
        <f t="shared" ref="T9" si="5">T10-T11</f>
        <v>-7.4464240161220552E-4</v>
      </c>
    </row>
    <row r="10" spans="1:20" x14ac:dyDescent="0.25">
      <c r="A10" s="30" t="s">
        <v>92</v>
      </c>
      <c r="B10" s="27">
        <f>COUNTIF(Output!$E:$E,"="&amp;Stats!$A10)</f>
        <v>15</v>
      </c>
      <c r="C10" s="33">
        <f>SUMIF(Output!$E:$E,"="&amp;Stats!$A10,Output!$F:$F)</f>
        <v>0.11558882458855226</v>
      </c>
      <c r="D10" s="33">
        <f>SUMIF(Bench!$E:$E,"="&amp;Stats!$A10,Bench!$F:$F)</f>
        <v>0.12558882458855278</v>
      </c>
      <c r="E10" s="9">
        <f t="shared" si="0"/>
        <v>-1.0000000000000522E-2</v>
      </c>
      <c r="F10" s="64" t="str">
        <f>Menu!D34</f>
        <v>=</v>
      </c>
      <c r="G10" s="27" t="str">
        <f>IF(AND(C10&gt;=Menu!F34-$V$33,Stats!C10&lt;=Menu!G34+$V$33),"OK","!! KO !!")</f>
        <v>OK</v>
      </c>
      <c r="I10" s="30" t="s">
        <v>257</v>
      </c>
      <c r="J10" s="27">
        <f>COUNTIF(Output!$C:$C,"="&amp;Stats!$I10)</f>
        <v>1</v>
      </c>
      <c r="K10" s="33">
        <f>SUMIF(Output!$C:$C,"="&amp;Stats!$I10,Output!$F:$F)</f>
        <v>2.0000000000000846E-3</v>
      </c>
      <c r="L10" s="33">
        <f>SUMIF(Bench!$C:$C,"="&amp;Stats!$I10,Bench!$F:$F)</f>
        <v>2.2579545336386415E-2</v>
      </c>
      <c r="M10" s="9">
        <f t="shared" si="1"/>
        <v>-2.057954533638633E-2</v>
      </c>
      <c r="O10" s="27" t="s">
        <v>379</v>
      </c>
      <c r="P10" s="33">
        <f>SUMIF(Output!$N:$N,"&gt;=8",Output!$F:$F)</f>
        <v>0.15419855664732629</v>
      </c>
      <c r="Q10" s="33">
        <f>SUMIF(Output!$N:$N,"&gt;=6",Output!$F:$F)-SUM(P$10:$P10)</f>
        <v>0.32393092625114978</v>
      </c>
      <c r="R10" s="33">
        <f>SUMIF(Output!$N:$N,"&gt;=4",Output!$F:$F)-SUM($P$10:Q10)</f>
        <v>0.28154914168371364</v>
      </c>
      <c r="S10" s="33">
        <f>SUMIF(Output!$N:$N,"&gt;=2",Output!$F:$F)-SUM($P$10:R10)</f>
        <v>0.18882137541780741</v>
      </c>
      <c r="T10" s="33">
        <f>1-SUM($P$10:S10)</f>
        <v>5.1500000000002877E-2</v>
      </c>
    </row>
    <row r="11" spans="1:20" x14ac:dyDescent="0.25">
      <c r="A11" s="30" t="s">
        <v>93</v>
      </c>
      <c r="B11" s="27">
        <f>COUNTIF(Output!$E:$E,"="&amp;Stats!$A11)</f>
        <v>5</v>
      </c>
      <c r="C11" s="33">
        <f>SUMIF(Output!$E:$E,"="&amp;Stats!$A11,Output!$F:$F)</f>
        <v>3.2499999999999717E-2</v>
      </c>
      <c r="D11" s="33">
        <f>SUMIF(Bench!$E:$E,"="&amp;Stats!$A11,Bench!$F:$F)</f>
        <v>3.1646897808972695E-2</v>
      </c>
      <c r="E11" s="9">
        <f t="shared" si="0"/>
        <v>8.5310219102702201E-4</v>
      </c>
      <c r="F11" s="64" t="str">
        <f>Menu!D35</f>
        <v>+</v>
      </c>
      <c r="G11" s="27" t="str">
        <f>IF(AND(C11&gt;=Menu!F35-$V$33,Stats!C11&lt;=Menu!G35+$V$33),"OK","!! KO !!")</f>
        <v>OK</v>
      </c>
      <c r="I11" s="30" t="s">
        <v>245</v>
      </c>
      <c r="J11" s="27">
        <f>COUNTIF(Output!$C:$C,"="&amp;Stats!$I11)</f>
        <v>5</v>
      </c>
      <c r="K11" s="33">
        <f>SUMIF(Output!$C:$C,"="&amp;Stats!$I11,Output!$F:$F)</f>
        <v>3.2874947626868781E-2</v>
      </c>
      <c r="L11" s="33">
        <f>SUMIF(Bench!$C:$C,"="&amp;Stats!$I11,Bench!$F:$F)</f>
        <v>3.1415268624508684E-2</v>
      </c>
      <c r="M11" s="9">
        <f t="shared" si="1"/>
        <v>1.4596790023600967E-3</v>
      </c>
      <c r="O11" s="27" t="s">
        <v>4427</v>
      </c>
      <c r="P11" s="33">
        <f>SUMIF(Bench!$N:$N,"&gt;=8",Bench!$F:$F)</f>
        <v>0.27688515035205996</v>
      </c>
      <c r="Q11" s="33">
        <f>SUMIF(Bench!$N:$N,"&gt;=6",Bench!$F:$F)-SUM(P$11:$P11)</f>
        <v>0.29186418428173722</v>
      </c>
      <c r="R11" s="33">
        <f>SUMIF(Bench!$N:$N,"&gt;=4",Bench!$F:$F)-SUM($P$11:Q11)</f>
        <v>0.25668667419051194</v>
      </c>
      <c r="S11" s="33">
        <f>SUMIF(Bench!$N:$N,"&gt;=2",Bench!$F:$F)-SUM($P$11:R11)</f>
        <v>0.1223193487740758</v>
      </c>
      <c r="T11" s="33">
        <f>1-SUM($P$11:S11)</f>
        <v>5.2244642401615082E-2</v>
      </c>
    </row>
    <row r="12" spans="1:20" x14ac:dyDescent="0.25">
      <c r="A12" s="30" t="s">
        <v>94</v>
      </c>
      <c r="B12" s="27">
        <f>COUNTIF(Output!$E:$E,"="&amp;Stats!$A12)</f>
        <v>2</v>
      </c>
      <c r="C12" s="33">
        <f>SUMIF(Output!$E:$E,"="&amp;Stats!$A12,Output!$F:$F)</f>
        <v>1.2499999999999791E-2</v>
      </c>
      <c r="D12" s="33">
        <f>SUMIF(Bench!$E:$E,"="&amp;Stats!$A12,Bench!$F:$F)</f>
        <v>1.4143101638711306E-2</v>
      </c>
      <c r="E12" s="9">
        <f t="shared" si="0"/>
        <v>-1.6431016387115152E-3</v>
      </c>
      <c r="F12" s="64" t="str">
        <f>Menu!D36</f>
        <v>=</v>
      </c>
      <c r="G12" s="27" t="str">
        <f>IF(AND(C12&gt;=Menu!F36-$V$33,Stats!C12&lt;=Menu!G36+$V$33),"OK","!! KO !!")</f>
        <v>OK</v>
      </c>
      <c r="I12" s="30" t="s">
        <v>253</v>
      </c>
      <c r="J12" s="27">
        <f>COUNTIF(Output!$C:$C,"="&amp;Stats!$I12)</f>
        <v>0</v>
      </c>
      <c r="K12" s="33">
        <f>SUMIF(Output!$C:$C,"="&amp;Stats!$I12,Output!$F:$F)</f>
        <v>0</v>
      </c>
      <c r="L12" s="33">
        <f>SUMIF(Bench!$C:$C,"="&amp;Stats!$I12,Bench!$F:$F)</f>
        <v>4.5429318391443114E-3</v>
      </c>
      <c r="M12" s="9">
        <f t="shared" si="1"/>
        <v>-4.5429318391443114E-3</v>
      </c>
    </row>
    <row r="13" spans="1:20" x14ac:dyDescent="0.25">
      <c r="A13" s="30" t="s">
        <v>95</v>
      </c>
      <c r="B13" s="27">
        <f>COUNTIF(Output!$E:$E,"="&amp;Stats!$A13)</f>
        <v>5</v>
      </c>
      <c r="C13" s="33">
        <f>SUMIF(Output!$E:$E,"="&amp;Stats!$A13,Output!$F:$F)</f>
        <v>4.2506650181630121E-2</v>
      </c>
      <c r="D13" s="33">
        <f>SUMIF(Bench!$E:$E,"="&amp;Stats!$A13,Bench!$F:$F)</f>
        <v>4.7506650181630569E-2</v>
      </c>
      <c r="E13" s="9">
        <f t="shared" si="0"/>
        <v>-5.0000000000004485E-3</v>
      </c>
      <c r="F13" s="64" t="str">
        <f>Menu!D37</f>
        <v>=</v>
      </c>
      <c r="G13" s="27" t="str">
        <f>IF(AND(C13&gt;=Menu!F37-$V$33,Stats!C13&lt;=Menu!G37+$V$33),"OK","!! KO !!")</f>
        <v>OK</v>
      </c>
      <c r="I13" s="30" t="s">
        <v>256</v>
      </c>
      <c r="J13" s="27">
        <f>COUNTIF(Output!$C:$C,"="&amp;Stats!$I13)</f>
        <v>2</v>
      </c>
      <c r="K13" s="33">
        <f>SUMIF(Output!$C:$C,"="&amp;Stats!$I13,Output!$F:$F)</f>
        <v>0.01</v>
      </c>
      <c r="L13" s="33">
        <f>SUMIF(Bench!$C:$C,"="&amp;Stats!$I13,Bench!$F:$F)</f>
        <v>6.9602535930076469E-3</v>
      </c>
      <c r="M13" s="9">
        <f t="shared" si="1"/>
        <v>3.0397464069923533E-3</v>
      </c>
      <c r="O13" s="59" t="s">
        <v>4429</v>
      </c>
      <c r="P13" s="30" t="s">
        <v>4130</v>
      </c>
      <c r="Q13" s="30" t="s">
        <v>4131</v>
      </c>
      <c r="R13" s="30" t="s">
        <v>4132</v>
      </c>
      <c r="S13" s="30" t="s">
        <v>4133</v>
      </c>
      <c r="T13" s="30" t="s">
        <v>4134</v>
      </c>
    </row>
    <row r="14" spans="1:20" ht="13.9" customHeight="1" x14ac:dyDescent="0.25">
      <c r="A14" s="30" t="s">
        <v>96</v>
      </c>
      <c r="B14" s="27">
        <f>COUNTIF(Output!$E:$E,"="&amp;Stats!$A14)</f>
        <v>3</v>
      </c>
      <c r="C14" s="33">
        <f>SUMIF(Output!$E:$E,"="&amp;Stats!$A14,Output!$F:$F)</f>
        <v>2.75E-2</v>
      </c>
      <c r="D14" s="33">
        <f>SUMIF(Bench!$E:$E,"="&amp;Stats!$A14,Bench!$F:$F)</f>
        <v>2.9745306448684766E-2</v>
      </c>
      <c r="E14" s="9">
        <f t="shared" si="0"/>
        <v>-2.2453064486847654E-3</v>
      </c>
      <c r="F14" s="64" t="str">
        <f>Menu!D38</f>
        <v>=</v>
      </c>
      <c r="G14" s="27" t="str">
        <f>IF(AND(C14&gt;=Menu!F38-$V$33,Stats!C14&lt;=Menu!G38+$V$33),"OK","!! KO !!")</f>
        <v>OK</v>
      </c>
      <c r="I14" s="30" t="s">
        <v>252</v>
      </c>
      <c r="J14" s="27">
        <f>COUNTIF(Output!$C:$C,"="&amp;Stats!$I14)</f>
        <v>0</v>
      </c>
      <c r="K14" s="33">
        <f>SUMIF(Output!$C:$C,"="&amp;Stats!$I14,Output!$F:$F)</f>
        <v>0</v>
      </c>
      <c r="L14" s="33">
        <f>SUMIF(Bench!$C:$C,"="&amp;Stats!$I14,Bench!$F:$F)</f>
        <v>2.4016865202959392E-3</v>
      </c>
      <c r="M14" s="9">
        <f t="shared" si="1"/>
        <v>-2.4016865202959392E-3</v>
      </c>
      <c r="O14" s="60" t="s">
        <v>4126</v>
      </c>
      <c r="P14" s="61">
        <f>P15-P16</f>
        <v>-6.4429599812757699E-2</v>
      </c>
      <c r="Q14" s="61">
        <f t="shared" ref="Q14" si="6">Q15-Q16</f>
        <v>1.4203434015833016E-2</v>
      </c>
      <c r="R14" s="61">
        <f t="shared" ref="R14" si="7">R15-R16</f>
        <v>-1.30706163462041E-3</v>
      </c>
      <c r="S14" s="61">
        <f t="shared" ref="S14" si="8">S15-S16</f>
        <v>6.3800406305668189E-2</v>
      </c>
      <c r="T14" s="61">
        <f t="shared" ref="T14" si="9">T15-T16</f>
        <v>-1.2267178874123097E-2</v>
      </c>
    </row>
    <row r="15" spans="1:20" x14ac:dyDescent="0.25">
      <c r="A15" s="30" t="s">
        <v>97</v>
      </c>
      <c r="B15" s="27">
        <f>COUNTIF(Output!$E:$E,"="&amp;Stats!$A15)</f>
        <v>3</v>
      </c>
      <c r="C15" s="33">
        <f>SUMIF(Output!$E:$E,"="&amp;Stats!$A15,Output!$F:$F)</f>
        <v>2.2499999999999746E-2</v>
      </c>
      <c r="D15" s="33">
        <f>SUMIF(Bench!$E:$E,"="&amp;Stats!$A15,Bench!$F:$F)</f>
        <v>2.2332719390786637E-2</v>
      </c>
      <c r="E15" s="9">
        <f t="shared" si="0"/>
        <v>1.6728060921310933E-4</v>
      </c>
      <c r="F15" s="64" t="str">
        <f>Menu!D39</f>
        <v>=</v>
      </c>
      <c r="G15" s="27" t="str">
        <f>IF(AND(C15&gt;=Menu!F39-$V$33,Stats!C15&lt;=Menu!G39+$V$33),"OK","!! KO !!")</f>
        <v>OK</v>
      </c>
      <c r="I15" s="30" t="s">
        <v>258</v>
      </c>
      <c r="J15" s="27">
        <f>COUNTIF(Output!$C:$C,"="&amp;Stats!$I15)</f>
        <v>4</v>
      </c>
      <c r="K15" s="33">
        <f>SUMIF(Output!$C:$C,"="&amp;Stats!$I15,Output!$F:$F)</f>
        <v>3.4999999999999941E-2</v>
      </c>
      <c r="L15" s="33">
        <f>SUMIF(Bench!$C:$C,"="&amp;Stats!$I15,Bench!$F:$F)</f>
        <v>7.2855161926273313E-3</v>
      </c>
      <c r="M15" s="9">
        <f t="shared" si="1"/>
        <v>2.7714483807372611E-2</v>
      </c>
      <c r="O15" s="27" t="s">
        <v>379</v>
      </c>
      <c r="P15" s="33">
        <f>SUMIF(Output!$O:$O,"&gt;=8",Output!$F:$F)</f>
        <v>0.26073081332110337</v>
      </c>
      <c r="Q15" s="33">
        <f>SUMIF(Output!$O:$O,"&gt;=6",Output!$F:$F)-SUM($P15:P15)</f>
        <v>0.18241427731436777</v>
      </c>
      <c r="R15" s="33">
        <f>SUMIF(Output!$O:$O,"&gt;=4",Output!$F:$F)-SUM($P15:Q15)</f>
        <v>0.18202536792032953</v>
      </c>
      <c r="S15" s="33">
        <f>SUMIF(Output!$O:$O,"&gt;=2",Output!$F:$F)-SUM($P15:R15)</f>
        <v>0.26894572571314579</v>
      </c>
      <c r="T15" s="33">
        <f>1-SUM($P15:S15)</f>
        <v>0.10588381573105354</v>
      </c>
    </row>
    <row r="16" spans="1:20" x14ac:dyDescent="0.25">
      <c r="A16" s="30" t="s">
        <v>98</v>
      </c>
      <c r="B16" s="27">
        <f>COUNTIF(Output!$E:$E,"="&amp;Stats!$A16)</f>
        <v>8</v>
      </c>
      <c r="C16" s="33">
        <f>SUMIF(Output!$E:$E,"="&amp;Stats!$A16,Output!$F:$F)</f>
        <v>7.4499999999999733E-2</v>
      </c>
      <c r="D16" s="33">
        <f>SUMIF(Bench!$E:$E,"="&amp;Stats!$A16,Bench!$F:$F)</f>
        <v>6.6886361525725108E-2</v>
      </c>
      <c r="E16" s="9">
        <f t="shared" si="0"/>
        <v>7.6136384742746255E-3</v>
      </c>
      <c r="F16" s="64" t="str">
        <f>Menu!D40</f>
        <v>=</v>
      </c>
      <c r="G16" s="27" t="str">
        <f>IF(AND(C16&gt;=Menu!F40-$V$33,Stats!C16&lt;=Menu!G40+$V$33),"OK","!! KO !!")</f>
        <v>OK</v>
      </c>
      <c r="I16" s="30" t="s">
        <v>255</v>
      </c>
      <c r="J16" s="27">
        <f>COUNTIF(Output!$C:$C,"="&amp;Stats!$I16)</f>
        <v>2</v>
      </c>
      <c r="K16" s="33">
        <f>SUMIF(Output!$C:$C,"="&amp;Stats!$I16,Output!$F:$F)</f>
        <v>1.2499999999999956E-2</v>
      </c>
      <c r="L16" s="33">
        <f>SUMIF(Bench!$C:$C,"="&amp;Stats!$I16,Bench!$F:$F)</f>
        <v>3.1797871219761838E-3</v>
      </c>
      <c r="M16" s="9">
        <f t="shared" si="1"/>
        <v>9.3202128780237713E-3</v>
      </c>
      <c r="O16" s="27" t="s">
        <v>4427</v>
      </c>
      <c r="P16" s="33">
        <f>SUMIF(Bench!$O:$O,"&gt;=8",Bench!$F:$F)</f>
        <v>0.32516041313386107</v>
      </c>
      <c r="Q16" s="33">
        <f>SUMIF(Bench!$O:$O,"&gt;=6",Bench!$F:$F)-SUM(P$16:$P16)</f>
        <v>0.16821084329853475</v>
      </c>
      <c r="R16" s="33">
        <f>SUMIF(Bench!$O:$O,"&gt;=4",Bench!$F:$F)-SUM($P$16:Q16)</f>
        <v>0.18333242955494994</v>
      </c>
      <c r="S16" s="33">
        <f>SUMIF(Bench!$O:$O,"&gt;=2",Bench!$F:$F)-SUM($P$16:R16)</f>
        <v>0.2051453194074776</v>
      </c>
      <c r="T16" s="33">
        <f>1-SUM($P$16:S16)</f>
        <v>0.11815099460517664</v>
      </c>
    </row>
    <row r="17" spans="1:20" x14ac:dyDescent="0.25">
      <c r="A17" s="30" t="s">
        <v>99</v>
      </c>
      <c r="B17" s="27">
        <f>COUNTIF(Output!$E:$E,"="&amp;Stats!$A17)</f>
        <v>19</v>
      </c>
      <c r="C17" s="33">
        <f>SUMIF(Output!$E:$E,"="&amp;Stats!$A17,Output!$F:$F)</f>
        <v>0.27532630312040729</v>
      </c>
      <c r="D17" s="33">
        <f>SUMIF(Bench!$E:$E,"="&amp;Stats!$A17,Bench!$F:$F)</f>
        <v>0.27532630312040718</v>
      </c>
      <c r="E17" s="9">
        <f t="shared" si="0"/>
        <v>0</v>
      </c>
      <c r="F17" s="64" t="str">
        <f>Menu!D41</f>
        <v>=</v>
      </c>
      <c r="G17" s="27" t="str">
        <f>IF(AND(C17&gt;=Menu!F41-$V$33,Stats!C17&lt;=Menu!G41+$V$33),"OK","!! KO !!")</f>
        <v>OK</v>
      </c>
      <c r="I17" s="30" t="s">
        <v>246</v>
      </c>
      <c r="J17" s="27">
        <f>COUNTIF(Output!$C:$C,"="&amp;Stats!$I17)</f>
        <v>2</v>
      </c>
      <c r="K17" s="33">
        <f>SUMIF(Output!$C:$C,"="&amp;Stats!$I17,Output!$F:$F)</f>
        <v>9.9999999999998805E-3</v>
      </c>
      <c r="L17" s="33">
        <f>SUMIF(Bench!$C:$C,"="&amp;Stats!$I17,Bench!$F:$F)</f>
        <v>8.5743875778025967E-3</v>
      </c>
      <c r="M17" s="9">
        <f t="shared" si="1"/>
        <v>1.4256124221972838E-3</v>
      </c>
    </row>
    <row r="18" spans="1:20" x14ac:dyDescent="0.25">
      <c r="A18" s="30" t="s">
        <v>100</v>
      </c>
      <c r="B18" s="27">
        <f>COUNTIF(Output!$E:$E,"="&amp;Stats!$A18)</f>
        <v>4</v>
      </c>
      <c r="C18" s="33">
        <f>SUMIF(Output!$E:$E,"="&amp;Stats!$A18,Output!$F:$F)</f>
        <v>3.2952622439854536E-2</v>
      </c>
      <c r="D18" s="33">
        <f>SUMIF(Bench!$E:$E,"="&amp;Stats!$A18,Bench!$F:$F)</f>
        <v>2.2952622439854478E-2</v>
      </c>
      <c r="E18" s="9">
        <f t="shared" si="0"/>
        <v>1.0000000000000057E-2</v>
      </c>
      <c r="F18" s="64" t="str">
        <f>Menu!D42</f>
        <v>=</v>
      </c>
      <c r="G18" s="27" t="str">
        <f>IF(AND(C18&gt;=Menu!F42-$V$33,Stats!C18&lt;=Menu!G42+$V$33),"OK","!! KO !!")</f>
        <v>OK</v>
      </c>
      <c r="I18" s="30" t="s">
        <v>251</v>
      </c>
      <c r="J18" s="27">
        <f>COUNTIF(Output!$C:$C,"="&amp;Stats!$I18)</f>
        <v>0</v>
      </c>
      <c r="K18" s="33">
        <f>SUMIF(Output!$C:$C,"="&amp;Stats!$I18,Output!$F:$F)</f>
        <v>0</v>
      </c>
      <c r="L18" s="33">
        <f>SUMIF(Bench!$C:$C,"="&amp;Stats!$I18,Bench!$F:$F)</f>
        <v>1.5676445605590701E-3</v>
      </c>
      <c r="M18" s="9">
        <f t="shared" si="1"/>
        <v>-1.5676445605590701E-3</v>
      </c>
      <c r="O18" s="59" t="s">
        <v>4429</v>
      </c>
      <c r="P18" s="30" t="s">
        <v>4130</v>
      </c>
      <c r="Q18" s="30" t="s">
        <v>4131</v>
      </c>
      <c r="R18" s="30" t="s">
        <v>4132</v>
      </c>
      <c r="S18" s="30" t="s">
        <v>4133</v>
      </c>
      <c r="T18" s="30" t="s">
        <v>4134</v>
      </c>
    </row>
    <row r="19" spans="1:20" x14ac:dyDescent="0.25">
      <c r="A19" s="30" t="s">
        <v>101</v>
      </c>
      <c r="B19" s="27">
        <f>COUNTIF(Output!$E:$E,"="&amp;Stats!$A19)</f>
        <v>2</v>
      </c>
      <c r="C19" s="33">
        <f>SUMIF(Output!$E:$E,"="&amp;Stats!$A19,Output!$F:$F)</f>
        <v>9.5000000000000553E-3</v>
      </c>
      <c r="D19" s="33">
        <f>SUMIF(Bench!$E:$E,"="&amp;Stats!$A19,Bench!$F:$F)</f>
        <v>1.8591378058319615E-2</v>
      </c>
      <c r="E19" s="9">
        <f t="shared" si="0"/>
        <v>-9.0913780583195599E-3</v>
      </c>
      <c r="F19" s="64" t="str">
        <f>Menu!D43</f>
        <v>=</v>
      </c>
      <c r="G19" s="27" t="str">
        <f>IF(AND(C19&gt;=Menu!F43-$V$33,Stats!C19&lt;=Menu!G43+$V$33),"OK","!! KO !!")</f>
        <v>OK</v>
      </c>
      <c r="I19" s="30" t="s">
        <v>1441</v>
      </c>
      <c r="J19" s="27">
        <f>COUNTIF(Output!$C:$C,"="&amp;Stats!$I19)</f>
        <v>0</v>
      </c>
      <c r="K19" s="33">
        <f>SUMIF(Output!$C:$C,"="&amp;Stats!$I19,Output!$F:$F)</f>
        <v>0</v>
      </c>
      <c r="L19" s="33">
        <f>SUMIF(Bench!$C:$C,"="&amp;Stats!$I19,Bench!$F:$F)</f>
        <v>1.9714478138962576E-3</v>
      </c>
      <c r="M19" s="9">
        <f t="shared" si="1"/>
        <v>-1.9714478138962576E-3</v>
      </c>
      <c r="O19" s="60" t="s">
        <v>4127</v>
      </c>
      <c r="P19" s="61">
        <f>P20-P21</f>
        <v>2.0726114388262884E-2</v>
      </c>
      <c r="Q19" s="61">
        <f t="shared" ref="Q19" si="10">Q20-Q21</f>
        <v>0.21302521690116349</v>
      </c>
      <c r="R19" s="61">
        <f t="shared" ref="R19" si="11">R20-R21</f>
        <v>-7.9674132279082932E-2</v>
      </c>
      <c r="S19" s="61">
        <f t="shared" ref="S19" si="12">S20-S21</f>
        <v>-9.5888678426006235E-2</v>
      </c>
      <c r="T19" s="61">
        <f t="shared" ref="T19" si="13">T20-T21</f>
        <v>-5.8188520584337211E-2</v>
      </c>
    </row>
    <row r="20" spans="1:20" x14ac:dyDescent="0.25">
      <c r="A20" s="30" t="s">
        <v>102</v>
      </c>
      <c r="B20" s="27">
        <f>COUNTIF(Output!$E:$E,"="&amp;Stats!$A20)</f>
        <v>5</v>
      </c>
      <c r="C20" s="33">
        <f>SUMIF(Output!$E:$E,"="&amp;Stats!$A20,Output!$F:$F)</f>
        <v>1.90000000000001E-2</v>
      </c>
      <c r="D20" s="33">
        <f>SUMIF(Bench!$E:$E,"="&amp;Stats!$A20,Bench!$F:$F)</f>
        <v>2.6725793160866321E-2</v>
      </c>
      <c r="E20" s="9">
        <f t="shared" si="0"/>
        <v>-7.7257931608662213E-3</v>
      </c>
      <c r="F20" s="64" t="str">
        <f>Menu!D44</f>
        <v>=</v>
      </c>
      <c r="G20" s="27" t="str">
        <f>IF(AND(C20&gt;=Menu!F44-$V$33,Stats!C20&lt;=Menu!G44+$V$33),"OK","!! KO !!")</f>
        <v>OK</v>
      </c>
      <c r="I20" s="30" t="s">
        <v>1752</v>
      </c>
      <c r="J20" s="27">
        <f>COUNTIF(Output!$C:$C,"="&amp;Stats!$I20)</f>
        <v>0</v>
      </c>
      <c r="K20" s="33">
        <f>SUMIF(Output!$C:$C,"="&amp;Stats!$I20,Output!$F:$F)</f>
        <v>0</v>
      </c>
      <c r="L20" s="33">
        <f>SUMIF(Bench!$C:$C,"="&amp;Stats!$I20,Bench!$F:$F)</f>
        <v>4.5418876870901133E-4</v>
      </c>
      <c r="M20" s="9">
        <f t="shared" si="1"/>
        <v>-4.5418876870901133E-4</v>
      </c>
      <c r="O20" s="27" t="s">
        <v>379</v>
      </c>
      <c r="P20" s="33">
        <f>SUMIF(Output!$P:$P,"&gt;=8",Output!$F:$F)</f>
        <v>0.23451652505063039</v>
      </c>
      <c r="Q20" s="33">
        <f>SUMIF(Output!$P:$P,"&gt;=6",Output!$F:$F)-SUM($P20:P20)</f>
        <v>0.53726841578499684</v>
      </c>
      <c r="R20" s="33">
        <f>SUMIF(Output!$P:$P,"&gt;=4",Output!$F:$F)-SUM($P20:Q20)</f>
        <v>0.18264677350809755</v>
      </c>
      <c r="S20" s="33">
        <f>SUMIF(Output!$P:$P,"&gt;=2",Output!$F:$F)-SUM($P20:R20)</f>
        <v>4.5568285656271912E-2</v>
      </c>
      <c r="T20" s="33">
        <f>1-SUM($P20:S20)</f>
        <v>3.3306690738754696E-15</v>
      </c>
    </row>
    <row r="21" spans="1:20" x14ac:dyDescent="0.25">
      <c r="I21" s="30" t="s">
        <v>302</v>
      </c>
      <c r="J21" s="27">
        <f>COUNTIF(Output!$C:$C,"="&amp;Stats!$I21)</f>
        <v>0</v>
      </c>
      <c r="K21" s="33">
        <f>SUMIF(Output!$C:$C,"="&amp;Stats!$I21,Output!$F:$F)</f>
        <v>0</v>
      </c>
      <c r="L21" s="33">
        <f>SUMIF(Bench!$C:$C,"="&amp;Stats!$I21,Bench!$F:$F)</f>
        <v>6.9810808111683766E-4</v>
      </c>
      <c r="M21" s="9">
        <f t="shared" si="1"/>
        <v>-6.9810808111683766E-4</v>
      </c>
      <c r="O21" s="27" t="s">
        <v>4427</v>
      </c>
      <c r="P21" s="33">
        <f>SUMIF(Bench!$P:$P,"&gt;=8",Bench!$F:$F)</f>
        <v>0.21379041066236751</v>
      </c>
      <c r="Q21" s="33">
        <f>SUMIF(Bench!$P:$P,"&gt;=6",Bench!$F:$F)-SUM($P21:P21)</f>
        <v>0.32424319888383335</v>
      </c>
      <c r="R21" s="33">
        <f>SUMIF(Bench!$P:$P,"&gt;=4",Bench!$F:$F)-SUM($P21:Q21)</f>
        <v>0.26232090578718048</v>
      </c>
      <c r="S21" s="33">
        <f>SUMIF(Bench!$P:$P,"&gt;=2",Bench!$F:$F)-SUM($P21:R21)</f>
        <v>0.14145696408227815</v>
      </c>
      <c r="T21" s="33">
        <f>1-SUM($P21:S21)</f>
        <v>5.8188520584340542E-2</v>
      </c>
    </row>
    <row r="22" spans="1:20" x14ac:dyDescent="0.25">
      <c r="A22" s="28" t="s">
        <v>72</v>
      </c>
      <c r="B22" s="28" t="s">
        <v>384</v>
      </c>
      <c r="C22" s="28" t="s">
        <v>379</v>
      </c>
      <c r="D22" s="28" t="s">
        <v>4427</v>
      </c>
      <c r="E22" s="29" t="s">
        <v>381</v>
      </c>
      <c r="F22" s="29"/>
      <c r="I22" s="30" t="s">
        <v>294</v>
      </c>
      <c r="J22" s="27">
        <f>COUNTIF(Output!$C:$C,"="&amp;Stats!$I22)</f>
        <v>0</v>
      </c>
      <c r="K22" s="33">
        <f>SUMIF(Output!$C:$C,"="&amp;Stats!$I22,Output!$F:$F)</f>
        <v>0</v>
      </c>
      <c r="L22" s="33">
        <f>SUMIF(Bench!$C:$C,"="&amp;Stats!$I22,Bench!$F:$F)</f>
        <v>9.3611393039616834E-4</v>
      </c>
      <c r="M22" s="9">
        <f t="shared" si="1"/>
        <v>-9.3611393039616834E-4</v>
      </c>
    </row>
    <row r="23" spans="1:20" x14ac:dyDescent="0.25">
      <c r="A23" s="30" t="s">
        <v>73</v>
      </c>
      <c r="B23" s="27">
        <f>COUNTIF(Output!$D:$D,"="&amp;Stats!$A23)</f>
        <v>65</v>
      </c>
      <c r="C23" s="33">
        <f>SUMIF(Output!$D:$D,"="&amp;Stats!$A23,Output!$F:$F)</f>
        <v>0.74375658517902854</v>
      </c>
      <c r="D23" s="33">
        <f>SUMIF(Bench!$D:$D,"="&amp;Stats!$A23,Bench!$F:$F)</f>
        <v>0.74375658517903065</v>
      </c>
      <c r="E23" s="9">
        <f>C23-D23</f>
        <v>-2.1094237467877974E-15</v>
      </c>
      <c r="F23" s="16" t="s">
        <v>496</v>
      </c>
      <c r="G23" s="27" t="str">
        <f>IF(AND(C23&gt;=Menu!K18-$V$33,Stats!C23&lt;=Menu!L18+$V$33),"OK","!! KO !!")</f>
        <v>OK</v>
      </c>
      <c r="I23" s="30" t="s">
        <v>669</v>
      </c>
      <c r="J23" s="27">
        <f>COUNTIF(Output!$C:$C,"="&amp;Stats!$I23)</f>
        <v>0</v>
      </c>
      <c r="K23" s="33">
        <f>SUMIF(Output!$C:$C,"="&amp;Stats!$I23,Output!$F:$F)</f>
        <v>0</v>
      </c>
      <c r="L23" s="33">
        <f>SUMIF(Bench!$C:$C,"="&amp;Stats!$I23,Bench!$F:$F)</f>
        <v>4.5674600307945147E-4</v>
      </c>
      <c r="M23" s="9">
        <f t="shared" si="1"/>
        <v>-4.5674600307945147E-4</v>
      </c>
      <c r="O23" s="59" t="s">
        <v>4429</v>
      </c>
      <c r="P23" s="30" t="s">
        <v>4130</v>
      </c>
      <c r="Q23" s="30" t="s">
        <v>4131</v>
      </c>
      <c r="R23" s="30" t="s">
        <v>4132</v>
      </c>
      <c r="S23" s="30" t="s">
        <v>4133</v>
      </c>
      <c r="T23" s="30" t="s">
        <v>4134</v>
      </c>
    </row>
    <row r="24" spans="1:20" x14ac:dyDescent="0.25">
      <c r="A24" s="30" t="s">
        <v>74</v>
      </c>
      <c r="B24" s="27">
        <f>COUNTIF(Output!$D:$D,"="&amp;Stats!$A24)</f>
        <v>31</v>
      </c>
      <c r="C24" s="33">
        <f>SUMIF(Output!$D:$D,"="&amp;Stats!$A24,Output!$F:$F)</f>
        <v>0.17779332451413135</v>
      </c>
      <c r="D24" s="33">
        <f>SUMIF(Bench!$D:$D,"="&amp;Stats!$A24,Bench!$F:$F)</f>
        <v>0.16779332451413173</v>
      </c>
      <c r="E24" s="9">
        <f t="shared" ref="E24:E28" si="14">C24-D24</f>
        <v>9.9999999999996203E-3</v>
      </c>
      <c r="F24" s="16" t="s">
        <v>496</v>
      </c>
      <c r="G24" s="27" t="str">
        <f>IF(AND(C24&gt;=Menu!K19-$V$33,Stats!C24&lt;=Menu!L19+$V$33),"OK","!! KO !!")</f>
        <v>OK</v>
      </c>
      <c r="I24" s="30" t="s">
        <v>968</v>
      </c>
      <c r="J24" s="27">
        <f>COUNTIF(Output!$C:$C,"="&amp;Stats!$I24)</f>
        <v>0</v>
      </c>
      <c r="K24" s="33">
        <f>SUMIF(Output!$C:$C,"="&amp;Stats!$I24,Output!$F:$F)</f>
        <v>0</v>
      </c>
      <c r="L24" s="33">
        <f>SUMIF(Bench!$C:$C,"="&amp;Stats!$I24,Bench!$F:$F)</f>
        <v>4.7563586418348304E-4</v>
      </c>
      <c r="M24" s="9">
        <f t="shared" si="1"/>
        <v>-4.7563586418348304E-4</v>
      </c>
      <c r="O24" s="60" t="s">
        <v>4128</v>
      </c>
      <c r="P24" s="61">
        <f>P25-P26</f>
        <v>9.0155072334733924E-2</v>
      </c>
      <c r="Q24" s="61">
        <f t="shared" ref="Q24" si="15">Q25-Q26</f>
        <v>0.16990529441738567</v>
      </c>
      <c r="R24" s="61">
        <f t="shared" ref="R24" si="16">R25-R26</f>
        <v>2.4396255487503238E-3</v>
      </c>
      <c r="S24" s="61">
        <f t="shared" ref="S24" si="17">S25-S26</f>
        <v>-0.13176907593855447</v>
      </c>
      <c r="T24" s="61">
        <f t="shared" ref="T24" si="18">T25-T26</f>
        <v>-0.13073091636231549</v>
      </c>
    </row>
    <row r="25" spans="1:20" x14ac:dyDescent="0.25">
      <c r="A25" s="30" t="s">
        <v>75</v>
      </c>
      <c r="B25" s="27">
        <f>COUNTIF(Output!$D:$D,"="&amp;Stats!$A25)</f>
        <v>11</v>
      </c>
      <c r="C25" s="33">
        <f>SUMIF(Output!$D:$D,"="&amp;Stats!$A25,Output!$F:$F)</f>
        <v>5.8251533659510836E-2</v>
      </c>
      <c r="D25" s="33">
        <f>SUMIF(Bench!$D:$D,"="&amp;Stats!$A25,Bench!$F:$F)</f>
        <v>6.8251533659510921E-2</v>
      </c>
      <c r="E25" s="9">
        <f t="shared" si="14"/>
        <v>-1.0000000000000085E-2</v>
      </c>
      <c r="F25" s="16" t="s">
        <v>496</v>
      </c>
      <c r="G25" s="27" t="str">
        <f>IF(AND(C25&gt;=Menu!K20-$V$33,Stats!C25&lt;=Menu!L20+$V$33),"OK","!! KO !!")</f>
        <v>OK</v>
      </c>
      <c r="O25" s="27" t="s">
        <v>379</v>
      </c>
      <c r="P25" s="33">
        <f>SUMIF(Output!$Q:$Q,"&gt;=8",Output!$F:$F)</f>
        <v>0.17507493583790154</v>
      </c>
      <c r="Q25" s="33">
        <f>SUMIF(Output!$Q:$Q,"&gt;=6",Output!$F:$F)-SUM($P25:P25)</f>
        <v>0.36169780604108293</v>
      </c>
      <c r="R25" s="33">
        <f>SUMIF(Output!$Q:$Q,"&gt;=4",Output!$F:$F)-SUM($P25:Q25)</f>
        <v>0.25736723629638381</v>
      </c>
      <c r="S25" s="33">
        <f>SUMIF(Output!$Q:$Q,"&gt;=2",Output!$F:$F)-SUM($P25:R25)</f>
        <v>0.12886002182462841</v>
      </c>
      <c r="T25" s="33">
        <f>1-SUM($P25:S25)</f>
        <v>7.7000000000003288E-2</v>
      </c>
    </row>
    <row r="26" spans="1:20" x14ac:dyDescent="0.25">
      <c r="A26" s="30" t="s">
        <v>76</v>
      </c>
      <c r="B26" s="27">
        <f>COUNTIF(Output!$D:$D,"="&amp;Stats!$A26)</f>
        <v>5</v>
      </c>
      <c r="C26" s="33">
        <f>SUMIF(Output!$D:$D,"="&amp;Stats!$A26,Output!$F:$F)</f>
        <v>2.0198556647326168E-2</v>
      </c>
      <c r="D26" s="33">
        <f>SUMIF(Bench!$D:$D,"="&amp;Stats!$A26,Bench!$F:$F)</f>
        <v>1.926244271693103E-2</v>
      </c>
      <c r="E26" s="9">
        <f t="shared" si="14"/>
        <v>9.3611393039513824E-4</v>
      </c>
      <c r="F26" s="16" t="s">
        <v>496</v>
      </c>
      <c r="G26" s="27" t="str">
        <f>IF(AND(C26&gt;=Menu!K21-$V$33,Stats!C26&lt;=Menu!L21+$V$33),"OK","!! KO !!")</f>
        <v>OK</v>
      </c>
      <c r="O26" s="27" t="s">
        <v>4427</v>
      </c>
      <c r="P26" s="33">
        <f>SUMIF(Bench!$Q:$Q,"&gt;=8",Bench!$F:$F)</f>
        <v>8.4919863503167617E-2</v>
      </c>
      <c r="Q26" s="33">
        <f>SUMIF(Bench!$Q:$Q,"&gt;=6",Bench!$F:$F)-SUM($P26:P26)</f>
        <v>0.19179251162369726</v>
      </c>
      <c r="R26" s="33">
        <f>SUMIF(Bench!$Q:$Q,"&gt;=4",Bench!$F:$F)-SUM($P26:Q26)</f>
        <v>0.25492761074763348</v>
      </c>
      <c r="S26" s="33">
        <f>SUMIF(Bench!$Q:$Q,"&gt;=2",Bench!$F:$F)-SUM($P26:R26)</f>
        <v>0.26062909776318288</v>
      </c>
      <c r="T26" s="33">
        <f>1-SUM($P26:S26)</f>
        <v>0.20773091636231877</v>
      </c>
    </row>
    <row r="27" spans="1:20" x14ac:dyDescent="0.25">
      <c r="A27" s="30" t="s">
        <v>77</v>
      </c>
      <c r="B27" s="27">
        <f>COUNTIF(Output!$D:$D,"="&amp;Stats!$A27)</f>
        <v>0</v>
      </c>
      <c r="C27" s="33">
        <f>SUMIF(Output!$D:$D,"="&amp;Stats!$A27,Output!$F:$F)</f>
        <v>0</v>
      </c>
      <c r="D27" s="33">
        <f>SUMIF(Bench!$D:$D,"="&amp;Stats!$A27,Bench!$F:$F)</f>
        <v>9.3611393039616834E-4</v>
      </c>
      <c r="E27" s="9">
        <f t="shared" si="14"/>
        <v>-9.3611393039616834E-4</v>
      </c>
      <c r="F27" s="16" t="s">
        <v>496</v>
      </c>
      <c r="G27" s="27" t="str">
        <f>IF(AND(C27&gt;=Menu!K22-$V$33,Stats!C27&lt;=Menu!L22+$V$33),"OK","!! KO !!")</f>
        <v>OK</v>
      </c>
    </row>
    <row r="28" spans="1:20" x14ac:dyDescent="0.25">
      <c r="A28" s="30" t="s">
        <v>78</v>
      </c>
      <c r="B28" s="27">
        <f>COUNTIF(Output!$D:$D,"="&amp;Stats!$A28)</f>
        <v>0</v>
      </c>
      <c r="C28" s="33">
        <f>SUMIF(Output!$D:$D,"="&amp;Stats!$A28,Output!$F:$F)</f>
        <v>0</v>
      </c>
      <c r="D28" s="33">
        <f>SUMIF(Bench!$D:$D,"="&amp;Stats!$A28,Bench!$F:$F)</f>
        <v>0</v>
      </c>
      <c r="E28" s="9">
        <f t="shared" si="14"/>
        <v>0</v>
      </c>
      <c r="F28" s="16" t="s">
        <v>496</v>
      </c>
      <c r="G28" s="27" t="str">
        <f>IF(AND(C28&gt;=Menu!K23-$V$33,Stats!C28&lt;=Menu!L23+$V$33),"OK","!! KO !!")</f>
        <v>OK</v>
      </c>
      <c r="O28" s="59" t="s">
        <v>4429</v>
      </c>
      <c r="P28" s="30" t="s">
        <v>4130</v>
      </c>
      <c r="Q28" s="30" t="s">
        <v>4131</v>
      </c>
      <c r="R28" s="30" t="s">
        <v>4132</v>
      </c>
      <c r="S28" s="30" t="s">
        <v>4133</v>
      </c>
      <c r="T28" s="30" t="s">
        <v>4134</v>
      </c>
    </row>
    <row r="29" spans="1:20" x14ac:dyDescent="0.25">
      <c r="O29" s="60" t="s">
        <v>4129</v>
      </c>
      <c r="P29" s="61">
        <f>P30-P31</f>
        <v>6.3029451689674804E-2</v>
      </c>
      <c r="Q29" s="61">
        <f t="shared" ref="Q29:T29" si="19">Q30-Q31</f>
        <v>0.23135266561999623</v>
      </c>
      <c r="R29" s="61">
        <f t="shared" si="19"/>
        <v>-8.1176364124744049E-2</v>
      </c>
      <c r="S29" s="61">
        <f t="shared" si="19"/>
        <v>-5.8924352083266629E-2</v>
      </c>
      <c r="T29" s="61">
        <f t="shared" si="19"/>
        <v>-0.15428140110166033</v>
      </c>
    </row>
    <row r="30" spans="1:20" x14ac:dyDescent="0.25">
      <c r="O30" s="27" t="s">
        <v>379</v>
      </c>
      <c r="P30" s="33">
        <f>SUMIF(Output!$R:$R,"&gt;=8",Output!$F:$F)</f>
        <v>0.12209183555014828</v>
      </c>
      <c r="Q30" s="33">
        <f>SUMIF(Output!$R:$R,"&gt;=6",Output!$F:$F)-SUM($P30:P30)</f>
        <v>0.59426383293130536</v>
      </c>
      <c r="R30" s="33">
        <f>SUMIF(Output!$R:$R,"&gt;=4",Output!$F:$F)-SUM($P30:Q30)</f>
        <v>0.22561896359821354</v>
      </c>
      <c r="S30" s="33">
        <f>SUMIF(Output!$R:$R,"&gt;=2",Output!$F:$F)-SUM($P30:R30)</f>
        <v>1.8025367920329827E-2</v>
      </c>
      <c r="T30" s="33">
        <f>1-SUM($P30:S30)</f>
        <v>4.0000000000003033E-2</v>
      </c>
    </row>
    <row r="31" spans="1:20" x14ac:dyDescent="0.25">
      <c r="O31" s="27" t="s">
        <v>4427</v>
      </c>
      <c r="P31" s="33">
        <f>SUMIF(Bench!$R:$R,"&gt;=8",Bench!$F:$F)</f>
        <v>5.906238386047348E-2</v>
      </c>
      <c r="Q31" s="33">
        <f>SUMIF(Bench!$R:$R,"&gt;=6",Bench!$F:$F)-SUM($P31:P31)</f>
        <v>0.36291116731130912</v>
      </c>
      <c r="R31" s="33">
        <f>SUMIF(Bench!$R:$R,"&gt;=4",Bench!$F:$F)-SUM($P31:Q31)</f>
        <v>0.30679532772295759</v>
      </c>
      <c r="S31" s="33">
        <f>SUMIF(Bench!$R:$R,"&gt;=2",Bench!$F:$F)-SUM($P31:R31)</f>
        <v>7.6949720003596456E-2</v>
      </c>
      <c r="T31" s="33">
        <f>1-SUM($P31:S31)</f>
        <v>0.19428140110166336</v>
      </c>
    </row>
    <row r="33" spans="15:22" x14ac:dyDescent="0.25">
      <c r="O33" s="28" t="s">
        <v>382</v>
      </c>
      <c r="P33" s="28" t="s">
        <v>379</v>
      </c>
      <c r="Q33" s="28" t="s">
        <v>4424</v>
      </c>
      <c r="R33" s="28" t="s">
        <v>4425</v>
      </c>
      <c r="S33" s="29" t="s">
        <v>381</v>
      </c>
      <c r="U33" s="49" t="s">
        <v>4122</v>
      </c>
      <c r="V33" s="17">
        <f>10^-5</f>
        <v>1.0000000000000001E-5</v>
      </c>
    </row>
    <row r="34" spans="15:22" x14ac:dyDescent="0.25">
      <c r="O34" s="30" t="s">
        <v>383</v>
      </c>
      <c r="P34" s="33">
        <v>2.64322894332404E-2</v>
      </c>
      <c r="Q34" s="31"/>
      <c r="R34" s="31"/>
      <c r="S34" s="31"/>
    </row>
    <row r="35" spans="15:22" x14ac:dyDescent="0.25">
      <c r="O35" s="30" t="s">
        <v>810</v>
      </c>
      <c r="P35" s="44">
        <f>SUMPRODUCT(Output!F:F,Output!X:X)</f>
        <v>0.90056725050869646</v>
      </c>
      <c r="Q35" s="31"/>
      <c r="R35" s="31"/>
      <c r="S35" s="31"/>
      <c r="T35" s="27" t="str">
        <f>IF(AND(Stats!P35&gt;=Menu!N2-$V$33,Menu!N3+$V$33&gt;=Stats!P35),"OK","!! KO !!")</f>
        <v>OK</v>
      </c>
    </row>
    <row r="36" spans="15:22" x14ac:dyDescent="0.25">
      <c r="O36" s="30" t="s">
        <v>267</v>
      </c>
      <c r="P36" s="32" cm="1">
        <f t="array" ref="P36">SUMPRODUCT(Output!$F$2:$F$188,IF(ISERROR(Output!J$2:J$188)=FALSE,Output!J$2:J$188))/SUM(IF(ISERROR(Output!J$2:J$188)=FALSE,Output!$F$2:$F$188))</f>
        <v>5.906873220909338</v>
      </c>
      <c r="Q36" s="32" cm="1">
        <f t="array" ref="Q36">SUMPRODUCT(Bench!$F$2:$F$1800,IF(ISERROR(Bench!J$2:J$1800)=FALSE,Bench!J$2:J$1800))/SUM(IF(ISERROR(Bench!J$2:J$1800)=FALSE,Bench!$F$2:$F$1800))</f>
        <v>5.3921409865111691</v>
      </c>
      <c r="R36" s="31"/>
      <c r="S36" s="32">
        <f>P36-Q36</f>
        <v>0.51473223439816884</v>
      </c>
      <c r="T36" s="27" t="str">
        <f>IF(Stats!S36&gt;=-$V$33,"OK","!! KO !!")</f>
        <v>OK</v>
      </c>
    </row>
    <row r="37" spans="15:22" x14ac:dyDescent="0.25">
      <c r="O37" s="30" t="s">
        <v>268</v>
      </c>
      <c r="P37" s="32" cm="1">
        <f t="array" ref="P37">SUMPRODUCT(Output!$F$2:$F$188,IF(ISERROR(Output!K$2:K$188)=FALSE,Output!K$2:K$188))/SUM(IF(ISERROR(Output!K$2:K$188)=FALSE,Output!$F$2:$F$188))</f>
        <v>2.9500000000035116</v>
      </c>
      <c r="Q37" s="32" cm="1">
        <f t="array" ref="Q37">SUMPRODUCT(Bench!$F$2:$F$1800,IF(ISERROR(Bench!K$2:K$1800)=FALSE,Bench!K$2:K$1800))/SUM(IF(ISERROR(Bench!K$2:K$1800)=FALSE,Bench!$F$2:$F$1800))</f>
        <v>1.9100395978341584</v>
      </c>
      <c r="R37" s="32">
        <v>3.9</v>
      </c>
      <c r="S37" s="32">
        <f>P37-Q37</f>
        <v>1.0399604021693531</v>
      </c>
      <c r="T37" s="27" t="str">
        <f>IF(P37&gt;=Menu!B7-$V$33,"OK","!! KO !!")</f>
        <v>OK</v>
      </c>
    </row>
    <row r="38" spans="15:22" x14ac:dyDescent="0.25">
      <c r="O38" s="30" t="s">
        <v>2784</v>
      </c>
      <c r="P38" s="32" cm="1">
        <f t="array" ref="P38">SUMPRODUCT(Output!$F$2:$F$188,IF(ISERROR(Output!L$2:L$188)=FALSE,Output!L$2:L$188))/SUM(IF(ISERROR(Output!L$2:L$188)=FALSE,Output!$F$2:$F$188))</f>
        <v>7.9175492570230732</v>
      </c>
      <c r="Q38" s="32" cm="1">
        <f t="array" ref="Q38">SUMPRODUCT(Bench!$F$2:$F$1800,IF(ISERROR(Bench!L$2:L$1800)=FALSE,Bench!L$2:L$1800))/SUM(IF(ISERROR(Bench!L$2:L$1800)=FALSE,Bench!$F$2:$F$1800))</f>
        <v>5.9053950796979668</v>
      </c>
      <c r="R38" s="32">
        <v>7.44</v>
      </c>
      <c r="S38" s="32">
        <f>P38-Q38</f>
        <v>2.0121541773251064</v>
      </c>
    </row>
    <row r="39" spans="15:22" x14ac:dyDescent="0.25">
      <c r="O39" s="30" t="s">
        <v>269</v>
      </c>
      <c r="P39" s="32" cm="1">
        <f t="array" ref="P39">SUMPRODUCT(Output!$F$2:$F$188,IF(ISERROR(Output!M$2:M$188)=FALSE,Output!M$2:M$188))/SUM(IF(ISERROR(Output!M$2:M$188)=FALSE,Output!$F$2:$F$188))</f>
        <v>86.957871161657039</v>
      </c>
      <c r="Q39" s="32" cm="1">
        <f t="array" ref="Q39">SUMPRODUCT(Bench!$F$2:$F$1800,IF(ISERROR(Bench!M$2:M$1800)=FALSE,Bench!M$2:M$1800))/SUM(IF(ISERROR(Bench!M$2:M$1800)=FALSE,Bench!$F$2:$F$1800))</f>
        <v>135.42194992494336</v>
      </c>
      <c r="R39" s="31"/>
      <c r="S39" s="33">
        <f>P39/Q39-1</f>
        <v>-0.3578746192190202</v>
      </c>
      <c r="T39" s="27" t="str">
        <f>IF(Stats!S39&lt;=Menu!B8+$V$33,"OK","!! KO !!")</f>
        <v>OK</v>
      </c>
    </row>
    <row r="40" spans="15:22" x14ac:dyDescent="0.25">
      <c r="O40" s="30" t="s">
        <v>378</v>
      </c>
      <c r="P40" s="27">
        <f>COUNTA(Output!A:A)-1</f>
        <v>112</v>
      </c>
      <c r="Q40" s="43">
        <f>COUNTA(Bench!A:A)-1</f>
        <v>1463</v>
      </c>
      <c r="R40" s="31"/>
      <c r="S40" s="31"/>
    </row>
  </sheetData>
  <phoneticPr fontId="8" type="noConversion"/>
  <conditionalFormatting sqref="G2:G20 T35:T40">
    <cfRule type="containsText" dxfId="5" priority="57" operator="containsText" text="KO">
      <formula>NOT(ISERROR(SEARCH("KO",G2)))</formula>
    </cfRule>
    <cfRule type="containsText" dxfId="4" priority="58" operator="containsText" text="OK">
      <formula>NOT(ISERROR(SEARCH("OK",G2)))</formula>
    </cfRule>
  </conditionalFormatting>
  <conditionalFormatting sqref="G23:G28">
    <cfRule type="containsText" dxfId="3" priority="51" operator="containsText" text="KO">
      <formula>NOT(ISERROR(SEARCH("KO",G23)))</formula>
    </cfRule>
    <cfRule type="containsText" dxfId="2" priority="52" operator="containsText" text="OK">
      <formula>NOT(ISERROR(SEARCH("OK",G23)))</formula>
    </cfRule>
  </conditionalFormatting>
  <conditionalFormatting sqref="P2:Q2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3:Q3">
    <cfRule type="colorScale" priority="4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4:Q4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5:Q5"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6:Q6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2:E20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{DE329400-607C-4FF4-8AA6-C2C491B10302}</x14:id>
        </ext>
      </extLst>
    </cfRule>
  </conditionalFormatting>
  <conditionalFormatting sqref="E23:E28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{2C7B259D-C814-408F-96FB-EB82A7985ADD}</x14:id>
        </ext>
      </extLst>
    </cfRule>
  </conditionalFormatting>
  <conditionalFormatting sqref="M2:M24">
    <cfRule type="dataBar" priority="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{0D2BEC5F-E20B-4F95-BE5D-D8DA675D28EC}</x14:id>
        </ext>
      </extLst>
    </cfRule>
  </conditionalFormatting>
  <conditionalFormatting sqref="P19:T19">
    <cfRule type="colorScale" priority="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9:T9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14:T14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4:T24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P29:T29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E329400-607C-4FF4-8AA6-C2C491B103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E2:E20</xm:sqref>
        </x14:conditionalFormatting>
        <x14:conditionalFormatting xmlns:xm="http://schemas.microsoft.com/office/excel/2006/main">
          <x14:cfRule type="dataBar" id="{2C7B259D-C814-408F-96FB-EB82A7985A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E23:E28</xm:sqref>
        </x14:conditionalFormatting>
        <x14:conditionalFormatting xmlns:xm="http://schemas.microsoft.com/office/excel/2006/main">
          <x14:cfRule type="dataBar" id="{0D2BEC5F-E20B-4F95-BE5D-D8DA675D28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M2:M24</xm:sqref>
        </x14:conditionalFormatting>
        <x14:conditionalFormatting xmlns:xm="http://schemas.microsoft.com/office/excel/2006/main">
          <x14:cfRule type="containsText" priority="1" operator="containsText" id="{1B9D9428-90BA-44CC-B26A-FC5A2CED191C}">
            <xm:f>NOT(ISERROR(SEARCH("+",F2)))</xm:f>
            <xm:f>"+"</xm:f>
            <x14:dxf>
              <font>
                <color theme="9"/>
              </font>
            </x14:dxf>
          </x14:cfRule>
          <x14:cfRule type="containsText" priority="2" operator="containsText" id="{DBF7D71D-541A-4243-9664-D7C22865C704}">
            <xm:f>NOT(ISERROR(SEARCH("-",F2)))</xm:f>
            <xm:f>"-"</xm:f>
            <x14:dxf>
              <font>
                <color rgb="FFFF0000"/>
              </font>
            </x14:dxf>
          </x14:cfRule>
          <xm:sqref>F2:F20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1BDF1-A815-4316-BAE2-350A5347A584}">
  <sheetPr codeName="Feuil2"/>
  <dimension ref="A1:D62"/>
  <sheetViews>
    <sheetView workbookViewId="0">
      <selection activeCell="C31" sqref="C31"/>
    </sheetView>
  </sheetViews>
  <sheetFormatPr baseColWidth="10" defaultColWidth="11.42578125" defaultRowHeight="15" x14ac:dyDescent="0.25"/>
  <cols>
    <col min="1" max="1" width="31.140625" style="3" bestFit="1" customWidth="1"/>
    <col min="2" max="2" width="27" customWidth="1"/>
  </cols>
  <sheetData>
    <row r="1" spans="1:4" x14ac:dyDescent="0.25">
      <c r="A1" s="2" t="s">
        <v>9</v>
      </c>
      <c r="B1" s="2" t="s">
        <v>390</v>
      </c>
      <c r="C1" s="2" t="s">
        <v>392</v>
      </c>
      <c r="D1" s="2" t="s">
        <v>2783</v>
      </c>
    </row>
    <row r="2" spans="1:4" x14ac:dyDescent="0.25">
      <c r="A2" s="3" t="s">
        <v>10</v>
      </c>
      <c r="B2" s="21" t="s">
        <v>389</v>
      </c>
      <c r="C2" s="21" t="s">
        <v>393</v>
      </c>
      <c r="D2" s="21" t="s">
        <v>2781</v>
      </c>
    </row>
    <row r="3" spans="1:4" x14ac:dyDescent="0.25">
      <c r="A3" s="3" t="s">
        <v>11</v>
      </c>
      <c r="B3" s="21" t="s">
        <v>396</v>
      </c>
      <c r="C3" s="21" t="s">
        <v>394</v>
      </c>
      <c r="D3" s="21" t="s">
        <v>2782</v>
      </c>
    </row>
    <row r="4" spans="1:4" x14ac:dyDescent="0.25">
      <c r="A4" s="3" t="s">
        <v>12</v>
      </c>
      <c r="B4" s="21" t="s">
        <v>391</v>
      </c>
      <c r="C4" s="21" t="s">
        <v>395</v>
      </c>
    </row>
    <row r="5" spans="1:4" x14ac:dyDescent="0.25">
      <c r="A5" s="3" t="s">
        <v>13</v>
      </c>
    </row>
    <row r="6" spans="1:4" x14ac:dyDescent="0.25">
      <c r="A6" s="3" t="s">
        <v>14</v>
      </c>
    </row>
    <row r="7" spans="1:4" x14ac:dyDescent="0.25">
      <c r="A7" s="3" t="s">
        <v>15</v>
      </c>
    </row>
    <row r="8" spans="1:4" x14ac:dyDescent="0.25">
      <c r="A8" s="3" t="s">
        <v>16</v>
      </c>
    </row>
    <row r="9" spans="1:4" x14ac:dyDescent="0.25">
      <c r="A9" s="3" t="s">
        <v>17</v>
      </c>
    </row>
    <row r="10" spans="1:4" x14ac:dyDescent="0.25">
      <c r="A10" s="3" t="s">
        <v>18</v>
      </c>
    </row>
    <row r="11" spans="1:4" x14ac:dyDescent="0.25">
      <c r="A11" s="3" t="s">
        <v>19</v>
      </c>
    </row>
    <row r="12" spans="1:4" x14ac:dyDescent="0.25">
      <c r="A12" s="3" t="s">
        <v>20</v>
      </c>
    </row>
    <row r="13" spans="1:4" x14ac:dyDescent="0.25">
      <c r="A13" s="3" t="s">
        <v>21</v>
      </c>
    </row>
    <row r="14" spans="1:4" x14ac:dyDescent="0.25">
      <c r="A14" s="3" t="s">
        <v>22</v>
      </c>
    </row>
    <row r="15" spans="1:4" x14ac:dyDescent="0.25">
      <c r="A15" s="3" t="s">
        <v>23</v>
      </c>
    </row>
    <row r="16" spans="1:4" x14ac:dyDescent="0.25">
      <c r="A16" s="3" t="s">
        <v>70</v>
      </c>
    </row>
    <row r="17" spans="1:1" x14ac:dyDescent="0.25">
      <c r="A17" s="3" t="s">
        <v>24</v>
      </c>
    </row>
    <row r="18" spans="1:1" x14ac:dyDescent="0.25">
      <c r="A18" s="3" t="s">
        <v>25</v>
      </c>
    </row>
    <row r="19" spans="1:1" x14ac:dyDescent="0.25">
      <c r="A19" s="3" t="s">
        <v>26</v>
      </c>
    </row>
    <row r="20" spans="1:1" x14ac:dyDescent="0.25">
      <c r="A20" s="3" t="s">
        <v>27</v>
      </c>
    </row>
    <row r="21" spans="1:1" x14ac:dyDescent="0.25">
      <c r="A21" s="3" t="s">
        <v>28</v>
      </c>
    </row>
    <row r="22" spans="1:1" x14ac:dyDescent="0.25">
      <c r="A22" s="3" t="s">
        <v>29</v>
      </c>
    </row>
    <row r="23" spans="1:1" x14ac:dyDescent="0.25">
      <c r="A23" s="3" t="s">
        <v>30</v>
      </c>
    </row>
    <row r="24" spans="1:1" x14ac:dyDescent="0.25">
      <c r="A24" s="3" t="s">
        <v>31</v>
      </c>
    </row>
    <row r="25" spans="1:1" x14ac:dyDescent="0.25">
      <c r="A25" s="3" t="s">
        <v>32</v>
      </c>
    </row>
    <row r="26" spans="1:1" x14ac:dyDescent="0.25">
      <c r="A26" s="3" t="s">
        <v>33</v>
      </c>
    </row>
    <row r="27" spans="1:1" x14ac:dyDescent="0.25">
      <c r="A27" s="3" t="s">
        <v>34</v>
      </c>
    </row>
    <row r="28" spans="1:1" x14ac:dyDescent="0.25">
      <c r="A28" s="3" t="s">
        <v>35</v>
      </c>
    </row>
    <row r="29" spans="1:1" x14ac:dyDescent="0.25">
      <c r="A29" s="3" t="s">
        <v>36</v>
      </c>
    </row>
    <row r="30" spans="1:1" x14ac:dyDescent="0.25">
      <c r="A30" s="3" t="s">
        <v>37</v>
      </c>
    </row>
    <row r="31" spans="1:1" x14ac:dyDescent="0.25">
      <c r="A31" s="3" t="s">
        <v>38</v>
      </c>
    </row>
    <row r="32" spans="1:1" x14ac:dyDescent="0.25">
      <c r="A32" s="3" t="s">
        <v>39</v>
      </c>
    </row>
    <row r="33" spans="1:1" x14ac:dyDescent="0.25">
      <c r="A33" s="3" t="s">
        <v>40</v>
      </c>
    </row>
    <row r="34" spans="1:1" x14ac:dyDescent="0.25">
      <c r="A34" s="3" t="s">
        <v>41</v>
      </c>
    </row>
    <row r="35" spans="1:1" x14ac:dyDescent="0.25">
      <c r="A35" s="3" t="s">
        <v>42</v>
      </c>
    </row>
    <row r="36" spans="1:1" x14ac:dyDescent="0.25">
      <c r="A36" s="3" t="s">
        <v>43</v>
      </c>
    </row>
    <row r="37" spans="1:1" x14ac:dyDescent="0.25">
      <c r="A37" s="3" t="s">
        <v>44</v>
      </c>
    </row>
    <row r="38" spans="1:1" x14ac:dyDescent="0.25">
      <c r="A38" s="3" t="s">
        <v>45</v>
      </c>
    </row>
    <row r="39" spans="1:1" x14ac:dyDescent="0.25">
      <c r="A39" s="3" t="s">
        <v>46</v>
      </c>
    </row>
    <row r="40" spans="1:1" x14ac:dyDescent="0.25">
      <c r="A40" s="3" t="s">
        <v>47</v>
      </c>
    </row>
    <row r="41" spans="1:1" x14ac:dyDescent="0.25">
      <c r="A41" s="3" t="s">
        <v>48</v>
      </c>
    </row>
    <row r="42" spans="1:1" x14ac:dyDescent="0.25">
      <c r="A42" s="3" t="s">
        <v>49</v>
      </c>
    </row>
    <row r="43" spans="1:1" x14ac:dyDescent="0.25">
      <c r="A43" s="3" t="s">
        <v>50</v>
      </c>
    </row>
    <row r="44" spans="1:1" x14ac:dyDescent="0.25">
      <c r="A44" s="3" t="s">
        <v>51</v>
      </c>
    </row>
    <row r="45" spans="1:1" x14ac:dyDescent="0.25">
      <c r="A45" s="3" t="s">
        <v>52</v>
      </c>
    </row>
    <row r="46" spans="1:1" x14ac:dyDescent="0.25">
      <c r="A46" s="3" t="s">
        <v>53</v>
      </c>
    </row>
    <row r="47" spans="1:1" x14ac:dyDescent="0.25">
      <c r="A47" s="3" t="s">
        <v>54</v>
      </c>
    </row>
    <row r="48" spans="1:1" x14ac:dyDescent="0.25">
      <c r="A48" s="3" t="s">
        <v>55</v>
      </c>
    </row>
    <row r="49" spans="1:1" x14ac:dyDescent="0.25">
      <c r="A49" s="3" t="s">
        <v>56</v>
      </c>
    </row>
    <row r="50" spans="1:1" x14ac:dyDescent="0.25">
      <c r="A50" s="3" t="s">
        <v>57</v>
      </c>
    </row>
    <row r="51" spans="1:1" x14ac:dyDescent="0.25">
      <c r="A51" s="3" t="s">
        <v>58</v>
      </c>
    </row>
    <row r="52" spans="1:1" x14ac:dyDescent="0.25">
      <c r="A52" s="3" t="s">
        <v>59</v>
      </c>
    </row>
    <row r="53" spans="1:1" x14ac:dyDescent="0.25">
      <c r="A53" s="3" t="s">
        <v>60</v>
      </c>
    </row>
    <row r="54" spans="1:1" x14ac:dyDescent="0.25">
      <c r="A54" s="3" t="s">
        <v>61</v>
      </c>
    </row>
    <row r="55" spans="1:1" x14ac:dyDescent="0.25">
      <c r="A55" s="3" t="s">
        <v>62</v>
      </c>
    </row>
    <row r="56" spans="1:1" x14ac:dyDescent="0.25">
      <c r="A56" s="3" t="s">
        <v>63</v>
      </c>
    </row>
    <row r="57" spans="1:1" x14ac:dyDescent="0.25">
      <c r="A57" s="3" t="s">
        <v>64</v>
      </c>
    </row>
    <row r="58" spans="1:1" x14ac:dyDescent="0.25">
      <c r="A58" s="3" t="s">
        <v>65</v>
      </c>
    </row>
    <row r="59" spans="1:1" x14ac:dyDescent="0.25">
      <c r="A59" s="3" t="s">
        <v>66</v>
      </c>
    </row>
    <row r="60" spans="1:1" x14ac:dyDescent="0.25">
      <c r="A60" s="3" t="s">
        <v>67</v>
      </c>
    </row>
    <row r="61" spans="1:1" x14ac:dyDescent="0.25">
      <c r="A61" s="3" t="s">
        <v>68</v>
      </c>
    </row>
    <row r="62" spans="1:1" x14ac:dyDescent="0.25">
      <c r="A62" s="3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E189F-6BF8-4A29-AC2D-D283BFB5D58F}">
  <sheetPr codeName="Feuil6"/>
  <dimension ref="A1:C26"/>
  <sheetViews>
    <sheetView workbookViewId="0">
      <selection activeCell="C23" sqref="C23"/>
    </sheetView>
  </sheetViews>
  <sheetFormatPr baseColWidth="10" defaultRowHeight="15" x14ac:dyDescent="0.25"/>
  <cols>
    <col min="1" max="1" width="14" bestFit="1" customWidth="1"/>
  </cols>
  <sheetData>
    <row r="1" spans="1:3" x14ac:dyDescent="0.25">
      <c r="A1" t="s">
        <v>813</v>
      </c>
      <c r="C1" t="s">
        <v>814</v>
      </c>
    </row>
    <row r="2" spans="1:3" x14ac:dyDescent="0.25">
      <c r="A2" s="45"/>
    </row>
    <row r="3" spans="1:3" x14ac:dyDescent="0.25">
      <c r="A3" s="45"/>
    </row>
    <row r="4" spans="1:3" x14ac:dyDescent="0.25">
      <c r="A4" s="45"/>
    </row>
    <row r="5" spans="1:3" x14ac:dyDescent="0.25">
      <c r="A5" s="45"/>
    </row>
    <row r="6" spans="1:3" x14ac:dyDescent="0.25">
      <c r="A6" s="45"/>
    </row>
    <row r="7" spans="1:3" x14ac:dyDescent="0.25">
      <c r="A7" s="45"/>
    </row>
    <row r="8" spans="1:3" x14ac:dyDescent="0.25">
      <c r="A8" s="45"/>
    </row>
    <row r="9" spans="1:3" x14ac:dyDescent="0.25">
      <c r="A9" s="45"/>
    </row>
    <row r="10" spans="1:3" x14ac:dyDescent="0.25">
      <c r="A10" s="45"/>
    </row>
    <row r="11" spans="1:3" x14ac:dyDescent="0.25">
      <c r="A11" s="45"/>
    </row>
    <row r="12" spans="1:3" x14ac:dyDescent="0.25">
      <c r="A12" s="45"/>
    </row>
    <row r="13" spans="1:3" x14ac:dyDescent="0.25">
      <c r="A13" s="45"/>
    </row>
    <row r="14" spans="1:3" x14ac:dyDescent="0.25">
      <c r="A14" s="45"/>
    </row>
    <row r="15" spans="1:3" x14ac:dyDescent="0.25">
      <c r="A15" s="45"/>
    </row>
    <row r="16" spans="1:3" x14ac:dyDescent="0.25">
      <c r="A16" s="45"/>
    </row>
    <row r="17" spans="1:1" x14ac:dyDescent="0.25">
      <c r="A17" s="45"/>
    </row>
    <row r="18" spans="1:1" x14ac:dyDescent="0.25">
      <c r="A18" s="45"/>
    </row>
    <row r="19" spans="1:1" x14ac:dyDescent="0.25">
      <c r="A19" s="45"/>
    </row>
    <row r="20" spans="1:1" x14ac:dyDescent="0.25">
      <c r="A20" s="45"/>
    </row>
    <row r="21" spans="1:1" x14ac:dyDescent="0.25">
      <c r="A21" s="45"/>
    </row>
    <row r="22" spans="1:1" x14ac:dyDescent="0.25">
      <c r="A22" s="45"/>
    </row>
    <row r="23" spans="1:1" x14ac:dyDescent="0.25">
      <c r="A23" s="45"/>
    </row>
    <row r="24" spans="1:1" x14ac:dyDescent="0.25">
      <c r="A24" s="45"/>
    </row>
    <row r="25" spans="1:1" x14ac:dyDescent="0.25">
      <c r="A25" s="45"/>
    </row>
    <row r="26" spans="1:1" x14ac:dyDescent="0.25">
      <c r="A26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Menu</vt:lpstr>
      <vt:lpstr>Output</vt:lpstr>
      <vt:lpstr>Bench</vt:lpstr>
      <vt:lpstr>Stats</vt:lpstr>
      <vt:lpstr>Liste params</vt:lpstr>
      <vt:lpstr>Exclusion forcee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HULLARD Alexandre</dc:creator>
  <cp:lastModifiedBy>LI Jingxuan</cp:lastModifiedBy>
  <dcterms:created xsi:type="dcterms:W3CDTF">2023-05-04T12:48:03Z</dcterms:created>
  <dcterms:modified xsi:type="dcterms:W3CDTF">2025-03-05T09:57:19Z</dcterms:modified>
</cp:coreProperties>
</file>